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1d3c318c5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2d161a9684655"/>
    <x:sheet xmlns:r="http://schemas.openxmlformats.org/officeDocument/2006/relationships" name="Trial Rows" sheetId="2" r:id="Rb6b91d90fddb4d8d"/>
    <x:sheet xmlns:r="http://schemas.openxmlformats.org/officeDocument/2006/relationships" name="Calculations" sheetId="3" r:id="Rc92548e2be0d47f4"/>
    <x:sheet xmlns:r="http://schemas.openxmlformats.org/officeDocument/2006/relationships" name="Participant Results" sheetId="4" r:id="R110b0d9a93db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3333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2752c38aa42d0" /><Relationship Type="http://schemas.openxmlformats.org/officeDocument/2006/relationships/theme" Target="/xl/theme/theme1.xml" Id="R629d6181541b41af" /><Relationship Type="http://schemas.openxmlformats.org/officeDocument/2006/relationships/sharedStrings" Target="/xl/sharedStrings.xml" Id="Rd6932f83a1484b13" /><Relationship Type="http://schemas.openxmlformats.org/officeDocument/2006/relationships/worksheet" Target="/xl/worksheets/sheet1.xml" Id="R1a72d161a9684655" /><Relationship Type="http://schemas.openxmlformats.org/officeDocument/2006/relationships/worksheet" Target="/xl/worksheets/sheet2.xml" Id="Rb6b91d90fddb4d8d" /><Relationship Type="http://schemas.openxmlformats.org/officeDocument/2006/relationships/worksheet" Target="/xl/worksheets/sheet3.xml" Id="Rc92548e2be0d47f4" /><Relationship Type="http://schemas.openxmlformats.org/officeDocument/2006/relationships/worksheet" Target="/xl/worksheets/sheet4.xml" Id="R110b0d9a93db4f2b" /></Relationships>
</file>

<file path=xl/tables/table1.xml><?xml version="1.0" encoding="utf-8"?>
<x:table xmlns:x="http://schemas.openxmlformats.org/spreadsheetml/2006/main" id="1" name="TrialRows" displayName="TrialRows" ref="A1:AB201" headerRowCount="1" totalsRowCount="0" totalsRowShown="0">
  <x:autoFilter ref="A1:AB201"/>
  <x:tableColumns count="28">
    <x:tableColumn id="1" name="trial_id"/>
    <x:tableColumn id="2" name="session_id"/>
    <x:tableColumn id="3" name="participant_id"/>
    <x:tableColumn id="4" name="date"/>
    <x:tableColumn id="5" name="time"/>
    <x:tableColumn id="6" name="version"/>
    <x:tableColumn id="7" name="condition"/>
    <x:tableColumn id="8" name="condition_order"/>
    <x:tableColumn id="9" name="question"/>
    <x:tableColumn id="10" name="original_response"/>
    <x:tableColumn id="11" name="closed_category"/>
    <x:tableColumn id="12" name="auto_category"/>
    <x:tableColumn id="13" name="initial_auto_category"/>
    <x:tableColumn id="14" name="final_category"/>
    <x:tableColumn id="15" name="clarified_response"/>
    <x:tableColumn id="16" name="clarification_count"/>
    <x:tableColumn id="17" name="fallback"/>
    <x:tableColumn id="18" name="mapping_success"/>
    <x:tableColumn id="19" name="unanswered"/>
    <x:tableColumn id="20" name="response_ms"/>
    <x:tableColumn id="21" name="condition_ms"/>
    <x:tableColumn id="22" name="condition_start"/>
    <x:tableColumn id="23" name="condition_end"/>
    <x:tableColumn id="24" name="error_notes"/>
    <x:tableColumn id="25" name="trial_type"/>
    <x:tableColumn id="26" name="notes"/>
    <x:tableColumn id="27" name="history"/>
    <x:tableColumn id="28" name="rule_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59d7c69d2147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6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5" customHeight="1">
      <x:c r="A1" s="6" t="str">
        <x:v>PSS4 offline baseline calculations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5" customHeight="1">
      <x:c r="A2" s="2" t="str">
        <x:v>Replacement workbook pending official trial log template verification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Actual participant results are pending. Trial Rows contains no participant data.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Dataset to analyze</x:v>
      </x:c>
      <x:c r="B4" s="2" t="str">
        <x:v>synthetic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 t="str">
        <x:v>Frozen version</x:v>
      </x:c>
      <x:c r="B5" s="2" t="str">
        <x:v>PSS4-offline-1.1.0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5" customHeight="1">
      <x:c r="A7" s="2" t="str">
        <x:v>First response eligible pairs</x:v>
      </x:c>
      <x:c r="B7" s="2" t="n">
        <x:f>SUM(Calculations!$F$2:$F$201)</x:f>
        <x:v>2</x:v>
      </x:c>
      <x:c r="C7" s="2"/>
      <x:c r="D7" s="2"/>
      <x:c r="E7" s="2"/>
      <x:c r="F7" s="2"/>
      <x:c r="G7" s="2"/>
      <x:c r="H7" s="2" t="str">
        <x:v>Conversational items</x:v>
      </x:c>
      <x:c r="I7" s="2" t="n">
        <x:f>SUM(Calculations!$M$2:$M$201)</x:f>
        <x:v>4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5" customHeight="1">
      <x:c r="A8" s="2" t="str">
        <x:v>First response exact matches</x:v>
      </x:c>
      <x:c r="B8" s="2" t="n">
        <x:f>IF(B7=0,"",SUM(Calculations!$G$2:$G$201))</x:f>
        <x:v>1</x:v>
      </x:c>
      <x:c r="C8" s="2"/>
      <x:c r="D8" s="2"/>
      <x:c r="E8" s="2"/>
      <x:c r="F8" s="2"/>
      <x:c r="G8" s="2"/>
      <x:c r="H8" s="2" t="str">
        <x:v>Automatically mapped items</x:v>
      </x:c>
      <x:c r="I8" s="2" t="n">
        <x:f>SUM(Calculations!$L$2:$L$201)</x:f>
        <x:v>3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5" customHeight="1">
      <x:c r="A9" s="2" t="str">
        <x:v>First response agreement</x:v>
      </x:c>
      <x:c r="B9" s="7" t="n">
        <x:f>IF(B7=0,"",B8/B7)</x:f>
        <x:v>0.5</x:v>
      </x:c>
      <x:c r="C9" s="2"/>
      <x:c r="D9" s="2"/>
      <x:c r="E9" s="2"/>
      <x:c r="F9" s="2"/>
      <x:c r="G9" s="2"/>
      <x:c r="H9" s="2" t="str">
        <x:v>Mapping coverage</x:v>
      </x:c>
      <x:c r="I9" s="7" t="n">
        <x:f>IF(I7=0,"",I8/I7)</x:f>
        <x:v>0.75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5" customHeight="1">
      <x:c r="A10" s="2" t="str">
        <x:v>Expected chance agreement</x:v>
      </x:c>
      <x:c r="B10" s="7" t="n">
        <x:f>IF(B7=0,"",(G24*B29+G25*C29+G26*D29+G27*E29+G28*F29)/(B7*B7))</x:f>
        <x:v>0.25</x:v>
      </x:c>
      <x:c r="C10" s="2"/>
      <x:c r="D10" s="2"/>
      <x:c r="E10" s="2"/>
      <x:c r="F10" s="2"/>
      <x:c r="G10" s="2"/>
      <x:c r="H10" s="2" t="str">
        <x:v>Clarification items</x:v>
      </x:c>
      <x:c r="I10" s="2" t="n">
        <x:f>SUM(Calculations!$J$2:$J$201)</x:f>
        <x:v>2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5" customHeight="1">
      <x:c r="A11" s="2" t="str">
        <x:v>First response Cohen kappa</x:v>
      </x:c>
      <x:c r="B11" s="8" t="n">
        <x:f>IF(OR(B7&lt;2,B10=1),"",(B9-B10)/(1-B10))</x:f>
        <x:v>0.3333333333333333</x:v>
      </x:c>
      <x:c r="C11" s="2"/>
      <x:c r="D11" s="2"/>
      <x:c r="E11" s="2"/>
      <x:c r="F11" s="2"/>
      <x:c r="G11" s="2"/>
      <x:c r="H11" s="2" t="str">
        <x:v>Clarification rate</x:v>
      </x:c>
      <x:c r="I11" s="7" t="n">
        <x:f>IF(I7=0,"",I10/I7)</x:f>
        <x:v>0.5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5" customHeight="1">
      <x:c r="A12" s="2" t="str"/>
      <x:c r="B12" s="2" t="str">
        <x:f>""</x:f>
      </x:c>
      <x:c r="C12" s="2"/>
      <x:c r="D12" s="2"/>
      <x:c r="E12" s="2"/>
      <x:c r="F12" s="2"/>
      <x:c r="G12" s="2"/>
      <x:c r="H12" s="2" t="str">
        <x:v>Structured fallback items</x:v>
      </x:c>
      <x:c r="I12" s="2" t="n">
        <x:f>SUM(Calculations!$K$2:$K$201)</x:f>
        <x:v>1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5" customHeight="1">
      <x:c r="A13" s="2" t="str">
        <x:v>After clarification eligible pairs</x:v>
      </x:c>
      <x:c r="B13" s="2" t="n">
        <x:f>SUM(Calculations!$H$2:$H$201)</x:f>
        <x:v>3</x:v>
      </x:c>
      <x:c r="C13" s="2"/>
      <x:c r="D13" s="2"/>
      <x:c r="E13" s="2"/>
      <x:c r="F13" s="2"/>
      <x:c r="G13" s="2"/>
      <x:c r="H13" s="2" t="str">
        <x:v>Structured fallback rate</x:v>
      </x:c>
      <x:c r="I13" s="7" t="n">
        <x:f>IF(I7=0,"",I12/I7)</x:f>
        <x:v>0.25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5" customHeight="1">
      <x:c r="A14" s="2" t="str">
        <x:v>After clarification exact matches</x:v>
      </x:c>
      <x:c r="B14" s="2" t="n">
        <x:f>IF(B13=0,"",SUM(Calculations!$I$2:$I$201))</x:f>
        <x:v>2</x:v>
      </x:c>
      <x:c r="C14" s="2"/>
      <x:c r="D14" s="2"/>
      <x:c r="E14" s="2"/>
      <x:c r="F14" s="2"/>
      <x:c r="G14" s="2"/>
      <x:c r="H14" s="2" t="str">
        <x:v>Unanswered conversational items</x:v>
      </x:c>
      <x:c r="I14" s="2" t="n">
        <x:f>COUNTIFS(Calculations!$M$2:$M$201,1,'Trial Rows'!$S$2:$S$201,1)</x:f>
        <x:v>0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5" customHeight="1">
      <x:c r="A15" s="2" t="str">
        <x:v>After clarification agreement</x:v>
      </x:c>
      <x:c r="B15" s="7" t="n">
        <x:f>IF(B13=0,"",B14/B13)</x:f>
        <x:v>0.6666666666666666</x:v>
      </x:c>
      <x:c r="C15" s="2"/>
      <x:c r="D15" s="2"/>
      <x:c r="E15" s="2"/>
      <x:c r="F15" s="2"/>
      <x:c r="G15" s="2"/>
      <x:c r="H15" s="2" t="str">
        <x:v>First response disagreements</x:v>
      </x:c>
      <x:c r="I15" s="2" t="n">
        <x:f>IF(B7=0,"",B7-B8)</x:f>
        <x:v>1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5" customHeight="1">
      <x:c r="A16" s="2" t="str">
        <x:v>After clarification Cohen kappa</x:v>
      </x:c>
      <x:c r="B16" s="8" t="n">
        <x:f>IF(OR(B13&lt;2,I17=1),"",(B15-I17)/(1-I17))</x:f>
        <x:v>0.5714285714285714</x:v>
      </x:c>
      <x:c r="C16" s="2"/>
      <x:c r="D16" s="2"/>
      <x:c r="E16" s="2"/>
      <x:c r="F16" s="2"/>
      <x:c r="G16" s="2"/>
      <x:c r="H16" s="2" t="str">
        <x:v>After clarification disagreements</x:v>
      </x:c>
      <x:c r="I16" s="2" t="n">
        <x:f>IF(B13=0,"",B13-B14)</x:f>
        <x:v>1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 t="str">
        <x:v>Resolved expected agreement</x:v>
      </x:c>
      <x:c r="I17" s="7" t="n">
        <x:f>IF(B13=0,"",(N24*I29+N25*J29+N26*K29+N27*L29+N28*M29)/(B13*B13))</x:f>
        <x:v>0.2222222222222222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5" customHeight="1">
      <x:c r="A18" s="2" t="str">
        <x:v>Kappa needs at least two eligible pairs and nondegenerate marginals. Very small samples are unstable.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5" customHeight="1">
      <x:c r="A19" s="2" t="str">
        <x:v>Raw categories 0 to 4 are compared. Items 2 and 3 are reversed only for total scores.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5" customHeight="1">
      <x:c r="A20" s="2" t="str">
        <x:v>First response is the primary baseline; clarified automatic agreement is secondary. Fixed-choice fallback is excluded.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5" customHeight="1">
      <x:c r="A22" s="2" t="str">
        <x:v>First response confusion matrix</x:v>
      </x:c>
      <x:c r="B22" s="2"/>
      <x:c r="C22" s="2"/>
      <x:c r="D22" s="2"/>
      <x:c r="E22" s="2"/>
      <x:c r="F22" s="2"/>
      <x:c r="G22" s="2"/>
      <x:c r="H22" s="2" t="str">
        <x:v>After clarification confusion matrix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5" customHeight="1">
      <x:c r="A23" s="9" t="str">
        <x:v>Closed / mapped</x:v>
      </x:c>
      <x:c r="B23" s="9" t="n">
        <x:v>0</x:v>
      </x:c>
      <x:c r="C23" s="9" t="n">
        <x:v>1</x:v>
      </x:c>
      <x:c r="D23" s="9" t="n">
        <x:v>2</x:v>
      </x:c>
      <x:c r="E23" s="9" t="n">
        <x:v>3</x:v>
      </x:c>
      <x:c r="F23" s="9" t="n">
        <x:v>4</x:v>
      </x:c>
      <x:c r="G23" s="9" t="str">
        <x:v>Closed total</x:v>
      </x:c>
      <x:c r="H23" s="9" t="str">
        <x:v>Closed / mapped</x:v>
      </x:c>
      <x:c r="I23" s="9" t="n">
        <x:v>0</x:v>
      </x:c>
      <x:c r="J23" s="9" t="n">
        <x:v>1</x:v>
      </x:c>
      <x:c r="K23" s="9" t="n">
        <x:v>2</x:v>
      </x:c>
      <x:c r="L23" s="9" t="n">
        <x:v>3</x:v>
      </x:c>
      <x:c r="M23" s="9" t="n">
        <x:v>4</x:v>
      </x:c>
      <x:c r="N23" s="9" t="str">
        <x:v>Closed total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5" customHeight="1">
      <x:c r="A24" s="9" t="n">
        <x:v>0</x:v>
      </x:c>
      <x:c r="B24" s="9" t="n">
        <x:f>COUNTIFS(Calculations!$F$2:$F$201,1,Calculations!$E$2:$E$201,$A24,'Trial Rows'!$M$2:$M$201,B$23)</x:f>
        <x:v>1</x:v>
      </x:c>
      <x:c r="C24" s="9" t="n">
        <x:f>COUNTIFS(Calculations!$F$2:$F$201,1,Calculations!$E$2:$E$201,$A24,'Trial Rows'!$M$2:$M$201,C$23)</x:f>
        <x:v>0</x:v>
      </x:c>
      <x:c r="D24" s="9" t="n">
        <x:f>COUNTIFS(Calculations!$F$2:$F$201,1,Calculations!$E$2:$E$201,$A24,'Trial Rows'!$M$2:$M$201,D$23)</x:f>
        <x:v>0</x:v>
      </x:c>
      <x:c r="E24" s="9" t="n">
        <x:f>COUNTIFS(Calculations!$F$2:$F$201,1,Calculations!$E$2:$E$201,$A24,'Trial Rows'!$M$2:$M$201,E$23)</x:f>
        <x:v>0</x:v>
      </x:c>
      <x:c r="F24" s="9" t="n">
        <x:f>COUNTIFS(Calculations!$F$2:$F$201,1,Calculations!$E$2:$E$201,$A24,'Trial Rows'!$M$2:$M$201,F$23)</x:f>
        <x:v>0</x:v>
      </x:c>
      <x:c r="G24" s="9" t="n">
        <x:f>SUM(B24:F24)</x:f>
        <x:v>1</x:v>
      </x:c>
      <x:c r="H24" s="9" t="n">
        <x:v>0</x:v>
      </x:c>
      <x:c r="I24" s="9" t="n">
        <x:f>COUNTIFS(Calculations!$H$2:$H$201,1,Calculations!$E$2:$E$201,$H24,'Trial Rows'!$L$2:$L$201,I$23)</x:f>
        <x:v>1</x:v>
      </x:c>
      <x:c r="J24" s="9" t="n">
        <x:f>COUNTIFS(Calculations!$H$2:$H$201,1,Calculations!$E$2:$E$201,$H24,'Trial Rows'!$L$2:$L$201,J$23)</x:f>
        <x:v>0</x:v>
      </x:c>
      <x:c r="K24" s="9" t="n">
        <x:f>COUNTIFS(Calculations!$H$2:$H$201,1,Calculations!$E$2:$E$201,$H24,'Trial Rows'!$L$2:$L$201,K$23)</x:f>
        <x:v>0</x:v>
      </x:c>
      <x:c r="L24" s="9" t="n">
        <x:f>COUNTIFS(Calculations!$H$2:$H$201,1,Calculations!$E$2:$E$201,$H24,'Trial Rows'!$L$2:$L$201,L$23)</x:f>
        <x:v>0</x:v>
      </x:c>
      <x:c r="M24" s="9" t="n">
        <x:f>COUNTIFS(Calculations!$H$2:$H$201,1,Calculations!$E$2:$E$201,$H24,'Trial Rows'!$L$2:$L$201,M$23)</x:f>
        <x:v>0</x:v>
      </x:c>
      <x:c r="N24" s="9" t="n">
        <x:f>SUM(I24:M24)</x:f>
        <x:v>1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5" customHeight="1">
      <x:c r="A25" s="9" t="n">
        <x:v>1</x:v>
      </x:c>
      <x:c r="B25" s="9" t="n">
        <x:f>COUNTIFS(Calculations!$F$2:$F$201,1,Calculations!$E$2:$E$201,$A25,'Trial Rows'!$M$2:$M$201,B$23)</x:f>
        <x:v>0</x:v>
      </x:c>
      <x:c r="C25" s="9" t="n">
        <x:f>COUNTIFS(Calculations!$F$2:$F$201,1,Calculations!$E$2:$E$201,$A25,'Trial Rows'!$M$2:$M$201,C$23)</x:f>
        <x:v>0</x:v>
      </x:c>
      <x:c r="D25" s="9" t="n">
        <x:f>COUNTIFS(Calculations!$F$2:$F$201,1,Calculations!$E$2:$E$201,$A25,'Trial Rows'!$M$2:$M$201,D$23)</x:f>
        <x:v>0</x:v>
      </x:c>
      <x:c r="E25" s="9" t="n">
        <x:f>COUNTIFS(Calculations!$F$2:$F$201,1,Calculations!$E$2:$E$201,$A25,'Trial Rows'!$M$2:$M$201,E$23)</x:f>
        <x:v>0</x:v>
      </x:c>
      <x:c r="F25" s="9" t="n">
        <x:f>COUNTIFS(Calculations!$F$2:$F$201,1,Calculations!$E$2:$E$201,$A25,'Trial Rows'!$M$2:$M$201,F$23)</x:f>
        <x:v>0</x:v>
      </x:c>
      <x:c r="G25" s="9" t="n">
        <x:f>SUM(B25:F25)</x:f>
        <x:v>0</x:v>
      </x:c>
      <x:c r="H25" s="9" t="n">
        <x:v>1</x:v>
      </x:c>
      <x:c r="I25" s="9" t="n">
        <x:f>COUNTIFS(Calculations!$H$2:$H$201,1,Calculations!$E$2:$E$201,$H25,'Trial Rows'!$L$2:$L$201,I$23)</x:f>
        <x:v>0</x:v>
      </x:c>
      <x:c r="J25" s="9" t="n">
        <x:f>COUNTIFS(Calculations!$H$2:$H$201,1,Calculations!$E$2:$E$201,$H25,'Trial Rows'!$L$2:$L$201,J$23)</x:f>
        <x:v>1</x:v>
      </x:c>
      <x:c r="K25" s="9" t="n">
        <x:f>COUNTIFS(Calculations!$H$2:$H$201,1,Calculations!$E$2:$E$201,$H25,'Trial Rows'!$L$2:$L$201,K$23)</x:f>
        <x:v>0</x:v>
      </x:c>
      <x:c r="L25" s="9" t="n">
        <x:f>COUNTIFS(Calculations!$H$2:$H$201,1,Calculations!$E$2:$E$201,$H25,'Trial Rows'!$L$2:$L$201,L$23)</x:f>
        <x:v>0</x:v>
      </x:c>
      <x:c r="M25" s="9" t="n">
        <x:f>COUNTIFS(Calculations!$H$2:$H$201,1,Calculations!$E$2:$E$201,$H25,'Trial Rows'!$L$2:$L$201,M$23)</x:f>
        <x:v>0</x:v>
      </x:c>
      <x:c r="N25" s="9" t="n">
        <x:f>SUM(I25:M25)</x:f>
        <x:v>1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5" customHeight="1">
      <x:c r="A26" s="9" t="n">
        <x:v>2</x:v>
      </x:c>
      <x:c r="B26" s="9" t="n">
        <x:f>COUNTIFS(Calculations!$F$2:$F$201,1,Calculations!$E$2:$E$201,$A26,'Trial Rows'!$M$2:$M$201,B$23)</x:f>
        <x:v>0</x:v>
      </x:c>
      <x:c r="C26" s="9" t="n">
        <x:f>COUNTIFS(Calculations!$F$2:$F$201,1,Calculations!$E$2:$E$201,$A26,'Trial Rows'!$M$2:$M$201,C$23)</x:f>
        <x:v>0</x:v>
      </x:c>
      <x:c r="D26" s="9" t="n">
        <x:f>COUNTIFS(Calculations!$F$2:$F$201,1,Calculations!$E$2:$E$201,$A26,'Trial Rows'!$M$2:$M$201,D$23)</x:f>
        <x:v>0</x:v>
      </x:c>
      <x:c r="E26" s="9" t="n">
        <x:f>COUNTIFS(Calculations!$F$2:$F$201,1,Calculations!$E$2:$E$201,$A26,'Trial Rows'!$M$2:$M$201,E$23)</x:f>
        <x:v>1</x:v>
      </x:c>
      <x:c r="F26" s="9" t="n">
        <x:f>COUNTIFS(Calculations!$F$2:$F$201,1,Calculations!$E$2:$E$201,$A26,'Trial Rows'!$M$2:$M$201,F$23)</x:f>
        <x:v>0</x:v>
      </x:c>
      <x:c r="G26" s="9" t="n">
        <x:f>SUM(B26:F26)</x:f>
        <x:v>1</x:v>
      </x:c>
      <x:c r="H26" s="9" t="n">
        <x:v>2</x:v>
      </x:c>
      <x:c r="I26" s="9" t="n">
        <x:f>COUNTIFS(Calculations!$H$2:$H$201,1,Calculations!$E$2:$E$201,$H26,'Trial Rows'!$L$2:$L$201,I$23)</x:f>
        <x:v>0</x:v>
      </x:c>
      <x:c r="J26" s="9" t="n">
        <x:f>COUNTIFS(Calculations!$H$2:$H$201,1,Calculations!$E$2:$E$201,$H26,'Trial Rows'!$L$2:$L$201,J$23)</x:f>
        <x:v>0</x:v>
      </x:c>
      <x:c r="K26" s="9" t="n">
        <x:f>COUNTIFS(Calculations!$H$2:$H$201,1,Calculations!$E$2:$E$201,$H26,'Trial Rows'!$L$2:$L$201,K$23)</x:f>
        <x:v>0</x:v>
      </x:c>
      <x:c r="L26" s="9" t="n">
        <x:f>COUNTIFS(Calculations!$H$2:$H$201,1,Calculations!$E$2:$E$201,$H26,'Trial Rows'!$L$2:$L$201,L$23)</x:f>
        <x:v>1</x:v>
      </x:c>
      <x:c r="M26" s="9" t="n">
        <x:f>COUNTIFS(Calculations!$H$2:$H$201,1,Calculations!$E$2:$E$201,$H26,'Trial Rows'!$L$2:$L$201,M$23)</x:f>
        <x:v>0</x:v>
      </x:c>
      <x:c r="N26" s="9" t="n">
        <x:f>SUM(I26:M26)</x:f>
        <x:v>1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5" customHeight="1">
      <x:c r="A27" s="9" t="n">
        <x:v>3</x:v>
      </x:c>
      <x:c r="B27" s="9" t="n">
        <x:f>COUNTIFS(Calculations!$F$2:$F$201,1,Calculations!$E$2:$E$201,$A27,'Trial Rows'!$M$2:$M$201,B$23)</x:f>
        <x:v>0</x:v>
      </x:c>
      <x:c r="C27" s="9" t="n">
        <x:f>COUNTIFS(Calculations!$F$2:$F$201,1,Calculations!$E$2:$E$201,$A27,'Trial Rows'!$M$2:$M$201,C$23)</x:f>
        <x:v>0</x:v>
      </x:c>
      <x:c r="D27" s="9" t="n">
        <x:f>COUNTIFS(Calculations!$F$2:$F$201,1,Calculations!$E$2:$E$201,$A27,'Trial Rows'!$M$2:$M$201,D$23)</x:f>
        <x:v>0</x:v>
      </x:c>
      <x:c r="E27" s="9" t="n">
        <x:f>COUNTIFS(Calculations!$F$2:$F$201,1,Calculations!$E$2:$E$201,$A27,'Trial Rows'!$M$2:$M$201,E$23)</x:f>
        <x:v>0</x:v>
      </x:c>
      <x:c r="F27" s="9" t="n">
        <x:f>COUNTIFS(Calculations!$F$2:$F$201,1,Calculations!$E$2:$E$201,$A27,'Trial Rows'!$M$2:$M$201,F$23)</x:f>
        <x:v>0</x:v>
      </x:c>
      <x:c r="G27" s="9" t="n">
        <x:f>SUM(B27:F27)</x:f>
        <x:v>0</x:v>
      </x:c>
      <x:c r="H27" s="9" t="n">
        <x:v>3</x:v>
      </x:c>
      <x:c r="I27" s="9" t="n">
        <x:f>COUNTIFS(Calculations!$H$2:$H$201,1,Calculations!$E$2:$E$201,$H27,'Trial Rows'!$L$2:$L$201,I$23)</x:f>
        <x:v>0</x:v>
      </x:c>
      <x:c r="J27" s="9" t="n">
        <x:f>COUNTIFS(Calculations!$H$2:$H$201,1,Calculations!$E$2:$E$201,$H27,'Trial Rows'!$L$2:$L$201,J$23)</x:f>
        <x:v>0</x:v>
      </x:c>
      <x:c r="K27" s="9" t="n">
        <x:f>COUNTIFS(Calculations!$H$2:$H$201,1,Calculations!$E$2:$E$201,$H27,'Trial Rows'!$L$2:$L$201,K$23)</x:f>
        <x:v>0</x:v>
      </x:c>
      <x:c r="L27" s="9" t="n">
        <x:f>COUNTIFS(Calculations!$H$2:$H$201,1,Calculations!$E$2:$E$201,$H27,'Trial Rows'!$L$2:$L$201,L$23)</x:f>
        <x:v>0</x:v>
      </x:c>
      <x:c r="M27" s="9" t="n">
        <x:f>COUNTIFS(Calculations!$H$2:$H$201,1,Calculations!$E$2:$E$201,$H27,'Trial Rows'!$L$2:$L$201,M$23)</x:f>
        <x:v>0</x:v>
      </x:c>
      <x:c r="N27" s="9" t="n">
        <x:f>SUM(I27:M27)</x:f>
        <x:v>0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5" customHeight="1">
      <x:c r="A28" s="9" t="n">
        <x:v>4</x:v>
      </x:c>
      <x:c r="B28" s="9" t="n">
        <x:f>COUNTIFS(Calculations!$F$2:$F$201,1,Calculations!$E$2:$E$201,$A28,'Trial Rows'!$M$2:$M$201,B$23)</x:f>
        <x:v>0</x:v>
      </x:c>
      <x:c r="C28" s="9" t="n">
        <x:f>COUNTIFS(Calculations!$F$2:$F$201,1,Calculations!$E$2:$E$201,$A28,'Trial Rows'!$M$2:$M$201,C$23)</x:f>
        <x:v>0</x:v>
      </x:c>
      <x:c r="D28" s="9" t="n">
        <x:f>COUNTIFS(Calculations!$F$2:$F$201,1,Calculations!$E$2:$E$201,$A28,'Trial Rows'!$M$2:$M$201,D$23)</x:f>
        <x:v>0</x:v>
      </x:c>
      <x:c r="E28" s="9" t="n">
        <x:f>COUNTIFS(Calculations!$F$2:$F$201,1,Calculations!$E$2:$E$201,$A28,'Trial Rows'!$M$2:$M$201,E$23)</x:f>
        <x:v>0</x:v>
      </x:c>
      <x:c r="F28" s="9" t="n">
        <x:f>COUNTIFS(Calculations!$F$2:$F$201,1,Calculations!$E$2:$E$201,$A28,'Trial Rows'!$M$2:$M$201,F$23)</x:f>
        <x:v>0</x:v>
      </x:c>
      <x:c r="G28" s="9" t="n">
        <x:f>SUM(B28:F28)</x:f>
        <x:v>0</x:v>
      </x:c>
      <x:c r="H28" s="9" t="n">
        <x:v>4</x:v>
      </x:c>
      <x:c r="I28" s="9" t="n">
        <x:f>COUNTIFS(Calculations!$H$2:$H$201,1,Calculations!$E$2:$E$201,$H28,'Trial Rows'!$L$2:$L$201,I$23)</x:f>
        <x:v>0</x:v>
      </x:c>
      <x:c r="J28" s="9" t="n">
        <x:f>COUNTIFS(Calculations!$H$2:$H$201,1,Calculations!$E$2:$E$201,$H28,'Trial Rows'!$L$2:$L$201,J$23)</x:f>
        <x:v>0</x:v>
      </x:c>
      <x:c r="K28" s="9" t="n">
        <x:f>COUNTIFS(Calculations!$H$2:$H$201,1,Calculations!$E$2:$E$201,$H28,'Trial Rows'!$L$2:$L$201,K$23)</x:f>
        <x:v>0</x:v>
      </x:c>
      <x:c r="L28" s="9" t="n">
        <x:f>COUNTIFS(Calculations!$H$2:$H$201,1,Calculations!$E$2:$E$201,$H28,'Trial Rows'!$L$2:$L$201,L$23)</x:f>
        <x:v>0</x:v>
      </x:c>
      <x:c r="M28" s="9" t="n">
        <x:f>COUNTIFS(Calculations!$H$2:$H$201,1,Calculations!$E$2:$E$201,$H28,'Trial Rows'!$L$2:$L$201,M$23)</x:f>
        <x:v>0</x:v>
      </x:c>
      <x:c r="N28" s="9" t="n">
        <x:f>SUM(I28:M28)</x:f>
        <x:v>0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5" customHeight="1">
      <x:c r="A29" s="9"/>
      <x:c r="B29" s="9" t="n">
        <x:f>SUM(B24:B28)</x:f>
        <x:v>1</x:v>
      </x:c>
      <x:c r="C29" s="9" t="n">
        <x:f>SUM(C24:C28)</x:f>
        <x:v>0</x:v>
      </x:c>
      <x:c r="D29" s="9" t="n">
        <x:f>SUM(D24:D28)</x:f>
        <x:v>0</x:v>
      </x:c>
      <x:c r="E29" s="9" t="n">
        <x:f>SUM(E24:E28)</x:f>
        <x:v>1</x:v>
      </x:c>
      <x:c r="F29" s="9" t="n">
        <x:f>SUM(F24:F28)</x:f>
        <x:v>0</x:v>
      </x:c>
      <x:c r="G29" s="9"/>
      <x:c r="H29" s="9"/>
      <x:c r="I29" s="9" t="n">
        <x:f>SUM(I24:I28)</x:f>
        <x:v>1</x:v>
      </x:c>
      <x:c r="J29" s="9" t="n">
        <x:f>SUM(J24:J28)</x:f>
        <x:v>1</x:v>
      </x:c>
      <x:c r="K29" s="9" t="n">
        <x:f>SUM(K24:K28)</x:f>
        <x:v>0</x:v>
      </x:c>
      <x:c r="L29" s="9" t="n">
        <x:f>SUM(L24:L28)</x:f>
        <x:v>1</x:v>
      </x:c>
      <x:c r="M29" s="9" t="n">
        <x:f>SUM(M24:M28)</x:f>
        <x:v>0</x:v>
      </x:c>
      <x:c r="N29" s="9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5" customHeight="1">
      <x:c r="A32" s="9" t="str">
        <x:v>Condition</x:v>
      </x:c>
      <x:c r="B32" s="9" t="str">
        <x:v>Completed runs</x:v>
      </x:c>
      <x:c r="C32" s="9" t="str">
        <x:v>Median seconds</x:v>
      </x:c>
      <x:c r="D32" s="9" t="str">
        <x:v>Min seconds</x:v>
      </x:c>
      <x:c r="E32" s="9" t="str">
        <x:v>Max seconds</x:v>
      </x:c>
      <x:c r="F32" s="2"/>
      <x:c r="G32" s="2"/>
      <x:c r="H32" s="2" t="str">
        <x:v>Participants with recorded items</x:v>
      </x:c>
      <x:c r="I32" s="2" t="n">
        <x:f>SUM(Calculations!S2:S201)</x:f>
        <x:v>1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5" customHeight="1">
      <x:c r="A33" s="9" t="str">
        <x:v>A</x:v>
      </x:c>
      <x:c r="B33" s="9" t="n">
        <x:f>COUNT(Calculations!$P$2:$P$201)</x:f>
        <x:v>1</x:v>
      </x:c>
      <x:c r="C33" s="10" t="n">
        <x:f>IF(B33=0,"",MEDIAN(Calculations!$P$2:$P$201))</x:f>
        <x:v>4</x:v>
      </x:c>
      <x:c r="D33" s="10" t="n">
        <x:f>IF(B33=0,"",MIN(Calculations!$P$2:$P$201))</x:f>
        <x:v>4</x:v>
      </x:c>
      <x:c r="E33" s="10" t="n">
        <x:f>IF(B33=0,"",MAX(Calculations!$P$2:$P$201))</x:f>
        <x:v>4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5" customHeight="1">
      <x:c r="A34" s="9" t="str">
        <x:v>B</x:v>
      </x:c>
      <x:c r="B34" s="9" t="n">
        <x:f>COUNT(Calculations!$Q$2:$Q$201)</x:f>
        <x:v>1</x:v>
      </x:c>
      <x:c r="C34" s="10" t="n">
        <x:f>IF(B34=0,"",MEDIAN(Calculations!$Q$2:$Q$201))</x:f>
        <x:v>8</x:v>
      </x:c>
      <x:c r="D34" s="10" t="n">
        <x:f>IF(B34=0,"",MIN(Calculations!$Q$2:$Q$201))</x:f>
        <x:v>8</x:v>
      </x:c>
      <x:c r="E34" s="10" t="n">
        <x:f>IF(B34=0,"",MAX(Calculations!$Q$2:$Q$201))</x:f>
        <x:v>8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5" customHeight="1">
      <x:c r="A36" s="2" t="str">
        <x:v>Paste CSV values into Trial Rows A2:AB201 without its header. Capacity 200 item rows. Keep types and versions separate.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5" customHeight="1">
      <x:c r="A37" s="2" t="str">
        <x:v>Retain all failures; document exclusions in error_notes. Duplicate/missing pairs cannot enter agreement.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5" customHeight="1">
      <x:c r="A38" s="2" t="str">
        <x:v>See Participant Results for each session and score. Dates/times exported by the app are UTC. Durations use elapsed seconds.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5" customHeight="1">
      <x:c r="A39" s="2" t="str">
        <x:v>Source: supplied CAP 5627 Project 2.1 instructions; frozen core.js and FIELDS schema.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dataValidations count="1">
    <x:dataValidation type="list" sqref="B4">
      <x:formula1>"fallback,genuine pilot,dry run,synthetic"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35" hidden="0" customWidth="1"/>
    <x:col min="25" max="25" width="19" hidden="0" customWidth="1"/>
    <x:col min="26" max="26" width="40" hidden="0" customWidth="1"/>
    <x:col min="27" max="27" width="40" hidden="0" customWidth="1"/>
    <x:col min="28" max="28" width="19" hidden="0" customWidth="1"/>
  </x:cols>
  <x:sheetData>
    <x:row r="1" ht="36" customHeight="1">
      <x:c r="A1" s="11" t="str">
        <x:v>trial_id</x:v>
      </x:c>
      <x:c r="B1" s="11" t="str">
        <x:v>session_id</x:v>
      </x:c>
      <x:c r="C1" s="11" t="str">
        <x:v>participant_id</x:v>
      </x:c>
      <x:c r="D1" s="11" t="str">
        <x:v>date</x:v>
      </x:c>
      <x:c r="E1" s="11" t="str">
        <x:v>time</x:v>
      </x:c>
      <x:c r="F1" s="11" t="str">
        <x:v>version</x:v>
      </x:c>
      <x:c r="G1" s="11" t="str">
        <x:v>condition</x:v>
      </x:c>
      <x:c r="H1" s="11" t="str">
        <x:v>condition_order</x:v>
      </x:c>
      <x:c r="I1" s="11" t="str">
        <x:v>question</x:v>
      </x:c>
      <x:c r="J1" s="11" t="str">
        <x:v>original_response</x:v>
      </x:c>
      <x:c r="K1" s="11" t="str">
        <x:v>closed_category</x:v>
      </x:c>
      <x:c r="L1" s="11" t="str">
        <x:v>auto_category</x:v>
      </x:c>
      <x:c r="M1" s="11" t="str">
        <x:v>initial_auto_category</x:v>
      </x:c>
      <x:c r="N1" s="11" t="str">
        <x:v>final_category</x:v>
      </x:c>
      <x:c r="O1" s="11" t="str">
        <x:v>clarified_response</x:v>
      </x:c>
      <x:c r="P1" s="11" t="str">
        <x:v>clarification_count</x:v>
      </x:c>
      <x:c r="Q1" s="11" t="str">
        <x:v>fallback</x:v>
      </x:c>
      <x:c r="R1" s="11" t="str">
        <x:v>mapping_success</x:v>
      </x:c>
      <x:c r="S1" s="11" t="str">
        <x:v>unanswered</x:v>
      </x:c>
      <x:c r="T1" s="11" t="str">
        <x:v>response_ms</x:v>
      </x:c>
      <x:c r="U1" s="11" t="str">
        <x:v>condition_ms</x:v>
      </x:c>
      <x:c r="V1" s="11" t="str">
        <x:v>condition_start</x:v>
      </x:c>
      <x:c r="W1" s="11" t="str">
        <x:v>condition_end</x:v>
      </x:c>
      <x:c r="X1" s="11" t="str">
        <x:v>error_notes</x:v>
      </x:c>
      <x:c r="Y1" s="11" t="str">
        <x:v>trial_type</x:v>
      </x:c>
      <x:c r="Z1" s="11" t="str">
        <x:v>notes</x:v>
      </x:c>
      <x:c r="AA1" s="11" t="str">
        <x:v>history</x:v>
      </x:c>
      <x:c r="AB1" s="11" t="str">
        <x:v>rule_id</x:v>
      </x:c>
    </x:row>
    <x:row r="2" ht="23" customHeight="1">
      <x:c r="A2" s="2" t="str">
        <x:v>30cdd71e-9225-42e2-9347-833e110a08b2-A-1</x:v>
      </x:c>
      <x:c r="B2" s="2" t="str">
        <x:v>30cdd71e-9225-42e2-9347-833e110a08b2</x:v>
      </x:c>
      <x:c r="C2" s="2" t="str">
        <x:v>TEST01</x:v>
      </x:c>
      <x:c r="D2" s="2" t="str">
        <x:v>2026-10-21</x:v>
      </x:c>
      <x:c r="E2" s="2" t="str">
        <x:v>22:38:50.886Z</x:v>
      </x:c>
      <x:c r="F2" s="2" t="str">
        <x:v>PSS4-offline-1.1.0</x:v>
      </x:c>
      <x:c r="G2" s="2" t="str">
        <x:v>A</x:v>
      </x:c>
      <x:c r="H2" s="2" t="str">
        <x:v>AB</x:v>
      </x:c>
      <x:c r="I2" s="2" t="n">
        <x:v>1</x:v>
      </x:c>
      <x:c r="J2" s="2" t="str">
        <x:v>Synthetic text, "quoted"
second line</x:v>
      </x:c>
      <x:c r="K2" s="2" t="n">
        <x:v>0</x:v>
      </x:c>
      <x:c r="L2" s="2"/>
      <x:c r="M2" s="2"/>
      <x:c r="N2" s="2" t="n">
        <x:v>0</x:v>
      </x:c>
      <x:c r="O2" s="2" t="str"/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1000</x:v>
      </x:c>
      <x:c r="U2" s="2" t="n">
        <x:v>4000</x:v>
      </x:c>
      <x:c r="V2" s="2" t="d">
        <x:v>2026-10-21T22:38:50.795Z</x:v>
      </x:c>
      <x:c r="W2" s="2" t="d">
        <x:v>2026-10-21T22:00:08.000Z</x:v>
      </x:c>
      <x:c r="X2" s="2" t="str"/>
      <x:c r="Y2" s="2" t="str">
        <x:v>synthetic</x:v>
      </x:c>
      <x:c r="Z2" s="2" t="str">
        <x:v>SYNTHETIC FORMULA TEST ONLY</x:v>
      </x:c>
      <x:c r="AA2" s="2" t="str">
        <x:v>[]</x:v>
      </x:c>
      <x:c r="AB2" s="2" t="str"/>
    </x:row>
    <x:row r="3" ht="23" customHeight="1">
      <x:c r="A3" s="2" t="str">
        <x:v>30cdd71e-9225-42e2-9347-833e110a08b2-A-2</x:v>
      </x:c>
      <x:c r="B3" s="2" t="str">
        <x:v>30cdd71e-9225-42e2-9347-833e110a08b2</x:v>
      </x:c>
      <x:c r="C3" s="2" t="str">
        <x:v>TEST01</x:v>
      </x:c>
      <x:c r="D3" s="2" t="str">
        <x:v>2026-10-21</x:v>
      </x:c>
      <x:c r="E3" s="2" t="str">
        <x:v>22:38:50.920Z</x:v>
      </x:c>
      <x:c r="F3" s="2" t="str">
        <x:v>PSS4-offline-1.1.0</x:v>
      </x:c>
      <x:c r="G3" s="2" t="str">
        <x:v>A</x:v>
      </x:c>
      <x:c r="H3" s="2" t="str">
        <x:v>AB</x:v>
      </x:c>
      <x:c r="I3" s="2" t="n">
        <x:v>2</x:v>
      </x:c>
      <x:c r="J3" s="2" t="str">
        <x:v>Almost never</x:v>
      </x:c>
      <x:c r="K3" s="2" t="n">
        <x:v>1</x:v>
      </x:c>
      <x:c r="L3" s="2"/>
      <x:c r="M3" s="2"/>
      <x:c r="N3" s="2" t="n">
        <x:v>1</x:v>
      </x:c>
      <x:c r="O3" s="2" t="str"/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1000</x:v>
      </x:c>
      <x:c r="U3" s="2" t="n">
        <x:v>4000</x:v>
      </x:c>
      <x:c r="V3" s="2" t="d">
        <x:v>2026-10-21T22:38:50.795Z</x:v>
      </x:c>
      <x:c r="W3" s="2" t="d">
        <x:v>2026-10-21T22:00:08.000Z</x:v>
      </x:c>
      <x:c r="X3" s="2" t="str"/>
      <x:c r="Y3" s="2" t="str">
        <x:v>synthetic</x:v>
      </x:c>
      <x:c r="Z3" s="2" t="str">
        <x:v>SYNTHETIC FORMULA TEST ONLY</x:v>
      </x:c>
      <x:c r="AA3" s="2" t="str">
        <x:v>[]</x:v>
      </x:c>
      <x:c r="AB3" s="2" t="str"/>
    </x:row>
    <x:row r="4" ht="23" customHeight="1">
      <x:c r="A4" s="2" t="str">
        <x:v>30cdd71e-9225-42e2-9347-833e110a08b2-A-3</x:v>
      </x:c>
      <x:c r="B4" s="2" t="str">
        <x:v>30cdd71e-9225-42e2-9347-833e110a08b2</x:v>
      </x:c>
      <x:c r="C4" s="2" t="str">
        <x:v>TEST01</x:v>
      </x:c>
      <x:c r="D4" s="2" t="str">
        <x:v>2026-10-21</x:v>
      </x:c>
      <x:c r="E4" s="2" t="str">
        <x:v>22:38:50.953Z</x:v>
      </x:c>
      <x:c r="F4" s="2" t="str">
        <x:v>PSS4-offline-1.1.0</x:v>
      </x:c>
      <x:c r="G4" s="2" t="str">
        <x:v>A</x:v>
      </x:c>
      <x:c r="H4" s="2" t="str">
        <x:v>AB</x:v>
      </x:c>
      <x:c r="I4" s="2" t="n">
        <x:v>3</x:v>
      </x:c>
      <x:c r="J4" s="2" t="str">
        <x:v>Sometimes</x:v>
      </x:c>
      <x:c r="K4" s="2" t="n">
        <x:v>2</x:v>
      </x:c>
      <x:c r="L4" s="2"/>
      <x:c r="M4" s="2"/>
      <x:c r="N4" s="2" t="n">
        <x:v>2</x:v>
      </x:c>
      <x:c r="O4" s="2" t="str"/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1000</x:v>
      </x:c>
      <x:c r="U4" s="2" t="n">
        <x:v>4000</x:v>
      </x:c>
      <x:c r="V4" s="2" t="d">
        <x:v>2026-10-21T22:38:50.795Z</x:v>
      </x:c>
      <x:c r="W4" s="2" t="d">
        <x:v>2026-10-21T22:00:08.000Z</x:v>
      </x:c>
      <x:c r="X4" s="2" t="str"/>
      <x:c r="Y4" s="2" t="str">
        <x:v>synthetic</x:v>
      </x:c>
      <x:c r="Z4" s="2" t="str">
        <x:v>SYNTHETIC FORMULA TEST ONLY</x:v>
      </x:c>
      <x:c r="AA4" s="2" t="str">
        <x:v>[]</x:v>
      </x:c>
      <x:c r="AB4" s="2" t="str"/>
    </x:row>
    <x:row r="5" ht="23" customHeight="1">
      <x:c r="A5" s="2" t="str">
        <x:v>30cdd71e-9225-42e2-9347-833e110a08b2-A-4</x:v>
      </x:c>
      <x:c r="B5" s="2" t="str">
        <x:v>30cdd71e-9225-42e2-9347-833e110a08b2</x:v>
      </x:c>
      <x:c r="C5" s="2" t="str">
        <x:v>TEST01</x:v>
      </x:c>
      <x:c r="D5" s="2" t="str">
        <x:v>2026-10-21</x:v>
      </x:c>
      <x:c r="E5" s="2" t="str">
        <x:v>22:38:50.986Z</x:v>
      </x:c>
      <x:c r="F5" s="2" t="str">
        <x:v>PSS4-offline-1.1.0</x:v>
      </x:c>
      <x:c r="G5" s="2" t="str">
        <x:v>A</x:v>
      </x:c>
      <x:c r="H5" s="2" t="str">
        <x:v>AB</x:v>
      </x:c>
      <x:c r="I5" s="2" t="n">
        <x:v>4</x:v>
      </x:c>
      <x:c r="J5" s="2" t="str">
        <x:v>Fairly often</x:v>
      </x:c>
      <x:c r="K5" s="2" t="n">
        <x:v>3</x:v>
      </x:c>
      <x:c r="L5" s="2"/>
      <x:c r="M5" s="2"/>
      <x:c r="N5" s="2" t="n">
        <x:v>3</x:v>
      </x:c>
      <x:c r="O5" s="2" t="str"/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1000</x:v>
      </x:c>
      <x:c r="U5" s="2" t="n">
        <x:v>4000</x:v>
      </x:c>
      <x:c r="V5" s="2" t="d">
        <x:v>2026-10-21T22:38:50.795Z</x:v>
      </x:c>
      <x:c r="W5" s="2" t="d">
        <x:v>2026-10-21T22:00:08.000Z</x:v>
      </x:c>
      <x:c r="X5" s="2" t="str"/>
      <x:c r="Y5" s="2" t="str">
        <x:v>synthetic</x:v>
      </x:c>
      <x:c r="Z5" s="2" t="str">
        <x:v>SYNTHETIC FORMULA TEST ONLY</x:v>
      </x:c>
      <x:c r="AA5" s="2" t="str">
        <x:v>[]</x:v>
      </x:c>
      <x:c r="AB5" s="2" t="str"/>
    </x:row>
    <x:row r="6" ht="23" customHeight="1">
      <x:c r="A6" s="2" t="str">
        <x:v>30cdd71e-9225-42e2-9347-833e110a08b2-B-1</x:v>
      </x:c>
      <x:c r="B6" s="2" t="str">
        <x:v>30cdd71e-9225-42e2-9347-833e110a08b2</x:v>
      </x:c>
      <x:c r="C6" s="2" t="str">
        <x:v>TEST01</x:v>
      </x:c>
      <x:c r="D6" s="2" t="str">
        <x:v>2026-10-21</x:v>
      </x:c>
      <x:c r="E6" s="2" t="str">
        <x:v>22:38:51.103Z</x:v>
      </x:c>
      <x:c r="F6" s="2" t="str">
        <x:v>PSS4-offline-1.1.0</x:v>
      </x:c>
      <x:c r="G6" s="2" t="str">
        <x:v>B</x:v>
      </x:c>
      <x:c r="H6" s="2" t="str">
        <x:v>AB</x:v>
      </x:c>
      <x:c r="I6" s="2" t="n">
        <x:v>1</x:v>
      </x:c>
      <x:c r="J6" s="2" t="str">
        <x:v>Sometimes</x:v>
      </x:c>
      <x:c r="K6" s="2"/>
      <x:c r="L6" s="2" t="n">
        <x:v>0</x:v>
      </x:c>
      <x:c r="M6" s="2" t="n">
        <x:v>0</x:v>
      </x:c>
      <x:c r="N6" s="2" t="n">
        <x:v>0</x:v>
      </x:c>
      <x:c r="O6" s="2" t="str"/>
      <x:c r="P6" s="2" t="n">
        <x:v>0</x:v>
      </x:c>
      <x:c r="Q6" s="2" t="n">
        <x:v>0</x:v>
      </x:c>
      <x:c r="R6" s="2" t="n">
        <x:v>1</x:v>
      </x:c>
      <x:c r="S6" s="2" t="n">
        <x:v>0</x:v>
      </x:c>
      <x:c r="T6" s="2" t="n">
        <x:v>2000</x:v>
      </x:c>
      <x:c r="U6" s="2" t="n">
        <x:v>8000</x:v>
      </x:c>
      <x:c r="V6" s="2" t="d">
        <x:v>2026-10-21T22:38:51.003Z</x:v>
      </x:c>
      <x:c r="W6" s="2" t="d">
        <x:v>2026-10-21T22:00:08.000Z</x:v>
      </x:c>
      <x:c r="X6" s="2" t="str"/>
      <x:c r="Y6" s="2" t="str">
        <x:v>synthetic</x:v>
      </x:c>
      <x:c r="Z6" s="2" t="str">
        <x:v>SYNTHETIC FORMULA TEST ONLY</x:v>
      </x:c>
      <x:c r="AA6" s="2" t="str">
        <x:v>[{"original":"Sometimes","normalized":"sometimes","category":2,"status":"mapped","rule_id":"intermittent","clarification_required":false,"reason":""}]</x:v>
      </x:c>
      <x:c r="AB6" s="2" t="str">
        <x:v>intermittent</x:v>
      </x:c>
    </x:row>
    <x:row r="7" ht="23" customHeight="1">
      <x:c r="A7" s="2" t="str">
        <x:v>30cdd71e-9225-42e2-9347-833e110a08b2-B-2</x:v>
      </x:c>
      <x:c r="B7" s="2" t="str">
        <x:v>30cdd71e-9225-42e2-9347-833e110a08b2</x:v>
      </x:c>
      <x:c r="C7" s="2" t="str">
        <x:v>TEST01</x:v>
      </x:c>
      <x:c r="D7" s="2" t="str">
        <x:v>2026-10-21</x:v>
      </x:c>
      <x:c r="E7" s="2" t="str">
        <x:v>22:38:51.252Z</x:v>
      </x:c>
      <x:c r="F7" s="2" t="str">
        <x:v>PSS4-offline-1.1.0</x:v>
      </x:c>
      <x:c r="G7" s="2" t="str">
        <x:v>B</x:v>
      </x:c>
      <x:c r="H7" s="2" t="str">
        <x:v>AB</x:v>
      </x:c>
      <x:c r="I7" s="2" t="n">
        <x:v>2</x:v>
      </x:c>
      <x:c r="J7" s="2" t="str">
        <x:v>It depends</x:v>
      </x:c>
      <x:c r="K7" s="2"/>
      <x:c r="L7" s="2" t="n">
        <x:v>1</x:v>
      </x:c>
      <x:c r="M7" s="2"/>
      <x:c r="N7" s="2" t="n">
        <x:v>1</x:v>
      </x:c>
      <x:c r="O7" s="2" t="str">
        <x:v>Maybe</x:v>
      </x:c>
      <x:c r="P7" s="2" t="n">
        <x:v>1</x:v>
      </x:c>
      <x:c r="Q7" s="2" t="n">
        <x:v>0</x:v>
      </x:c>
      <x:c r="R7" s="2" t="n">
        <x:v>1</x:v>
      </x:c>
      <x:c r="S7" s="2" t="n">
        <x:v>0</x:v>
      </x:c>
      <x:c r="T7" s="2" t="n">
        <x:v>2000</x:v>
      </x:c>
      <x:c r="U7" s="2" t="n">
        <x:v>8000</x:v>
      </x:c>
      <x:c r="V7" s="2" t="d">
        <x:v>2026-10-21T22:38:51.003Z</x:v>
      </x:c>
      <x:c r="W7" s="2" t="d">
        <x:v>2026-10-21T22:00:08.000Z</x:v>
      </x:c>
      <x:c r="X7" s="2" t="str"/>
      <x:c r="Y7" s="2" t="str">
        <x:v>synthetic</x:v>
      </x:c>
      <x:c r="Z7" s="2" t="str">
        <x:v>SYNTHETIC FORMULA TEST ONLY</x:v>
      </x:c>
      <x:c r="AA7" s="2" t="str">
        <x:v>[{"original":"It depends","normalized":"it depends","category":null,"status":"unclear","rule_id":"","clarification_required":true,"reason":"Uncertain or conditional wording"},{"original":"Maybe","normalized":"maybe","category":null,"status":"unclear","rule_id":"","clarification_required":true,"reason":"Uncertain or conditional wording"}]</x:v>
      </x:c>
      <x:c r="AB7" s="2" t="str"/>
    </x:row>
    <x:row r="8" ht="23" customHeight="1">
      <x:c r="A8" s="2" t="str">
        <x:v>30cdd71e-9225-42e2-9347-833e110a08b2-B-3</x:v>
      </x:c>
      <x:c r="B8" s="2" t="str">
        <x:v>30cdd71e-9225-42e2-9347-833e110a08b2</x:v>
      </x:c>
      <x:c r="C8" s="2" t="str">
        <x:v>TEST01</x:v>
      </x:c>
      <x:c r="D8" s="2" t="str">
        <x:v>2026-10-21</x:v>
      </x:c>
      <x:c r="E8" s="2" t="str">
        <x:v>22:38:51.291Z</x:v>
      </x:c>
      <x:c r="F8" s="2" t="str">
        <x:v>PSS4-offline-1.1.0</x:v>
      </x:c>
      <x:c r="G8" s="2" t="str">
        <x:v>B</x:v>
      </x:c>
      <x:c r="H8" s="2" t="str">
        <x:v>AB</x:v>
      </x:c>
      <x:c r="I8" s="2" t="n">
        <x:v>3</x:v>
      </x:c>
      <x:c r="J8" s="2" t="str"/>
      <x:c r="K8" s="2"/>
      <x:c r="L8" s="2" t="n">
        <x:v>3</x:v>
      </x:c>
      <x:c r="M8" s="2" t="n">
        <x:v>3</x:v>
      </x:c>
      <x:c r="N8" s="2" t="n">
        <x:v>3</x:v>
      </x:c>
      <x:c r="O8" s="2" t="str"/>
      <x:c r="P8" s="2" t="n">
        <x:v>0</x:v>
      </x:c>
      <x:c r="Q8" s="2" t="n">
        <x:v>0</x:v>
      </x:c>
      <x:c r="R8" s="2" t="n">
        <x:v>1</x:v>
      </x:c>
      <x:c r="S8" s="2" t="n">
        <x:v>0</x:v>
      </x:c>
      <x:c r="T8" s="2" t="n">
        <x:v>2000</x:v>
      </x:c>
      <x:c r="U8" s="2" t="n">
        <x:v>8000</x:v>
      </x:c>
      <x:c r="V8" s="2" t="d">
        <x:v>2026-10-21T22:38:51.003Z</x:v>
      </x:c>
      <x:c r="W8" s="2" t="d">
        <x:v>2026-10-21T22:00:08.000Z</x:v>
      </x:c>
      <x:c r="X8" s="2" t="str"/>
      <x:c r="Y8" s="2" t="str">
        <x:v>synthetic</x:v>
      </x:c>
      <x:c r="Z8" s="2" t="str">
        <x:v>SYNTHETIC FORMULA TEST ONLY</x:v>
      </x:c>
      <x:c r="AA8" s="2" t="str">
        <x:v>[{"original":"","normalized":"","category":null,"status":"empty","rule_id":"","clarification_required":true,"reason":"No response"},{"original":"","normalized":"","category":null,"status":"empty","rule_id":"","clarification_required":true,"reason":"No response"}]</x:v>
      </x:c>
      <x:c r="AB8" s="2" t="str"/>
    </x:row>
    <x:row r="9" ht="23" customHeight="1">
      <x:c r="A9" s="2" t="str">
        <x:v>30cdd71e-9225-42e2-9347-833e110a08b2-B-4</x:v>
      </x:c>
      <x:c r="B9" s="2" t="str">
        <x:v>30cdd71e-9225-42e2-9347-833e110a08b2</x:v>
      </x:c>
      <x:c r="C9" s="2" t="str">
        <x:v>TEST01</x:v>
      </x:c>
      <x:c r="D9" s="2" t="str">
        <x:v>2026-10-21</x:v>
      </x:c>
      <x:c r="E9" s="2" t="str">
        <x:v>22:38:51.308Z</x:v>
      </x:c>
      <x:c r="F9" s="2" t="str">
        <x:v>PSS4-offline-1.1.0</x:v>
      </x:c>
      <x:c r="G9" s="2" t="str">
        <x:v>B</x:v>
      </x:c>
      <x:c r="H9" s="2" t="str">
        <x:v>AB</x:v>
      </x:c>
      <x:c r="I9" s="2" t="n">
        <x:v>4</x:v>
      </x:c>
      <x:c r="J9" s="2" t="str">
        <x:v>Fairly often</x:v>
      </x:c>
      <x:c r="K9" s="2"/>
      <x:c r="L9" s="2"/>
      <x:c r="M9" s="2"/>
      <x:c r="N9" s="2" t="n">
        <x:v>4</x:v>
      </x:c>
      <x:c r="O9" s="2" t="str"/>
      <x:c r="P9" s="2" t="n">
        <x:v>1</x:v>
      </x:c>
      <x:c r="Q9" s="2" t="n">
        <x:v>1</x:v>
      </x:c>
      <x:c r="R9" s="2" t="n">
        <x:v>0</x:v>
      </x:c>
      <x:c r="S9" s="2" t="n">
        <x:v>0</x:v>
      </x:c>
      <x:c r="T9" s="2" t="n">
        <x:v>2000</x:v>
      </x:c>
      <x:c r="U9" s="2" t="n">
        <x:v>8000</x:v>
      </x:c>
      <x:c r="V9" s="2" t="d">
        <x:v>2026-10-21T22:38:51.003Z</x:v>
      </x:c>
      <x:c r="W9" s="2" t="d">
        <x:v>2026-10-21T22:00:08.000Z</x:v>
      </x:c>
      <x:c r="X9" s="2" t="str"/>
      <x:c r="Y9" s="2" t="str">
        <x:v>synthetic</x:v>
      </x:c>
      <x:c r="Z9" s="2" t="str">
        <x:v>SYNTHETIC FORMULA TEST ONLY</x:v>
      </x:c>
      <x:c r="AA9" s="2" t="str">
        <x:v>[{"original":"Fairly often","normalized":"fairly often","category":3,"status":"mapped","rule_id":"frequent","clarification_required":false,"reason":""}]</x:v>
      </x:c>
      <x:c r="AB9" s="2" t="str">
        <x:v>frequent</x:v>
      </x:c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3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3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3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3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3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3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3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3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3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3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3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3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3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3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3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3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dataValidations count="12">
    <x:dataValidation type="list" sqref="G2:G201">
      <x:formula1>"A,B"</x:formula1>
    </x:dataValidation>
    <x:dataValidation type="list" sqref="H2:H201">
      <x:formula1>"AB,BA"</x:formula1>
    </x:dataValidation>
    <x:dataValidation type="list" sqref="Y2:Y201">
      <x:formula1>"fallback,genuine pilot,dry run,synthetic"</x:formula1>
    </x:dataValidation>
    <x:dataValidation type="whole" operator="between" sqref="K2:K201">
      <x:formula1>0</x:formula1>
      <x:formula2>4</x:formula2>
    </x:dataValidation>
    <x:dataValidation type="whole" operator="between" sqref="L2:L201">
      <x:formula1>0</x:formula1>
      <x:formula2>4</x:formula2>
    </x:dataValidation>
    <x:dataValidation type="whole" operator="between" sqref="M2:M201">
      <x:formula1>0</x:formula1>
      <x:formula2>4</x:formula2>
    </x:dataValidation>
    <x:dataValidation type="whole" operator="between" sqref="N2:N201">
      <x:formula1>0</x:formula1>
      <x:formula2>4</x:formula2>
    </x:dataValidation>
    <x:dataValidation type="whole" operator="between" sqref="P2:P201">
      <x:formula1>0</x:formula1>
      <x:formula2>1</x:formula2>
    </x:dataValidation>
    <x:dataValidation type="whole" operator="between" sqref="Q2:Q201">
      <x:formula1>0</x:formula1>
      <x:formula2>1</x:formula2>
    </x:dataValidation>
    <x:dataValidation type="whole" operator="between" sqref="R2:R201">
      <x:formula1>0</x:formula1>
      <x:formula2>1</x:formula2>
    </x:dataValidation>
    <x:dataValidation type="whole" operator="between" sqref="S2:S201">
      <x:formula1>0</x:formula1>
      <x:formula2>1</x:formula2>
    </x:dataValidation>
    <x:dataValidation type="whole" operator="between" sqref="I2:I201">
      <x:formula1>1</x:formula1>
      <x:formula2>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d59d7c69d2147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6" customHeight="1">
      <x:c r="A1" s="11" t="str">
        <x:v>Pair key</x:v>
      </x:c>
      <x:c r="B1" s="11" t="str">
        <x:v>Selected data</x:v>
      </x:c>
      <x:c r="C1" s="11" t="str">
        <x:v>A count</x:v>
      </x:c>
      <x:c r="D1" s="11" t="str">
        <x:v>B count</x:v>
      </x:c>
      <x:c r="E1" s="11" t="str">
        <x:v>Closed reference</x:v>
      </x:c>
      <x:c r="F1" s="11" t="str">
        <x:v>First eligible</x:v>
      </x:c>
      <x:c r="G1" s="11" t="str">
        <x:v>First match</x:v>
      </x:c>
      <x:c r="H1" s="11" t="str">
        <x:v>Resolved eligible</x:v>
      </x:c>
      <x:c r="I1" s="11" t="str">
        <x:v>Resolved match</x:v>
      </x:c>
      <x:c r="J1" s="11" t="str">
        <x:v>Clarification</x:v>
      </x:c>
      <x:c r="K1" s="11" t="str">
        <x:v>Structured fallback</x:v>
      </x:c>
      <x:c r="L1" s="11" t="str">
        <x:v>Mapped items</x:v>
      </x:c>
      <x:c r="M1" s="11" t="str">
        <x:v>Conversational items</x:v>
      </x:c>
      <x:c r="N1" s="11" t="str">
        <x:v>Complete run</x:v>
      </x:c>
      <x:c r="O1" s="11" t="str">
        <x:v>Condition seconds</x:v>
      </x:c>
      <x:c r="P1" s="11" t="str">
        <x:v>A seconds</x:v>
      </x:c>
      <x:c r="Q1" s="11" t="str">
        <x:v>B seconds</x:v>
      </x:c>
      <x:c r="R1" s="11" t="str">
        <x:v>PSS4 total</x:v>
      </x:c>
      <x:c r="S1" s="11" t="str">
        <x:v>First selected participant record</x:v>
      </x:c>
      <x:c r="T1" s="11"/>
      <x:c r="U1" s="11"/>
      <x:c r="V1" s="11"/>
      <x:c r="W1" s="11"/>
      <x:c r="X1" s="11"/>
      <x:c r="Y1" s="11"/>
      <x:c r="Z1" s="11"/>
      <x:c r="AA1" s="11"/>
      <x:c r="AB1" s="11"/>
    </x:row>
    <x:row r="2">
      <x:c r="A2" s="2" t="str">
        <x:f>IF('Trial Rows'!A2="","",'Trial Rows'!F2&amp;"|"&amp;'Trial Rows'!B2&amp;"|"&amp;'Trial Rows'!C2&amp;"|"&amp;'Trial Rows'!I2)</x:f>
        <x:v>PSS4-offline-1.1.0|30cdd71e-9225-42e2-9347-833e110a08b2|TEST01|1</x:v>
      </x:c>
      <x:c r="B2" s="2" t="n">
        <x:f>IF(AND('Trial Rows'!A2&lt;&gt;"",'Trial Rows'!Y2=Summary!$B$4,'Trial Rows'!F2=Summary!$B$5),1,0)</x:f>
        <x:v>1</x:v>
      </x:c>
      <x:c r="C2" s="2" t="n">
        <x:f>IF(B2=1,COUNTIFS('Trial Rows'!$B$2:$B$201,'Trial Rows'!B2,'Trial Rows'!$C$2:$C$201,'Trial Rows'!C2,'Trial Rows'!$F$2:$F$201,'Trial Rows'!F2,'Trial Rows'!$I$2:$I$201,'Trial Rows'!I2,'Trial Rows'!$Y$2:$Y$201,'Trial Rows'!Y2,'Trial Rows'!$G$2:$G$201,"A"),0)</x:f>
        <x:v>1</x:v>
      </x:c>
      <x:c r="D2" s="2" t="n">
        <x:f>IF(B2=1,COUNTIFS('Trial Rows'!$B$2:$B$201,'Trial Rows'!B2,'Trial Rows'!$C$2:$C$201,'Trial Rows'!C2,'Trial Rows'!$F$2:$F$201,'Trial Rows'!F2,'Trial Rows'!$I$2:$I$201,'Trial Rows'!I2,'Trial Rows'!$Y$2:$Y$201,'Trial Rows'!Y2,'Trial Rows'!$G$2:$G$201,"B"),0)</x:f>
        <x:v>1</x:v>
      </x:c>
      <x:c r="E2" s="2" t="n">
        <x:f>IF(AND(C2=1,COUNTIFS('Trial Rows'!$B$2:$B$201,'Trial Rows'!B2,'Trial Rows'!$C$2:$C$201,'Trial Rows'!C2,'Trial Rows'!$F$2:$F$201,'Trial Rows'!F2,'Trial Rows'!$I$2:$I$201,'Trial Rows'!I2,'Trial Rows'!$Y$2:$Y$201,'Trial Rows'!Y2,'Trial Rows'!$G$2:$G$201,"A",'Trial Rows'!$K$2:$K$201,"&gt;=0",'Trial Rows'!$K$2:$K$201,"&lt;=4",'Trial Rows'!$K$2:$K$201,"&lt;&gt;")=1),SUMIFS('Trial Rows'!$K$2:$K$201,'Trial Rows'!$B$2:$B$201,'Trial Rows'!B2,'Trial Rows'!$C$2:$C$201,'Trial Rows'!C2,'Trial Rows'!$F$2:$F$201,'Trial Rows'!F2,'Trial Rows'!$I$2:$I$201,'Trial Rows'!I2,'Trial Rows'!$Y$2:$Y$201,'Trial Rows'!Y2,'Trial Rows'!$G$2:$G$201,"A"),"")</x:f>
        <x:v>0</x:v>
      </x:c>
      <x:c r="F2" s="2" t="n">
        <x:f>IF(AND(B2=1,'Trial Rows'!G2="B",C2=1,D2=1,ISNUMBER(E2),ISNUMBER('Trial Rows'!M2),'Trial Rows'!M2&gt;=0,'Trial Rows'!M2&lt;=4,'Trial Rows'!Q2=0,'Trial Rows'!S2=0),1,0)</x:f>
        <x:v>0</x:v>
      </x:c>
      <x:c r="G2" s="2" t="n">
        <x:f>IF(F2=1,IF(E2='Trial Rows'!M2,1,0),0)</x:f>
        <x:v>0</x:v>
      </x:c>
      <x:c r="H2" s="2" t="n">
        <x:f>IF(AND(B2=1,'Trial Rows'!G2="B",C2=1,D2=1,ISNUMBER(E2),'Trial Rows'!R2=1,'Trial Rows'!Q2=0,'Trial Rows'!S2=0,ISNUMBER('Trial Rows'!L2),'Trial Rows'!L2&gt;=0,'Trial Rows'!L2&lt;=4),1,0)</x:f>
        <x:v>0</x:v>
      </x:c>
      <x:c r="I2" s="2" t="n">
        <x:f>IF(H2=1,IF(E2='Trial Rows'!L2,1,0),0)</x:f>
        <x:v>0</x:v>
      </x:c>
      <x:c r="J2" s="2" t="n">
        <x:f>IF(AND(B2=1,'Trial Rows'!G2="B",'Trial Rows'!P2&gt;0),1,0)</x:f>
        <x:v>0</x:v>
      </x:c>
      <x:c r="K2" s="2" t="n">
        <x:f>IF(AND(B2=1,'Trial Rows'!G2="B",'Trial Rows'!Q2=1),1,0)</x:f>
        <x:v>0</x:v>
      </x:c>
      <x:c r="L2" s="2" t="n">
        <x:f>IF(AND(B2=1,'Trial Rows'!G2="B",'Trial Rows'!R2=1,'Trial Rows'!Q2=0,'Trial Rows'!S2=0),1,0)</x:f>
        <x:v>0</x:v>
      </x:c>
      <x:c r="M2" s="2" t="n">
        <x:f>IF(AND(B2=1,'Trial Rows'!G2="B"),1,0)</x:f>
        <x:v>0</x:v>
      </x:c>
      <x:c r="N2" s="2" t="n">
        <x:f>IF(AND(B2=1,'Trial Rows'!I2=1,COUNTIFS('Trial Rows'!$B$2:$B$201,'Trial Rows'!B2,'Trial Rows'!$C$2:$C$201,'Trial Rows'!C2,'Trial Rows'!$F$2:$F$201,'Trial Rows'!F2,'Trial Rows'!$G$2:$G$201,'Trial Rows'!G2,'Trial Rows'!$Y$2:$Y$201,'Trial Rows'!Y2)=4,COUNTIFS('Trial Rows'!$B$2:$B$201,'Trial Rows'!B2,'Trial Rows'!$C$2:$C$201,'Trial Rows'!C2,'Trial Rows'!$F$2:$F$201,'Trial Rows'!F2,'Trial Rows'!$G$2:$G$201,'Trial Rows'!G2,'Trial Rows'!$Y$2:$Y$201,'Trial Rows'!Y2,'Trial Rows'!$I$2:$I$201,1)=1,COUNTIFS('Trial Rows'!$B$2:$B$201,'Trial Rows'!B2,'Trial Rows'!$C$2:$C$201,'Trial Rows'!C2,'Trial Rows'!$F$2:$F$201,'Trial Rows'!F2,'Trial Rows'!$G$2:$G$201,'Trial Rows'!G2,'Trial Rows'!$Y$2:$Y$201,'Trial Rows'!Y2,'Trial Rows'!$I$2:$I$201,2)=1,COUNTIFS('Trial Rows'!$B$2:$B$201,'Trial Rows'!B2,'Trial Rows'!$C$2:$C$201,'Trial Rows'!C2,'Trial Rows'!$F$2:$F$201,'Trial Rows'!F2,'Trial Rows'!$G$2:$G$201,'Trial Rows'!G2,'Trial Rows'!$Y$2:$Y$201,'Trial Rows'!Y2,'Trial Rows'!$I$2:$I$201,3)=1,COUNTIFS('Trial Rows'!$B$2:$B$201,'Trial Rows'!B2,'Trial Rows'!$C$2:$C$201,'Trial Rows'!C2,'Trial Rows'!$F$2:$F$201,'Trial Rows'!F2,'Trial Rows'!$G$2:$G$201,'Trial Rows'!G2,'Trial Rows'!$Y$2:$Y$201,'Trial Rows'!Y2,'Trial Rows'!$I$2:$I$201,4)=1,COUNTIFS('Trial Rows'!$B$2:$B$201,'Trial Rows'!B2,'Trial Rows'!$C$2:$C$201,'Trial Rows'!C2,'Trial Rows'!$F$2:$F$201,'Trial Rows'!F2,'Trial Rows'!$G$2:$G$201,'Trial Rows'!G2,'Trial Rows'!$Y$2:$Y$201,'Trial Rows'!Y2,'Trial Rows'!$W$2:$W$201,"&lt;&gt;")=4,ISNUMBER('Trial Rows'!U2),COUNTIFS('Trial Rows'!$B$2:$B$201,'Trial Rows'!B2,'Trial Rows'!$C$2:$C$201,'Trial Rows'!C2,'Trial Rows'!$F$2:$F$201,'Trial Rows'!F2,'Trial Rows'!$G$2:$G$201,'Trial Rows'!G2,'Trial Rows'!$Y$2:$Y$201,'Trial Rows'!Y2,'Trial Rows'!$U$2:$U$201,'Trial Rows'!U2)=4,'Trial Rows'!U2&gt;=0),1,0)</x:f>
        <x:v>1</x:v>
      </x:c>
      <x:c r="O2" s="2" t="n">
        <x:f>IF(N2=1,'Trial Rows'!U2/1000,"")</x:f>
        <x:v>4</x:v>
      </x:c>
      <x:c r="P2" s="2" t="n">
        <x:f>IF(AND(N2=1,'Trial Rows'!G2="A"),O2,"")</x:f>
        <x:v>4</x:v>
      </x:c>
      <x:c r="Q2" s="2" t="str">
        <x:f>IF(AND(N2=1,'Trial Rows'!G2="B"),O2,"")</x:f>
      </x:c>
      <x:c r="R2" s="2" t="n">
        <x:f>IF(AND(N2=1,COUNTIFS('Trial Rows'!$B$2:$B$201,'Trial Rows'!B2,'Trial Rows'!$C$2:$C$201,'Trial Rows'!C2,'Trial Rows'!$F$2:$F$201,'Trial Rows'!F2,'Trial Rows'!$G$2:$G$201,'Trial Rows'!G2,'Trial Rows'!$Y$2:$Y$201,'Trial Rows'!Y2,'Trial Rows'!$N$2:$N$201,"&gt;=0",'Trial Rows'!$N$2:$N$201,"&lt;=4",'Trial Rows'!$N$2:$N$201,"&lt;&gt;")=4),SUMIFS('Trial Rows'!$N$2:$N$201,'Trial Rows'!$B$2:$B$201,'Trial Rows'!B2,'Trial Rows'!$C$2:$C$201,'Trial Rows'!C2,'Trial Rows'!$F$2:$F$201,'Trial Rows'!F2,'Trial Rows'!$G$2:$G$201,'Trial Rows'!G2,'Trial Rows'!$Y$2:$Y$201,'Trial Rows'!Y2,'Trial Rows'!$I$2:$I$201,1)+4-SUMIFS('Trial Rows'!$N$2:$N$201,'Trial Rows'!$B$2:$B$201,'Trial Rows'!B2,'Trial Rows'!$C$2:$C$201,'Trial Rows'!C2,'Trial Rows'!$F$2:$F$201,'Trial Rows'!F2,'Trial Rows'!$G$2:$G$201,'Trial Rows'!G2,'Trial Rows'!$Y$2:$Y$201,'Trial Rows'!Y2,'Trial Rows'!$I$2:$I$201,2)+4-SUMIFS('Trial Rows'!$N$2:$N$201,'Trial Rows'!$B$2:$B$201,'Trial Rows'!B2,'Trial Rows'!$C$2:$C$201,'Trial Rows'!C2,'Trial Rows'!$F$2:$F$201,'Trial Rows'!F2,'Trial Rows'!$G$2:$G$201,'Trial Rows'!G2,'Trial Rows'!$Y$2:$Y$201,'Trial Rows'!Y2,'Trial Rows'!$I$2:$I$201,3)+SUMIFS('Trial Rows'!$N$2:$N$201,'Trial Rows'!$B$2:$B$201,'Trial Rows'!B2,'Trial Rows'!$C$2:$C$201,'Trial Rows'!C2,'Trial Rows'!$F$2:$F$201,'Trial Rows'!F2,'Trial Rows'!$G$2:$G$201,'Trial Rows'!G2,'Trial Rows'!$Y$2:$Y$201,'Trial Rows'!Y2,'Trial Rows'!$I$2:$I$201,4),"")</x:f>
        <x:v>8</x:v>
      </x:c>
      <x:c r="S2" s="2" t="n">
        <x:f>IF(AND(B2=1,COUNTIFS('Trial Rows'!$C$2:C2,'Trial Rows'!C2,'Trial Rows'!$F$2:F2,Summary!$B$5,'Trial Rows'!$Y$2:Y2,Summary!$B$4)=1),1,0)</x:f>
        <x:v>1</x:v>
      </x:c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 t="str">
        <x:f>IF('Trial Rows'!A3="","",'Trial Rows'!F3&amp;"|"&amp;'Trial Rows'!B3&amp;"|"&amp;'Trial Rows'!C3&amp;"|"&amp;'Trial Rows'!I3)</x:f>
        <x:v>PSS4-offline-1.1.0|30cdd71e-9225-42e2-9347-833e110a08b2|TEST01|2</x:v>
      </x:c>
      <x:c r="B3" s="2" t="n">
        <x:f>IF(AND('Trial Rows'!A3&lt;&gt;"",'Trial Rows'!Y3=Summary!$B$4,'Trial Rows'!F3=Summary!$B$5),1,0)</x:f>
        <x:v>1</x:v>
      </x:c>
      <x:c r="C3" s="2" t="n">
        <x:f>IF(B3=1,COUNTIFS('Trial Rows'!$B$2:$B$201,'Trial Rows'!B3,'Trial Rows'!$C$2:$C$201,'Trial Rows'!C3,'Trial Rows'!$F$2:$F$201,'Trial Rows'!F3,'Trial Rows'!$I$2:$I$201,'Trial Rows'!I3,'Trial Rows'!$Y$2:$Y$201,'Trial Rows'!Y3,'Trial Rows'!$G$2:$G$201,"A"),0)</x:f>
        <x:v>1</x:v>
      </x:c>
      <x:c r="D3" s="2" t="n">
        <x:f>IF(B3=1,COUNTIFS('Trial Rows'!$B$2:$B$201,'Trial Rows'!B3,'Trial Rows'!$C$2:$C$201,'Trial Rows'!C3,'Trial Rows'!$F$2:$F$201,'Trial Rows'!F3,'Trial Rows'!$I$2:$I$201,'Trial Rows'!I3,'Trial Rows'!$Y$2:$Y$201,'Trial Rows'!Y3,'Trial Rows'!$G$2:$G$201,"B"),0)</x:f>
        <x:v>1</x:v>
      </x:c>
      <x:c r="E3" s="2" t="n">
        <x:f>IF(AND(C3=1,COUNTIFS('Trial Rows'!$B$2:$B$201,'Trial Rows'!B3,'Trial Rows'!$C$2:$C$201,'Trial Rows'!C3,'Trial Rows'!$F$2:$F$201,'Trial Rows'!F3,'Trial Rows'!$I$2:$I$201,'Trial Rows'!I3,'Trial Rows'!$Y$2:$Y$201,'Trial Rows'!Y3,'Trial Rows'!$G$2:$G$201,"A",'Trial Rows'!$K$2:$K$201,"&gt;=0",'Trial Rows'!$K$2:$K$201,"&lt;=4",'Trial Rows'!$K$2:$K$201,"&lt;&gt;")=1),SUMIFS('Trial Rows'!$K$2:$K$201,'Trial Rows'!$B$2:$B$201,'Trial Rows'!B3,'Trial Rows'!$C$2:$C$201,'Trial Rows'!C3,'Trial Rows'!$F$2:$F$201,'Trial Rows'!F3,'Trial Rows'!$I$2:$I$201,'Trial Rows'!I3,'Trial Rows'!$Y$2:$Y$201,'Trial Rows'!Y3,'Trial Rows'!$G$2:$G$201,"A"),"")</x:f>
        <x:v>1</x:v>
      </x:c>
      <x:c r="F3" s="2" t="n">
        <x:f>IF(AND(B3=1,'Trial Rows'!G3="B",C3=1,D3=1,ISNUMBER(E3),ISNUMBER('Trial Rows'!M3),'Trial Rows'!M3&gt;=0,'Trial Rows'!M3&lt;=4,'Trial Rows'!Q3=0,'Trial Rows'!S3=0),1,0)</x:f>
        <x:v>0</x:v>
      </x:c>
      <x:c r="G3" s="2" t="n">
        <x:f>IF(F3=1,IF(E3='Trial Rows'!M3,1,0),0)</x:f>
        <x:v>0</x:v>
      </x:c>
      <x:c r="H3" s="2" t="n">
        <x:f>IF(AND(B3=1,'Trial Rows'!G3="B",C3=1,D3=1,ISNUMBER(E3),'Trial Rows'!R3=1,'Trial Rows'!Q3=0,'Trial Rows'!S3=0,ISNUMBER('Trial Rows'!L3),'Trial Rows'!L3&gt;=0,'Trial Rows'!L3&lt;=4),1,0)</x:f>
        <x:v>0</x:v>
      </x:c>
      <x:c r="I3" s="2" t="n">
        <x:f>IF(H3=1,IF(E3='Trial Rows'!L3,1,0),0)</x:f>
        <x:v>0</x:v>
      </x:c>
      <x:c r="J3" s="2" t="n">
        <x:f>IF(AND(B3=1,'Trial Rows'!G3="B",'Trial Rows'!P3&gt;0),1,0)</x:f>
        <x:v>0</x:v>
      </x:c>
      <x:c r="K3" s="2" t="n">
        <x:f>IF(AND(B3=1,'Trial Rows'!G3="B",'Trial Rows'!Q3=1),1,0)</x:f>
        <x:v>0</x:v>
      </x:c>
      <x:c r="L3" s="2" t="n">
        <x:f>IF(AND(B3=1,'Trial Rows'!G3="B",'Trial Rows'!R3=1,'Trial Rows'!Q3=0,'Trial Rows'!S3=0),1,0)</x:f>
        <x:v>0</x:v>
      </x:c>
      <x:c r="M3" s="2" t="n">
        <x:f>IF(AND(B3=1,'Trial Rows'!G3="B"),1,0)</x:f>
        <x:v>0</x:v>
      </x:c>
      <x:c r="N3" s="2" t="n">
        <x:f>IF(AND(B3=1,'Trial Rows'!I3=1,COUNTIFS('Trial Rows'!$B$2:$B$201,'Trial Rows'!B3,'Trial Rows'!$C$2:$C$201,'Trial Rows'!C3,'Trial Rows'!$F$2:$F$201,'Trial Rows'!F3,'Trial Rows'!$G$2:$G$201,'Trial Rows'!G3,'Trial Rows'!$Y$2:$Y$201,'Trial Rows'!Y3)=4,COUNTIFS('Trial Rows'!$B$2:$B$201,'Trial Rows'!B3,'Trial Rows'!$C$2:$C$201,'Trial Rows'!C3,'Trial Rows'!$F$2:$F$201,'Trial Rows'!F3,'Trial Rows'!$G$2:$G$201,'Trial Rows'!G3,'Trial Rows'!$Y$2:$Y$201,'Trial Rows'!Y3,'Trial Rows'!$I$2:$I$201,1)=1,COUNTIFS('Trial Rows'!$B$2:$B$201,'Trial Rows'!B3,'Trial Rows'!$C$2:$C$201,'Trial Rows'!C3,'Trial Rows'!$F$2:$F$201,'Trial Rows'!F3,'Trial Rows'!$G$2:$G$201,'Trial Rows'!G3,'Trial Rows'!$Y$2:$Y$201,'Trial Rows'!Y3,'Trial Rows'!$I$2:$I$201,2)=1,COUNTIFS('Trial Rows'!$B$2:$B$201,'Trial Rows'!B3,'Trial Rows'!$C$2:$C$201,'Trial Rows'!C3,'Trial Rows'!$F$2:$F$201,'Trial Rows'!F3,'Trial Rows'!$G$2:$G$201,'Trial Rows'!G3,'Trial Rows'!$Y$2:$Y$201,'Trial Rows'!Y3,'Trial Rows'!$I$2:$I$201,3)=1,COUNTIFS('Trial Rows'!$B$2:$B$201,'Trial Rows'!B3,'Trial Rows'!$C$2:$C$201,'Trial Rows'!C3,'Trial Rows'!$F$2:$F$201,'Trial Rows'!F3,'Trial Rows'!$G$2:$G$201,'Trial Rows'!G3,'Trial Rows'!$Y$2:$Y$201,'Trial Rows'!Y3,'Trial Rows'!$I$2:$I$201,4)=1,COUNTIFS('Trial Rows'!$B$2:$B$201,'Trial Rows'!B3,'Trial Rows'!$C$2:$C$201,'Trial Rows'!C3,'Trial Rows'!$F$2:$F$201,'Trial Rows'!F3,'Trial Rows'!$G$2:$G$201,'Trial Rows'!G3,'Trial Rows'!$Y$2:$Y$201,'Trial Rows'!Y3,'Trial Rows'!$W$2:$W$201,"&lt;&gt;")=4,ISNUMBER('Trial Rows'!U3),COUNTIFS('Trial Rows'!$B$2:$B$201,'Trial Rows'!B3,'Trial Rows'!$C$2:$C$201,'Trial Rows'!C3,'Trial Rows'!$F$2:$F$201,'Trial Rows'!F3,'Trial Rows'!$G$2:$G$201,'Trial Rows'!G3,'Trial Rows'!$Y$2:$Y$201,'Trial Rows'!Y3,'Trial Rows'!$U$2:$U$201,'Trial Rows'!U3)=4,'Trial Rows'!U3&gt;=0),1,0)</x:f>
        <x:v>0</x:v>
      </x:c>
      <x:c r="O3" s="2" t="str">
        <x:f>IF(N3=1,'Trial Rows'!U3/1000,"")</x:f>
      </x:c>
      <x:c r="P3" s="2" t="str">
        <x:f>IF(AND(N3=1,'Trial Rows'!G3="A"),O3,"")</x:f>
      </x:c>
      <x:c r="Q3" s="2" t="str">
        <x:f>IF(AND(N3=1,'Trial Rows'!G3="B"),O3,"")</x:f>
      </x:c>
      <x:c r="R3" s="2" t="str">
        <x:f>IF(AND(N3=1,COUNTIFS('Trial Rows'!$B$2:$B$201,'Trial Rows'!B3,'Trial Rows'!$C$2:$C$201,'Trial Rows'!C3,'Trial Rows'!$F$2:$F$201,'Trial Rows'!F3,'Trial Rows'!$G$2:$G$201,'Trial Rows'!G3,'Trial Rows'!$Y$2:$Y$201,'Trial Rows'!Y3,'Trial Rows'!$N$2:$N$201,"&gt;=0",'Trial Rows'!$N$2:$N$201,"&lt;=4",'Trial Rows'!$N$2:$N$201,"&lt;&gt;")=4),SUMIFS('Trial Rows'!$N$2:$N$201,'Trial Rows'!$B$2:$B$201,'Trial Rows'!B3,'Trial Rows'!$C$2:$C$201,'Trial Rows'!C3,'Trial Rows'!$F$2:$F$201,'Trial Rows'!F3,'Trial Rows'!$G$2:$G$201,'Trial Rows'!G3,'Trial Rows'!$Y$2:$Y$201,'Trial Rows'!Y3,'Trial Rows'!$I$2:$I$201,1)+4-SUMIFS('Trial Rows'!$N$2:$N$201,'Trial Rows'!$B$2:$B$201,'Trial Rows'!B3,'Trial Rows'!$C$2:$C$201,'Trial Rows'!C3,'Trial Rows'!$F$2:$F$201,'Trial Rows'!F3,'Trial Rows'!$G$2:$G$201,'Trial Rows'!G3,'Trial Rows'!$Y$2:$Y$201,'Trial Rows'!Y3,'Trial Rows'!$I$2:$I$201,2)+4-SUMIFS('Trial Rows'!$N$2:$N$201,'Trial Rows'!$B$2:$B$201,'Trial Rows'!B3,'Trial Rows'!$C$2:$C$201,'Trial Rows'!C3,'Trial Rows'!$F$2:$F$201,'Trial Rows'!F3,'Trial Rows'!$G$2:$G$201,'Trial Rows'!G3,'Trial Rows'!$Y$2:$Y$201,'Trial Rows'!Y3,'Trial Rows'!$I$2:$I$201,3)+SUMIFS('Trial Rows'!$N$2:$N$201,'Trial Rows'!$B$2:$B$201,'Trial Rows'!B3,'Trial Rows'!$C$2:$C$201,'Trial Rows'!C3,'Trial Rows'!$F$2:$F$201,'Trial Rows'!F3,'Trial Rows'!$G$2:$G$201,'Trial Rows'!G3,'Trial Rows'!$Y$2:$Y$201,'Trial Rows'!Y3,'Trial Rows'!$I$2:$I$201,4),"")</x:f>
      </x:c>
      <x:c r="S3" s="2" t="n">
        <x:f>IF(AND(B3=1,COUNTIFS('Trial Rows'!$C$2:C3,'Trial Rows'!C3,'Trial Rows'!$F$2:F3,Summary!$B$5,'Trial Rows'!$Y$2:Y3,Summary!$B$4)=1),1,0)</x:f>
        <x:v>0</x:v>
      </x:c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 t="str">
        <x:f>IF('Trial Rows'!A4="","",'Trial Rows'!F4&amp;"|"&amp;'Trial Rows'!B4&amp;"|"&amp;'Trial Rows'!C4&amp;"|"&amp;'Trial Rows'!I4)</x:f>
        <x:v>PSS4-offline-1.1.0|30cdd71e-9225-42e2-9347-833e110a08b2|TEST01|3</x:v>
      </x:c>
      <x:c r="B4" s="2" t="n">
        <x:f>IF(AND('Trial Rows'!A4&lt;&gt;"",'Trial Rows'!Y4=Summary!$B$4,'Trial Rows'!F4=Summary!$B$5),1,0)</x:f>
        <x:v>1</x:v>
      </x:c>
      <x:c r="C4" s="2" t="n">
        <x:f>IF(B4=1,COUNTIFS('Trial Rows'!$B$2:$B$201,'Trial Rows'!B4,'Trial Rows'!$C$2:$C$201,'Trial Rows'!C4,'Trial Rows'!$F$2:$F$201,'Trial Rows'!F4,'Trial Rows'!$I$2:$I$201,'Trial Rows'!I4,'Trial Rows'!$Y$2:$Y$201,'Trial Rows'!Y4,'Trial Rows'!$G$2:$G$201,"A"),0)</x:f>
        <x:v>1</x:v>
      </x:c>
      <x:c r="D4" s="2" t="n">
        <x:f>IF(B4=1,COUNTIFS('Trial Rows'!$B$2:$B$201,'Trial Rows'!B4,'Trial Rows'!$C$2:$C$201,'Trial Rows'!C4,'Trial Rows'!$F$2:$F$201,'Trial Rows'!F4,'Trial Rows'!$I$2:$I$201,'Trial Rows'!I4,'Trial Rows'!$Y$2:$Y$201,'Trial Rows'!Y4,'Trial Rows'!$G$2:$G$201,"B"),0)</x:f>
        <x:v>1</x:v>
      </x:c>
      <x:c r="E4" s="2" t="n">
        <x:f>IF(AND(C4=1,COUNTIFS('Trial Rows'!$B$2:$B$201,'Trial Rows'!B4,'Trial Rows'!$C$2:$C$201,'Trial Rows'!C4,'Trial Rows'!$F$2:$F$201,'Trial Rows'!F4,'Trial Rows'!$I$2:$I$201,'Trial Rows'!I4,'Trial Rows'!$Y$2:$Y$201,'Trial Rows'!Y4,'Trial Rows'!$G$2:$G$201,"A",'Trial Rows'!$K$2:$K$201,"&gt;=0",'Trial Rows'!$K$2:$K$201,"&lt;=4",'Trial Rows'!$K$2:$K$201,"&lt;&gt;")=1),SUMIFS('Trial Rows'!$K$2:$K$201,'Trial Rows'!$B$2:$B$201,'Trial Rows'!B4,'Trial Rows'!$C$2:$C$201,'Trial Rows'!C4,'Trial Rows'!$F$2:$F$201,'Trial Rows'!F4,'Trial Rows'!$I$2:$I$201,'Trial Rows'!I4,'Trial Rows'!$Y$2:$Y$201,'Trial Rows'!Y4,'Trial Rows'!$G$2:$G$201,"A"),"")</x:f>
        <x:v>2</x:v>
      </x:c>
      <x:c r="F4" s="2" t="n">
        <x:f>IF(AND(B4=1,'Trial Rows'!G4="B",C4=1,D4=1,ISNUMBER(E4),ISNUMBER('Trial Rows'!M4),'Trial Rows'!M4&gt;=0,'Trial Rows'!M4&lt;=4,'Trial Rows'!Q4=0,'Trial Rows'!S4=0),1,0)</x:f>
        <x:v>0</x:v>
      </x:c>
      <x:c r="G4" s="2" t="n">
        <x:f>IF(F4=1,IF(E4='Trial Rows'!M4,1,0),0)</x:f>
        <x:v>0</x:v>
      </x:c>
      <x:c r="H4" s="2" t="n">
        <x:f>IF(AND(B4=1,'Trial Rows'!G4="B",C4=1,D4=1,ISNUMBER(E4),'Trial Rows'!R4=1,'Trial Rows'!Q4=0,'Trial Rows'!S4=0,ISNUMBER('Trial Rows'!L4),'Trial Rows'!L4&gt;=0,'Trial Rows'!L4&lt;=4),1,0)</x:f>
        <x:v>0</x:v>
      </x:c>
      <x:c r="I4" s="2" t="n">
        <x:f>IF(H4=1,IF(E4='Trial Rows'!L4,1,0),0)</x:f>
        <x:v>0</x:v>
      </x:c>
      <x:c r="J4" s="2" t="n">
        <x:f>IF(AND(B4=1,'Trial Rows'!G4="B",'Trial Rows'!P4&gt;0),1,0)</x:f>
        <x:v>0</x:v>
      </x:c>
      <x:c r="K4" s="2" t="n">
        <x:f>IF(AND(B4=1,'Trial Rows'!G4="B",'Trial Rows'!Q4=1),1,0)</x:f>
        <x:v>0</x:v>
      </x:c>
      <x:c r="L4" s="2" t="n">
        <x:f>IF(AND(B4=1,'Trial Rows'!G4="B",'Trial Rows'!R4=1,'Trial Rows'!Q4=0,'Trial Rows'!S4=0),1,0)</x:f>
        <x:v>0</x:v>
      </x:c>
      <x:c r="M4" s="2" t="n">
        <x:f>IF(AND(B4=1,'Trial Rows'!G4="B"),1,0)</x:f>
        <x:v>0</x:v>
      </x:c>
      <x:c r="N4" s="2" t="n">
        <x:f>IF(AND(B4=1,'Trial Rows'!I4=1,COUNTIFS('Trial Rows'!$B$2:$B$201,'Trial Rows'!B4,'Trial Rows'!$C$2:$C$201,'Trial Rows'!C4,'Trial Rows'!$F$2:$F$201,'Trial Rows'!F4,'Trial Rows'!$G$2:$G$201,'Trial Rows'!G4,'Trial Rows'!$Y$2:$Y$201,'Trial Rows'!Y4)=4,COUNTIFS('Trial Rows'!$B$2:$B$201,'Trial Rows'!B4,'Trial Rows'!$C$2:$C$201,'Trial Rows'!C4,'Trial Rows'!$F$2:$F$201,'Trial Rows'!F4,'Trial Rows'!$G$2:$G$201,'Trial Rows'!G4,'Trial Rows'!$Y$2:$Y$201,'Trial Rows'!Y4,'Trial Rows'!$I$2:$I$201,1)=1,COUNTIFS('Trial Rows'!$B$2:$B$201,'Trial Rows'!B4,'Trial Rows'!$C$2:$C$201,'Trial Rows'!C4,'Trial Rows'!$F$2:$F$201,'Trial Rows'!F4,'Trial Rows'!$G$2:$G$201,'Trial Rows'!G4,'Trial Rows'!$Y$2:$Y$201,'Trial Rows'!Y4,'Trial Rows'!$I$2:$I$201,2)=1,COUNTIFS('Trial Rows'!$B$2:$B$201,'Trial Rows'!B4,'Trial Rows'!$C$2:$C$201,'Trial Rows'!C4,'Trial Rows'!$F$2:$F$201,'Trial Rows'!F4,'Trial Rows'!$G$2:$G$201,'Trial Rows'!G4,'Trial Rows'!$Y$2:$Y$201,'Trial Rows'!Y4,'Trial Rows'!$I$2:$I$201,3)=1,COUNTIFS('Trial Rows'!$B$2:$B$201,'Trial Rows'!B4,'Trial Rows'!$C$2:$C$201,'Trial Rows'!C4,'Trial Rows'!$F$2:$F$201,'Trial Rows'!F4,'Trial Rows'!$G$2:$G$201,'Trial Rows'!G4,'Trial Rows'!$Y$2:$Y$201,'Trial Rows'!Y4,'Trial Rows'!$I$2:$I$201,4)=1,COUNTIFS('Trial Rows'!$B$2:$B$201,'Trial Rows'!B4,'Trial Rows'!$C$2:$C$201,'Trial Rows'!C4,'Trial Rows'!$F$2:$F$201,'Trial Rows'!F4,'Trial Rows'!$G$2:$G$201,'Trial Rows'!G4,'Trial Rows'!$Y$2:$Y$201,'Trial Rows'!Y4,'Trial Rows'!$W$2:$W$201,"&lt;&gt;")=4,ISNUMBER('Trial Rows'!U4),COUNTIFS('Trial Rows'!$B$2:$B$201,'Trial Rows'!B4,'Trial Rows'!$C$2:$C$201,'Trial Rows'!C4,'Trial Rows'!$F$2:$F$201,'Trial Rows'!F4,'Trial Rows'!$G$2:$G$201,'Trial Rows'!G4,'Trial Rows'!$Y$2:$Y$201,'Trial Rows'!Y4,'Trial Rows'!$U$2:$U$201,'Trial Rows'!U4)=4,'Trial Rows'!U4&gt;=0),1,0)</x:f>
        <x:v>0</x:v>
      </x:c>
      <x:c r="O4" s="2" t="str">
        <x:f>IF(N4=1,'Trial Rows'!U4/1000,"")</x:f>
      </x:c>
      <x:c r="P4" s="2" t="str">
        <x:f>IF(AND(N4=1,'Trial Rows'!G4="A"),O4,"")</x:f>
      </x:c>
      <x:c r="Q4" s="2" t="str">
        <x:f>IF(AND(N4=1,'Trial Rows'!G4="B"),O4,"")</x:f>
      </x:c>
      <x:c r="R4" s="2" t="str">
        <x:f>IF(AND(N4=1,COUNTIFS('Trial Rows'!$B$2:$B$201,'Trial Rows'!B4,'Trial Rows'!$C$2:$C$201,'Trial Rows'!C4,'Trial Rows'!$F$2:$F$201,'Trial Rows'!F4,'Trial Rows'!$G$2:$G$201,'Trial Rows'!G4,'Trial Rows'!$Y$2:$Y$201,'Trial Rows'!Y4,'Trial Rows'!$N$2:$N$201,"&gt;=0",'Trial Rows'!$N$2:$N$201,"&lt;=4",'Trial Rows'!$N$2:$N$201,"&lt;&gt;")=4),SUMIFS('Trial Rows'!$N$2:$N$201,'Trial Rows'!$B$2:$B$201,'Trial Rows'!B4,'Trial Rows'!$C$2:$C$201,'Trial Rows'!C4,'Trial Rows'!$F$2:$F$201,'Trial Rows'!F4,'Trial Rows'!$G$2:$G$201,'Trial Rows'!G4,'Trial Rows'!$Y$2:$Y$201,'Trial Rows'!Y4,'Trial Rows'!$I$2:$I$201,1)+4-SUMIFS('Trial Rows'!$N$2:$N$201,'Trial Rows'!$B$2:$B$201,'Trial Rows'!B4,'Trial Rows'!$C$2:$C$201,'Trial Rows'!C4,'Trial Rows'!$F$2:$F$201,'Trial Rows'!F4,'Trial Rows'!$G$2:$G$201,'Trial Rows'!G4,'Trial Rows'!$Y$2:$Y$201,'Trial Rows'!Y4,'Trial Rows'!$I$2:$I$201,2)+4-SUMIFS('Trial Rows'!$N$2:$N$201,'Trial Rows'!$B$2:$B$201,'Trial Rows'!B4,'Trial Rows'!$C$2:$C$201,'Trial Rows'!C4,'Trial Rows'!$F$2:$F$201,'Trial Rows'!F4,'Trial Rows'!$G$2:$G$201,'Trial Rows'!G4,'Trial Rows'!$Y$2:$Y$201,'Trial Rows'!Y4,'Trial Rows'!$I$2:$I$201,3)+SUMIFS('Trial Rows'!$N$2:$N$201,'Trial Rows'!$B$2:$B$201,'Trial Rows'!B4,'Trial Rows'!$C$2:$C$201,'Trial Rows'!C4,'Trial Rows'!$F$2:$F$201,'Trial Rows'!F4,'Trial Rows'!$G$2:$G$201,'Trial Rows'!G4,'Trial Rows'!$Y$2:$Y$201,'Trial Rows'!Y4,'Trial Rows'!$I$2:$I$201,4),"")</x:f>
      </x:c>
      <x:c r="S4" s="2" t="n">
        <x:f>IF(AND(B4=1,COUNTIFS('Trial Rows'!$C$2:C4,'Trial Rows'!C4,'Trial Rows'!$F$2:F4,Summary!$B$5,'Trial Rows'!$Y$2:Y4,Summary!$B$4)=1),1,0)</x:f>
        <x:v>0</x:v>
      </x:c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 t="str">
        <x:f>IF('Trial Rows'!A5="","",'Trial Rows'!F5&amp;"|"&amp;'Trial Rows'!B5&amp;"|"&amp;'Trial Rows'!C5&amp;"|"&amp;'Trial Rows'!I5)</x:f>
        <x:v>PSS4-offline-1.1.0|30cdd71e-9225-42e2-9347-833e110a08b2|TEST01|4</x:v>
      </x:c>
      <x:c r="B5" s="2" t="n">
        <x:f>IF(AND('Trial Rows'!A5&lt;&gt;"",'Trial Rows'!Y5=Summary!$B$4,'Trial Rows'!F5=Summary!$B$5),1,0)</x:f>
        <x:v>1</x:v>
      </x:c>
      <x:c r="C5" s="2" t="n">
        <x:f>IF(B5=1,COUNTIFS('Trial Rows'!$B$2:$B$201,'Trial Rows'!B5,'Trial Rows'!$C$2:$C$201,'Trial Rows'!C5,'Trial Rows'!$F$2:$F$201,'Trial Rows'!F5,'Trial Rows'!$I$2:$I$201,'Trial Rows'!I5,'Trial Rows'!$Y$2:$Y$201,'Trial Rows'!Y5,'Trial Rows'!$G$2:$G$201,"A"),0)</x:f>
        <x:v>1</x:v>
      </x:c>
      <x:c r="D5" s="2" t="n">
        <x:f>IF(B5=1,COUNTIFS('Trial Rows'!$B$2:$B$201,'Trial Rows'!B5,'Trial Rows'!$C$2:$C$201,'Trial Rows'!C5,'Trial Rows'!$F$2:$F$201,'Trial Rows'!F5,'Trial Rows'!$I$2:$I$201,'Trial Rows'!I5,'Trial Rows'!$Y$2:$Y$201,'Trial Rows'!Y5,'Trial Rows'!$G$2:$G$201,"B"),0)</x:f>
        <x:v>1</x:v>
      </x:c>
      <x:c r="E5" s="2" t="n">
        <x:f>IF(AND(C5=1,COUNTIFS('Trial Rows'!$B$2:$B$201,'Trial Rows'!B5,'Trial Rows'!$C$2:$C$201,'Trial Rows'!C5,'Trial Rows'!$F$2:$F$201,'Trial Rows'!F5,'Trial Rows'!$I$2:$I$201,'Trial Rows'!I5,'Trial Rows'!$Y$2:$Y$201,'Trial Rows'!Y5,'Trial Rows'!$G$2:$G$201,"A",'Trial Rows'!$K$2:$K$201,"&gt;=0",'Trial Rows'!$K$2:$K$201,"&lt;=4",'Trial Rows'!$K$2:$K$201,"&lt;&gt;")=1),SUMIFS('Trial Rows'!$K$2:$K$201,'Trial Rows'!$B$2:$B$201,'Trial Rows'!B5,'Trial Rows'!$C$2:$C$201,'Trial Rows'!C5,'Trial Rows'!$F$2:$F$201,'Trial Rows'!F5,'Trial Rows'!$I$2:$I$201,'Trial Rows'!I5,'Trial Rows'!$Y$2:$Y$201,'Trial Rows'!Y5,'Trial Rows'!$G$2:$G$201,"A"),"")</x:f>
        <x:v>3</x:v>
      </x:c>
      <x:c r="F5" s="2" t="n">
        <x:f>IF(AND(B5=1,'Trial Rows'!G5="B",C5=1,D5=1,ISNUMBER(E5),ISNUMBER('Trial Rows'!M5),'Trial Rows'!M5&gt;=0,'Trial Rows'!M5&lt;=4,'Trial Rows'!Q5=0,'Trial Rows'!S5=0),1,0)</x:f>
        <x:v>0</x:v>
      </x:c>
      <x:c r="G5" s="2" t="n">
        <x:f>IF(F5=1,IF(E5='Trial Rows'!M5,1,0),0)</x:f>
        <x:v>0</x:v>
      </x:c>
      <x:c r="H5" s="2" t="n">
        <x:f>IF(AND(B5=1,'Trial Rows'!G5="B",C5=1,D5=1,ISNUMBER(E5),'Trial Rows'!R5=1,'Trial Rows'!Q5=0,'Trial Rows'!S5=0,ISNUMBER('Trial Rows'!L5),'Trial Rows'!L5&gt;=0,'Trial Rows'!L5&lt;=4),1,0)</x:f>
        <x:v>0</x:v>
      </x:c>
      <x:c r="I5" s="2" t="n">
        <x:f>IF(H5=1,IF(E5='Trial Rows'!L5,1,0),0)</x:f>
        <x:v>0</x:v>
      </x:c>
      <x:c r="J5" s="2" t="n">
        <x:f>IF(AND(B5=1,'Trial Rows'!G5="B",'Trial Rows'!P5&gt;0),1,0)</x:f>
        <x:v>0</x:v>
      </x:c>
      <x:c r="K5" s="2" t="n">
        <x:f>IF(AND(B5=1,'Trial Rows'!G5="B",'Trial Rows'!Q5=1),1,0)</x:f>
        <x:v>0</x:v>
      </x:c>
      <x:c r="L5" s="2" t="n">
        <x:f>IF(AND(B5=1,'Trial Rows'!G5="B",'Trial Rows'!R5=1,'Trial Rows'!Q5=0,'Trial Rows'!S5=0),1,0)</x:f>
        <x:v>0</x:v>
      </x:c>
      <x:c r="M5" s="2" t="n">
        <x:f>IF(AND(B5=1,'Trial Rows'!G5="B"),1,0)</x:f>
        <x:v>0</x:v>
      </x:c>
      <x:c r="N5" s="2" t="n">
        <x:f>IF(AND(B5=1,'Trial Rows'!I5=1,COUNTIFS('Trial Rows'!$B$2:$B$201,'Trial Rows'!B5,'Trial Rows'!$C$2:$C$201,'Trial Rows'!C5,'Trial Rows'!$F$2:$F$201,'Trial Rows'!F5,'Trial Rows'!$G$2:$G$201,'Trial Rows'!G5,'Trial Rows'!$Y$2:$Y$201,'Trial Rows'!Y5)=4,COUNTIFS('Trial Rows'!$B$2:$B$201,'Trial Rows'!B5,'Trial Rows'!$C$2:$C$201,'Trial Rows'!C5,'Trial Rows'!$F$2:$F$201,'Trial Rows'!F5,'Trial Rows'!$G$2:$G$201,'Trial Rows'!G5,'Trial Rows'!$Y$2:$Y$201,'Trial Rows'!Y5,'Trial Rows'!$I$2:$I$201,1)=1,COUNTIFS('Trial Rows'!$B$2:$B$201,'Trial Rows'!B5,'Trial Rows'!$C$2:$C$201,'Trial Rows'!C5,'Trial Rows'!$F$2:$F$201,'Trial Rows'!F5,'Trial Rows'!$G$2:$G$201,'Trial Rows'!G5,'Trial Rows'!$Y$2:$Y$201,'Trial Rows'!Y5,'Trial Rows'!$I$2:$I$201,2)=1,COUNTIFS('Trial Rows'!$B$2:$B$201,'Trial Rows'!B5,'Trial Rows'!$C$2:$C$201,'Trial Rows'!C5,'Trial Rows'!$F$2:$F$201,'Trial Rows'!F5,'Trial Rows'!$G$2:$G$201,'Trial Rows'!G5,'Trial Rows'!$Y$2:$Y$201,'Trial Rows'!Y5,'Trial Rows'!$I$2:$I$201,3)=1,COUNTIFS('Trial Rows'!$B$2:$B$201,'Trial Rows'!B5,'Trial Rows'!$C$2:$C$201,'Trial Rows'!C5,'Trial Rows'!$F$2:$F$201,'Trial Rows'!F5,'Trial Rows'!$G$2:$G$201,'Trial Rows'!G5,'Trial Rows'!$Y$2:$Y$201,'Trial Rows'!Y5,'Trial Rows'!$I$2:$I$201,4)=1,COUNTIFS('Trial Rows'!$B$2:$B$201,'Trial Rows'!B5,'Trial Rows'!$C$2:$C$201,'Trial Rows'!C5,'Trial Rows'!$F$2:$F$201,'Trial Rows'!F5,'Trial Rows'!$G$2:$G$201,'Trial Rows'!G5,'Trial Rows'!$Y$2:$Y$201,'Trial Rows'!Y5,'Trial Rows'!$W$2:$W$201,"&lt;&gt;")=4,ISNUMBER('Trial Rows'!U5),COUNTIFS('Trial Rows'!$B$2:$B$201,'Trial Rows'!B5,'Trial Rows'!$C$2:$C$201,'Trial Rows'!C5,'Trial Rows'!$F$2:$F$201,'Trial Rows'!F5,'Trial Rows'!$G$2:$G$201,'Trial Rows'!G5,'Trial Rows'!$Y$2:$Y$201,'Trial Rows'!Y5,'Trial Rows'!$U$2:$U$201,'Trial Rows'!U5)=4,'Trial Rows'!U5&gt;=0),1,0)</x:f>
        <x:v>0</x:v>
      </x:c>
      <x:c r="O5" s="2" t="str">
        <x:f>IF(N5=1,'Trial Rows'!U5/1000,"")</x:f>
      </x:c>
      <x:c r="P5" s="2" t="str">
        <x:f>IF(AND(N5=1,'Trial Rows'!G5="A"),O5,"")</x:f>
      </x:c>
      <x:c r="Q5" s="2" t="str">
        <x:f>IF(AND(N5=1,'Trial Rows'!G5="B"),O5,"")</x:f>
      </x:c>
      <x:c r="R5" s="2" t="str">
        <x:f>IF(AND(N5=1,COUNTIFS('Trial Rows'!$B$2:$B$201,'Trial Rows'!B5,'Trial Rows'!$C$2:$C$201,'Trial Rows'!C5,'Trial Rows'!$F$2:$F$201,'Trial Rows'!F5,'Trial Rows'!$G$2:$G$201,'Trial Rows'!G5,'Trial Rows'!$Y$2:$Y$201,'Trial Rows'!Y5,'Trial Rows'!$N$2:$N$201,"&gt;=0",'Trial Rows'!$N$2:$N$201,"&lt;=4",'Trial Rows'!$N$2:$N$201,"&lt;&gt;")=4),SUMIFS('Trial Rows'!$N$2:$N$201,'Trial Rows'!$B$2:$B$201,'Trial Rows'!B5,'Trial Rows'!$C$2:$C$201,'Trial Rows'!C5,'Trial Rows'!$F$2:$F$201,'Trial Rows'!F5,'Trial Rows'!$G$2:$G$201,'Trial Rows'!G5,'Trial Rows'!$Y$2:$Y$201,'Trial Rows'!Y5,'Trial Rows'!$I$2:$I$201,1)+4-SUMIFS('Trial Rows'!$N$2:$N$201,'Trial Rows'!$B$2:$B$201,'Trial Rows'!B5,'Trial Rows'!$C$2:$C$201,'Trial Rows'!C5,'Trial Rows'!$F$2:$F$201,'Trial Rows'!F5,'Trial Rows'!$G$2:$G$201,'Trial Rows'!G5,'Trial Rows'!$Y$2:$Y$201,'Trial Rows'!Y5,'Trial Rows'!$I$2:$I$201,2)+4-SUMIFS('Trial Rows'!$N$2:$N$201,'Trial Rows'!$B$2:$B$201,'Trial Rows'!B5,'Trial Rows'!$C$2:$C$201,'Trial Rows'!C5,'Trial Rows'!$F$2:$F$201,'Trial Rows'!F5,'Trial Rows'!$G$2:$G$201,'Trial Rows'!G5,'Trial Rows'!$Y$2:$Y$201,'Trial Rows'!Y5,'Trial Rows'!$I$2:$I$201,3)+SUMIFS('Trial Rows'!$N$2:$N$201,'Trial Rows'!$B$2:$B$201,'Trial Rows'!B5,'Trial Rows'!$C$2:$C$201,'Trial Rows'!C5,'Trial Rows'!$F$2:$F$201,'Trial Rows'!F5,'Trial Rows'!$G$2:$G$201,'Trial Rows'!G5,'Trial Rows'!$Y$2:$Y$201,'Trial Rows'!Y5,'Trial Rows'!$I$2:$I$201,4),"")</x:f>
      </x:c>
      <x:c r="S5" s="2" t="n">
        <x:f>IF(AND(B5=1,COUNTIFS('Trial Rows'!$C$2:C5,'Trial Rows'!C5,'Trial Rows'!$F$2:F5,Summary!$B$5,'Trial Rows'!$Y$2:Y5,Summary!$B$4)=1),1,0)</x:f>
        <x:v>0</x:v>
      </x:c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2" t="str">
        <x:f>IF('Trial Rows'!A6="","",'Trial Rows'!F6&amp;"|"&amp;'Trial Rows'!B6&amp;"|"&amp;'Trial Rows'!C6&amp;"|"&amp;'Trial Rows'!I6)</x:f>
        <x:v>PSS4-offline-1.1.0|30cdd71e-9225-42e2-9347-833e110a08b2|TEST01|1</x:v>
      </x:c>
      <x:c r="B6" s="2" t="n">
        <x:f>IF(AND('Trial Rows'!A6&lt;&gt;"",'Trial Rows'!Y6=Summary!$B$4,'Trial Rows'!F6=Summary!$B$5),1,0)</x:f>
        <x:v>1</x:v>
      </x:c>
      <x:c r="C6" s="2" t="n">
        <x:f>IF(B6=1,COUNTIFS('Trial Rows'!$B$2:$B$201,'Trial Rows'!B6,'Trial Rows'!$C$2:$C$201,'Trial Rows'!C6,'Trial Rows'!$F$2:$F$201,'Trial Rows'!F6,'Trial Rows'!$I$2:$I$201,'Trial Rows'!I6,'Trial Rows'!$Y$2:$Y$201,'Trial Rows'!Y6,'Trial Rows'!$G$2:$G$201,"A"),0)</x:f>
        <x:v>1</x:v>
      </x:c>
      <x:c r="D6" s="2" t="n">
        <x:f>IF(B6=1,COUNTIFS('Trial Rows'!$B$2:$B$201,'Trial Rows'!B6,'Trial Rows'!$C$2:$C$201,'Trial Rows'!C6,'Trial Rows'!$F$2:$F$201,'Trial Rows'!F6,'Trial Rows'!$I$2:$I$201,'Trial Rows'!I6,'Trial Rows'!$Y$2:$Y$201,'Trial Rows'!Y6,'Trial Rows'!$G$2:$G$201,"B"),0)</x:f>
        <x:v>1</x:v>
      </x:c>
      <x:c r="E6" s="2" t="n">
        <x:f>IF(AND(C6=1,COUNTIFS('Trial Rows'!$B$2:$B$201,'Trial Rows'!B6,'Trial Rows'!$C$2:$C$201,'Trial Rows'!C6,'Trial Rows'!$F$2:$F$201,'Trial Rows'!F6,'Trial Rows'!$I$2:$I$201,'Trial Rows'!I6,'Trial Rows'!$Y$2:$Y$201,'Trial Rows'!Y6,'Trial Rows'!$G$2:$G$201,"A",'Trial Rows'!$K$2:$K$201,"&gt;=0",'Trial Rows'!$K$2:$K$201,"&lt;=4",'Trial Rows'!$K$2:$K$201,"&lt;&gt;")=1),SUMIFS('Trial Rows'!$K$2:$K$201,'Trial Rows'!$B$2:$B$201,'Trial Rows'!B6,'Trial Rows'!$C$2:$C$201,'Trial Rows'!C6,'Trial Rows'!$F$2:$F$201,'Trial Rows'!F6,'Trial Rows'!$I$2:$I$201,'Trial Rows'!I6,'Trial Rows'!$Y$2:$Y$201,'Trial Rows'!Y6,'Trial Rows'!$G$2:$G$201,"A"),"")</x:f>
        <x:v>0</x:v>
      </x:c>
      <x:c r="F6" s="2" t="n">
        <x:f>IF(AND(B6=1,'Trial Rows'!G6="B",C6=1,D6=1,ISNUMBER(E6),ISNUMBER('Trial Rows'!M6),'Trial Rows'!M6&gt;=0,'Trial Rows'!M6&lt;=4,'Trial Rows'!Q6=0,'Trial Rows'!S6=0),1,0)</x:f>
        <x:v>1</x:v>
      </x:c>
      <x:c r="G6" s="2" t="n">
        <x:f>IF(F6=1,IF(E6='Trial Rows'!M6,1,0),0)</x:f>
        <x:v>1</x:v>
      </x:c>
      <x:c r="H6" s="2" t="n">
        <x:f>IF(AND(B6=1,'Trial Rows'!G6="B",C6=1,D6=1,ISNUMBER(E6),'Trial Rows'!R6=1,'Trial Rows'!Q6=0,'Trial Rows'!S6=0,ISNUMBER('Trial Rows'!L6),'Trial Rows'!L6&gt;=0,'Trial Rows'!L6&lt;=4),1,0)</x:f>
        <x:v>1</x:v>
      </x:c>
      <x:c r="I6" s="2" t="n">
        <x:f>IF(H6=1,IF(E6='Trial Rows'!L6,1,0),0)</x:f>
        <x:v>1</x:v>
      </x:c>
      <x:c r="J6" s="2" t="n">
        <x:f>IF(AND(B6=1,'Trial Rows'!G6="B",'Trial Rows'!P6&gt;0),1,0)</x:f>
        <x:v>0</x:v>
      </x:c>
      <x:c r="K6" s="2" t="n">
        <x:f>IF(AND(B6=1,'Trial Rows'!G6="B",'Trial Rows'!Q6=1),1,0)</x:f>
        <x:v>0</x:v>
      </x:c>
      <x:c r="L6" s="2" t="n">
        <x:f>IF(AND(B6=1,'Trial Rows'!G6="B",'Trial Rows'!R6=1,'Trial Rows'!Q6=0,'Trial Rows'!S6=0),1,0)</x:f>
        <x:v>1</x:v>
      </x:c>
      <x:c r="M6" s="2" t="n">
        <x:f>IF(AND(B6=1,'Trial Rows'!G6="B"),1,0)</x:f>
        <x:v>1</x:v>
      </x:c>
      <x:c r="N6" s="2" t="n">
        <x:f>IF(AND(B6=1,'Trial Rows'!I6=1,COUNTIFS('Trial Rows'!$B$2:$B$201,'Trial Rows'!B6,'Trial Rows'!$C$2:$C$201,'Trial Rows'!C6,'Trial Rows'!$F$2:$F$201,'Trial Rows'!F6,'Trial Rows'!$G$2:$G$201,'Trial Rows'!G6,'Trial Rows'!$Y$2:$Y$201,'Trial Rows'!Y6)=4,COUNTIFS('Trial Rows'!$B$2:$B$201,'Trial Rows'!B6,'Trial Rows'!$C$2:$C$201,'Trial Rows'!C6,'Trial Rows'!$F$2:$F$201,'Trial Rows'!F6,'Trial Rows'!$G$2:$G$201,'Trial Rows'!G6,'Trial Rows'!$Y$2:$Y$201,'Trial Rows'!Y6,'Trial Rows'!$I$2:$I$201,1)=1,COUNTIFS('Trial Rows'!$B$2:$B$201,'Trial Rows'!B6,'Trial Rows'!$C$2:$C$201,'Trial Rows'!C6,'Trial Rows'!$F$2:$F$201,'Trial Rows'!F6,'Trial Rows'!$G$2:$G$201,'Trial Rows'!G6,'Trial Rows'!$Y$2:$Y$201,'Trial Rows'!Y6,'Trial Rows'!$I$2:$I$201,2)=1,COUNTIFS('Trial Rows'!$B$2:$B$201,'Trial Rows'!B6,'Trial Rows'!$C$2:$C$201,'Trial Rows'!C6,'Trial Rows'!$F$2:$F$201,'Trial Rows'!F6,'Trial Rows'!$G$2:$G$201,'Trial Rows'!G6,'Trial Rows'!$Y$2:$Y$201,'Trial Rows'!Y6,'Trial Rows'!$I$2:$I$201,3)=1,COUNTIFS('Trial Rows'!$B$2:$B$201,'Trial Rows'!B6,'Trial Rows'!$C$2:$C$201,'Trial Rows'!C6,'Trial Rows'!$F$2:$F$201,'Trial Rows'!F6,'Trial Rows'!$G$2:$G$201,'Trial Rows'!G6,'Trial Rows'!$Y$2:$Y$201,'Trial Rows'!Y6,'Trial Rows'!$I$2:$I$201,4)=1,COUNTIFS('Trial Rows'!$B$2:$B$201,'Trial Rows'!B6,'Trial Rows'!$C$2:$C$201,'Trial Rows'!C6,'Trial Rows'!$F$2:$F$201,'Trial Rows'!F6,'Trial Rows'!$G$2:$G$201,'Trial Rows'!G6,'Trial Rows'!$Y$2:$Y$201,'Trial Rows'!Y6,'Trial Rows'!$W$2:$W$201,"&lt;&gt;")=4,ISNUMBER('Trial Rows'!U6),COUNTIFS('Trial Rows'!$B$2:$B$201,'Trial Rows'!B6,'Trial Rows'!$C$2:$C$201,'Trial Rows'!C6,'Trial Rows'!$F$2:$F$201,'Trial Rows'!F6,'Trial Rows'!$G$2:$G$201,'Trial Rows'!G6,'Trial Rows'!$Y$2:$Y$201,'Trial Rows'!Y6,'Trial Rows'!$U$2:$U$201,'Trial Rows'!U6)=4,'Trial Rows'!U6&gt;=0),1,0)</x:f>
        <x:v>1</x:v>
      </x:c>
      <x:c r="O6" s="2" t="n">
        <x:f>IF(N6=1,'Trial Rows'!U6/1000,"")</x:f>
        <x:v>8</x:v>
      </x:c>
      <x:c r="P6" s="2" t="str">
        <x:f>IF(AND(N6=1,'Trial Rows'!G6="A"),O6,"")</x:f>
      </x:c>
      <x:c r="Q6" s="2" t="n">
        <x:f>IF(AND(N6=1,'Trial Rows'!G6="B"),O6,"")</x:f>
        <x:v>8</x:v>
      </x:c>
      <x:c r="R6" s="2" t="n">
        <x:f>IF(AND(N6=1,COUNTIFS('Trial Rows'!$B$2:$B$201,'Trial Rows'!B6,'Trial Rows'!$C$2:$C$201,'Trial Rows'!C6,'Trial Rows'!$F$2:$F$201,'Trial Rows'!F6,'Trial Rows'!$G$2:$G$201,'Trial Rows'!G6,'Trial Rows'!$Y$2:$Y$201,'Trial Rows'!Y6,'Trial Rows'!$N$2:$N$201,"&gt;=0",'Trial Rows'!$N$2:$N$201,"&lt;=4",'Trial Rows'!$N$2:$N$201,"&lt;&gt;")=4),SUMIFS('Trial Rows'!$N$2:$N$201,'Trial Rows'!$B$2:$B$201,'Trial Rows'!B6,'Trial Rows'!$C$2:$C$201,'Trial Rows'!C6,'Trial Rows'!$F$2:$F$201,'Trial Rows'!F6,'Trial Rows'!$G$2:$G$201,'Trial Rows'!G6,'Trial Rows'!$Y$2:$Y$201,'Trial Rows'!Y6,'Trial Rows'!$I$2:$I$201,1)+4-SUMIFS('Trial Rows'!$N$2:$N$201,'Trial Rows'!$B$2:$B$201,'Trial Rows'!B6,'Trial Rows'!$C$2:$C$201,'Trial Rows'!C6,'Trial Rows'!$F$2:$F$201,'Trial Rows'!F6,'Trial Rows'!$G$2:$G$201,'Trial Rows'!G6,'Trial Rows'!$Y$2:$Y$201,'Trial Rows'!Y6,'Trial Rows'!$I$2:$I$201,2)+4-SUMIFS('Trial Rows'!$N$2:$N$201,'Trial Rows'!$B$2:$B$201,'Trial Rows'!B6,'Trial Rows'!$C$2:$C$201,'Trial Rows'!C6,'Trial Rows'!$F$2:$F$201,'Trial Rows'!F6,'Trial Rows'!$G$2:$G$201,'Trial Rows'!G6,'Trial Rows'!$Y$2:$Y$201,'Trial Rows'!Y6,'Trial Rows'!$I$2:$I$201,3)+SUMIFS('Trial Rows'!$N$2:$N$201,'Trial Rows'!$B$2:$B$201,'Trial Rows'!B6,'Trial Rows'!$C$2:$C$201,'Trial Rows'!C6,'Trial Rows'!$F$2:$F$201,'Trial Rows'!F6,'Trial Rows'!$G$2:$G$201,'Trial Rows'!G6,'Trial Rows'!$Y$2:$Y$201,'Trial Rows'!Y6,'Trial Rows'!$I$2:$I$201,4),"")</x:f>
        <x:v>8</x:v>
      </x:c>
      <x:c r="S6" s="2" t="n">
        <x:f>IF(AND(B6=1,COUNTIFS('Trial Rows'!$C$2:C6,'Trial Rows'!C6,'Trial Rows'!$F$2:F6,Summary!$B$5,'Trial Rows'!$Y$2:Y6,Summary!$B$4)=1),1,0)</x:f>
        <x:v>0</x:v>
      </x:c>
      <x:c r="T6" s="2"/>
      <x:c r="U6" s="2"/>
      <x:c r="V6" s="2"/>
      <x:c r="W6" s="2"/>
      <x:c r="X6" s="2"/>
      <x:c r="Y6" s="2"/>
      <x:c r="Z6" s="2"/>
      <x:c r="AA6" s="2"/>
      <x:c r="AB6" s="2"/>
    </x:row>
    <x:row r="7">
      <x:c r="A7" s="2" t="str">
        <x:f>IF('Trial Rows'!A7="","",'Trial Rows'!F7&amp;"|"&amp;'Trial Rows'!B7&amp;"|"&amp;'Trial Rows'!C7&amp;"|"&amp;'Trial Rows'!I7)</x:f>
        <x:v>PSS4-offline-1.1.0|30cdd71e-9225-42e2-9347-833e110a08b2|TEST01|2</x:v>
      </x:c>
      <x:c r="B7" s="2" t="n">
        <x:f>IF(AND('Trial Rows'!A7&lt;&gt;"",'Trial Rows'!Y7=Summary!$B$4,'Trial Rows'!F7=Summary!$B$5),1,0)</x:f>
        <x:v>1</x:v>
      </x:c>
      <x:c r="C7" s="2" t="n">
        <x:f>IF(B7=1,COUNTIFS('Trial Rows'!$B$2:$B$201,'Trial Rows'!B7,'Trial Rows'!$C$2:$C$201,'Trial Rows'!C7,'Trial Rows'!$F$2:$F$201,'Trial Rows'!F7,'Trial Rows'!$I$2:$I$201,'Trial Rows'!I7,'Trial Rows'!$Y$2:$Y$201,'Trial Rows'!Y7,'Trial Rows'!$G$2:$G$201,"A"),0)</x:f>
        <x:v>1</x:v>
      </x:c>
      <x:c r="D7" s="2" t="n">
        <x:f>IF(B7=1,COUNTIFS('Trial Rows'!$B$2:$B$201,'Trial Rows'!B7,'Trial Rows'!$C$2:$C$201,'Trial Rows'!C7,'Trial Rows'!$F$2:$F$201,'Trial Rows'!F7,'Trial Rows'!$I$2:$I$201,'Trial Rows'!I7,'Trial Rows'!$Y$2:$Y$201,'Trial Rows'!Y7,'Trial Rows'!$G$2:$G$201,"B"),0)</x:f>
        <x:v>1</x:v>
      </x:c>
      <x:c r="E7" s="2" t="n">
        <x:f>IF(AND(C7=1,COUNTIFS('Trial Rows'!$B$2:$B$201,'Trial Rows'!B7,'Trial Rows'!$C$2:$C$201,'Trial Rows'!C7,'Trial Rows'!$F$2:$F$201,'Trial Rows'!F7,'Trial Rows'!$I$2:$I$201,'Trial Rows'!I7,'Trial Rows'!$Y$2:$Y$201,'Trial Rows'!Y7,'Trial Rows'!$G$2:$G$201,"A",'Trial Rows'!$K$2:$K$201,"&gt;=0",'Trial Rows'!$K$2:$K$201,"&lt;=4",'Trial Rows'!$K$2:$K$201,"&lt;&gt;")=1),SUMIFS('Trial Rows'!$K$2:$K$201,'Trial Rows'!$B$2:$B$201,'Trial Rows'!B7,'Trial Rows'!$C$2:$C$201,'Trial Rows'!C7,'Trial Rows'!$F$2:$F$201,'Trial Rows'!F7,'Trial Rows'!$I$2:$I$201,'Trial Rows'!I7,'Trial Rows'!$Y$2:$Y$201,'Trial Rows'!Y7,'Trial Rows'!$G$2:$G$201,"A"),"")</x:f>
        <x:v>1</x:v>
      </x:c>
      <x:c r="F7" s="2" t="n">
        <x:f>IF(AND(B7=1,'Trial Rows'!G7="B",C7=1,D7=1,ISNUMBER(E7),ISNUMBER('Trial Rows'!M7),'Trial Rows'!M7&gt;=0,'Trial Rows'!M7&lt;=4,'Trial Rows'!Q7=0,'Trial Rows'!S7=0),1,0)</x:f>
        <x:v>0</x:v>
      </x:c>
      <x:c r="G7" s="2" t="n">
        <x:f>IF(F7=1,IF(E7='Trial Rows'!M7,1,0),0)</x:f>
        <x:v>0</x:v>
      </x:c>
      <x:c r="H7" s="2" t="n">
        <x:f>IF(AND(B7=1,'Trial Rows'!G7="B",C7=1,D7=1,ISNUMBER(E7),'Trial Rows'!R7=1,'Trial Rows'!Q7=0,'Trial Rows'!S7=0,ISNUMBER('Trial Rows'!L7),'Trial Rows'!L7&gt;=0,'Trial Rows'!L7&lt;=4),1,0)</x:f>
        <x:v>1</x:v>
      </x:c>
      <x:c r="I7" s="2" t="n">
        <x:f>IF(H7=1,IF(E7='Trial Rows'!L7,1,0),0)</x:f>
        <x:v>1</x:v>
      </x:c>
      <x:c r="J7" s="2" t="n">
        <x:f>IF(AND(B7=1,'Trial Rows'!G7="B",'Trial Rows'!P7&gt;0),1,0)</x:f>
        <x:v>1</x:v>
      </x:c>
      <x:c r="K7" s="2" t="n">
        <x:f>IF(AND(B7=1,'Trial Rows'!G7="B",'Trial Rows'!Q7=1),1,0)</x:f>
        <x:v>0</x:v>
      </x:c>
      <x:c r="L7" s="2" t="n">
        <x:f>IF(AND(B7=1,'Trial Rows'!G7="B",'Trial Rows'!R7=1,'Trial Rows'!Q7=0,'Trial Rows'!S7=0),1,0)</x:f>
        <x:v>1</x:v>
      </x:c>
      <x:c r="M7" s="2" t="n">
        <x:f>IF(AND(B7=1,'Trial Rows'!G7="B"),1,0)</x:f>
        <x:v>1</x:v>
      </x:c>
      <x:c r="N7" s="2" t="n">
        <x:f>IF(AND(B7=1,'Trial Rows'!I7=1,COUNTIFS('Trial Rows'!$B$2:$B$201,'Trial Rows'!B7,'Trial Rows'!$C$2:$C$201,'Trial Rows'!C7,'Trial Rows'!$F$2:$F$201,'Trial Rows'!F7,'Trial Rows'!$G$2:$G$201,'Trial Rows'!G7,'Trial Rows'!$Y$2:$Y$201,'Trial Rows'!Y7)=4,COUNTIFS('Trial Rows'!$B$2:$B$201,'Trial Rows'!B7,'Trial Rows'!$C$2:$C$201,'Trial Rows'!C7,'Trial Rows'!$F$2:$F$201,'Trial Rows'!F7,'Trial Rows'!$G$2:$G$201,'Trial Rows'!G7,'Trial Rows'!$Y$2:$Y$201,'Trial Rows'!Y7,'Trial Rows'!$I$2:$I$201,1)=1,COUNTIFS('Trial Rows'!$B$2:$B$201,'Trial Rows'!B7,'Trial Rows'!$C$2:$C$201,'Trial Rows'!C7,'Trial Rows'!$F$2:$F$201,'Trial Rows'!F7,'Trial Rows'!$G$2:$G$201,'Trial Rows'!G7,'Trial Rows'!$Y$2:$Y$201,'Trial Rows'!Y7,'Trial Rows'!$I$2:$I$201,2)=1,COUNTIFS('Trial Rows'!$B$2:$B$201,'Trial Rows'!B7,'Trial Rows'!$C$2:$C$201,'Trial Rows'!C7,'Trial Rows'!$F$2:$F$201,'Trial Rows'!F7,'Trial Rows'!$G$2:$G$201,'Trial Rows'!G7,'Trial Rows'!$Y$2:$Y$201,'Trial Rows'!Y7,'Trial Rows'!$I$2:$I$201,3)=1,COUNTIFS('Trial Rows'!$B$2:$B$201,'Trial Rows'!B7,'Trial Rows'!$C$2:$C$201,'Trial Rows'!C7,'Trial Rows'!$F$2:$F$201,'Trial Rows'!F7,'Trial Rows'!$G$2:$G$201,'Trial Rows'!G7,'Trial Rows'!$Y$2:$Y$201,'Trial Rows'!Y7,'Trial Rows'!$I$2:$I$201,4)=1,COUNTIFS('Trial Rows'!$B$2:$B$201,'Trial Rows'!B7,'Trial Rows'!$C$2:$C$201,'Trial Rows'!C7,'Trial Rows'!$F$2:$F$201,'Trial Rows'!F7,'Trial Rows'!$G$2:$G$201,'Trial Rows'!G7,'Trial Rows'!$Y$2:$Y$201,'Trial Rows'!Y7,'Trial Rows'!$W$2:$W$201,"&lt;&gt;")=4,ISNUMBER('Trial Rows'!U7),COUNTIFS('Trial Rows'!$B$2:$B$201,'Trial Rows'!B7,'Trial Rows'!$C$2:$C$201,'Trial Rows'!C7,'Trial Rows'!$F$2:$F$201,'Trial Rows'!F7,'Trial Rows'!$G$2:$G$201,'Trial Rows'!G7,'Trial Rows'!$Y$2:$Y$201,'Trial Rows'!Y7,'Trial Rows'!$U$2:$U$201,'Trial Rows'!U7)=4,'Trial Rows'!U7&gt;=0),1,0)</x:f>
        <x:v>0</x:v>
      </x:c>
      <x:c r="O7" s="2" t="str">
        <x:f>IF(N7=1,'Trial Rows'!U7/1000,"")</x:f>
      </x:c>
      <x:c r="P7" s="2" t="str">
        <x:f>IF(AND(N7=1,'Trial Rows'!G7="A"),O7,"")</x:f>
      </x:c>
      <x:c r="Q7" s="2" t="str">
        <x:f>IF(AND(N7=1,'Trial Rows'!G7="B"),O7,"")</x:f>
      </x:c>
      <x:c r="R7" s="2" t="str">
        <x:f>IF(AND(N7=1,COUNTIFS('Trial Rows'!$B$2:$B$201,'Trial Rows'!B7,'Trial Rows'!$C$2:$C$201,'Trial Rows'!C7,'Trial Rows'!$F$2:$F$201,'Trial Rows'!F7,'Trial Rows'!$G$2:$G$201,'Trial Rows'!G7,'Trial Rows'!$Y$2:$Y$201,'Trial Rows'!Y7,'Trial Rows'!$N$2:$N$201,"&gt;=0",'Trial Rows'!$N$2:$N$201,"&lt;=4",'Trial Rows'!$N$2:$N$201,"&lt;&gt;")=4),SUMIFS('Trial Rows'!$N$2:$N$201,'Trial Rows'!$B$2:$B$201,'Trial Rows'!B7,'Trial Rows'!$C$2:$C$201,'Trial Rows'!C7,'Trial Rows'!$F$2:$F$201,'Trial Rows'!F7,'Trial Rows'!$G$2:$G$201,'Trial Rows'!G7,'Trial Rows'!$Y$2:$Y$201,'Trial Rows'!Y7,'Trial Rows'!$I$2:$I$201,1)+4-SUMIFS('Trial Rows'!$N$2:$N$201,'Trial Rows'!$B$2:$B$201,'Trial Rows'!B7,'Trial Rows'!$C$2:$C$201,'Trial Rows'!C7,'Trial Rows'!$F$2:$F$201,'Trial Rows'!F7,'Trial Rows'!$G$2:$G$201,'Trial Rows'!G7,'Trial Rows'!$Y$2:$Y$201,'Trial Rows'!Y7,'Trial Rows'!$I$2:$I$201,2)+4-SUMIFS('Trial Rows'!$N$2:$N$201,'Trial Rows'!$B$2:$B$201,'Trial Rows'!B7,'Trial Rows'!$C$2:$C$201,'Trial Rows'!C7,'Trial Rows'!$F$2:$F$201,'Trial Rows'!F7,'Trial Rows'!$G$2:$G$201,'Trial Rows'!G7,'Trial Rows'!$Y$2:$Y$201,'Trial Rows'!Y7,'Trial Rows'!$I$2:$I$201,3)+SUMIFS('Trial Rows'!$N$2:$N$201,'Trial Rows'!$B$2:$B$201,'Trial Rows'!B7,'Trial Rows'!$C$2:$C$201,'Trial Rows'!C7,'Trial Rows'!$F$2:$F$201,'Trial Rows'!F7,'Trial Rows'!$G$2:$G$201,'Trial Rows'!G7,'Trial Rows'!$Y$2:$Y$201,'Trial Rows'!Y7,'Trial Rows'!$I$2:$I$201,4),"")</x:f>
      </x:c>
      <x:c r="S7" s="2" t="n">
        <x:f>IF(AND(B7=1,COUNTIFS('Trial Rows'!$C$2:C7,'Trial Rows'!C7,'Trial Rows'!$F$2:F7,Summary!$B$5,'Trial Rows'!$Y$2:Y7,Summary!$B$4)=1),1,0)</x:f>
        <x:v>0</x:v>
      </x:c>
      <x:c r="T7" s="2"/>
      <x:c r="U7" s="2"/>
      <x:c r="V7" s="2"/>
      <x:c r="W7" s="2"/>
      <x:c r="X7" s="2"/>
      <x:c r="Y7" s="2"/>
      <x:c r="Z7" s="2"/>
      <x:c r="AA7" s="2"/>
      <x:c r="AB7" s="2"/>
    </x:row>
    <x:row r="8">
      <x:c r="A8" s="2" t="str">
        <x:f>IF('Trial Rows'!A8="","",'Trial Rows'!F8&amp;"|"&amp;'Trial Rows'!B8&amp;"|"&amp;'Trial Rows'!C8&amp;"|"&amp;'Trial Rows'!I8)</x:f>
        <x:v>PSS4-offline-1.1.0|30cdd71e-9225-42e2-9347-833e110a08b2|TEST01|3</x:v>
      </x:c>
      <x:c r="B8" s="2" t="n">
        <x:f>IF(AND('Trial Rows'!A8&lt;&gt;"",'Trial Rows'!Y8=Summary!$B$4,'Trial Rows'!F8=Summary!$B$5),1,0)</x:f>
        <x:v>1</x:v>
      </x:c>
      <x:c r="C8" s="2" t="n">
        <x:f>IF(B8=1,COUNTIFS('Trial Rows'!$B$2:$B$201,'Trial Rows'!B8,'Trial Rows'!$C$2:$C$201,'Trial Rows'!C8,'Trial Rows'!$F$2:$F$201,'Trial Rows'!F8,'Trial Rows'!$I$2:$I$201,'Trial Rows'!I8,'Trial Rows'!$Y$2:$Y$201,'Trial Rows'!Y8,'Trial Rows'!$G$2:$G$201,"A"),0)</x:f>
        <x:v>1</x:v>
      </x:c>
      <x:c r="D8" s="2" t="n">
        <x:f>IF(B8=1,COUNTIFS('Trial Rows'!$B$2:$B$201,'Trial Rows'!B8,'Trial Rows'!$C$2:$C$201,'Trial Rows'!C8,'Trial Rows'!$F$2:$F$201,'Trial Rows'!F8,'Trial Rows'!$I$2:$I$201,'Trial Rows'!I8,'Trial Rows'!$Y$2:$Y$201,'Trial Rows'!Y8,'Trial Rows'!$G$2:$G$201,"B"),0)</x:f>
        <x:v>1</x:v>
      </x:c>
      <x:c r="E8" s="2" t="n">
        <x:f>IF(AND(C8=1,COUNTIFS('Trial Rows'!$B$2:$B$201,'Trial Rows'!B8,'Trial Rows'!$C$2:$C$201,'Trial Rows'!C8,'Trial Rows'!$F$2:$F$201,'Trial Rows'!F8,'Trial Rows'!$I$2:$I$201,'Trial Rows'!I8,'Trial Rows'!$Y$2:$Y$201,'Trial Rows'!Y8,'Trial Rows'!$G$2:$G$201,"A",'Trial Rows'!$K$2:$K$201,"&gt;=0",'Trial Rows'!$K$2:$K$201,"&lt;=4",'Trial Rows'!$K$2:$K$201,"&lt;&gt;")=1),SUMIFS('Trial Rows'!$K$2:$K$201,'Trial Rows'!$B$2:$B$201,'Trial Rows'!B8,'Trial Rows'!$C$2:$C$201,'Trial Rows'!C8,'Trial Rows'!$F$2:$F$201,'Trial Rows'!F8,'Trial Rows'!$I$2:$I$201,'Trial Rows'!I8,'Trial Rows'!$Y$2:$Y$201,'Trial Rows'!Y8,'Trial Rows'!$G$2:$G$201,"A"),"")</x:f>
        <x:v>2</x:v>
      </x:c>
      <x:c r="F8" s="2" t="n">
        <x:f>IF(AND(B8=1,'Trial Rows'!G8="B",C8=1,D8=1,ISNUMBER(E8),ISNUMBER('Trial Rows'!M8),'Trial Rows'!M8&gt;=0,'Trial Rows'!M8&lt;=4,'Trial Rows'!Q8=0,'Trial Rows'!S8=0),1,0)</x:f>
        <x:v>1</x:v>
      </x:c>
      <x:c r="G8" s="2" t="n">
        <x:f>IF(F8=1,IF(E8='Trial Rows'!M8,1,0),0)</x:f>
        <x:v>0</x:v>
      </x:c>
      <x:c r="H8" s="2" t="n">
        <x:f>IF(AND(B8=1,'Trial Rows'!G8="B",C8=1,D8=1,ISNUMBER(E8),'Trial Rows'!R8=1,'Trial Rows'!Q8=0,'Trial Rows'!S8=0,ISNUMBER('Trial Rows'!L8),'Trial Rows'!L8&gt;=0,'Trial Rows'!L8&lt;=4),1,0)</x:f>
        <x:v>1</x:v>
      </x:c>
      <x:c r="I8" s="2" t="n">
        <x:f>IF(H8=1,IF(E8='Trial Rows'!L8,1,0),0)</x:f>
        <x:v>0</x:v>
      </x:c>
      <x:c r="J8" s="2" t="n">
        <x:f>IF(AND(B8=1,'Trial Rows'!G8="B",'Trial Rows'!P8&gt;0),1,0)</x:f>
        <x:v>0</x:v>
      </x:c>
      <x:c r="K8" s="2" t="n">
        <x:f>IF(AND(B8=1,'Trial Rows'!G8="B",'Trial Rows'!Q8=1),1,0)</x:f>
        <x:v>0</x:v>
      </x:c>
      <x:c r="L8" s="2" t="n">
        <x:f>IF(AND(B8=1,'Trial Rows'!G8="B",'Trial Rows'!R8=1,'Trial Rows'!Q8=0,'Trial Rows'!S8=0),1,0)</x:f>
        <x:v>1</x:v>
      </x:c>
      <x:c r="M8" s="2" t="n">
        <x:f>IF(AND(B8=1,'Trial Rows'!G8="B"),1,0)</x:f>
        <x:v>1</x:v>
      </x:c>
      <x:c r="N8" s="2" t="n">
        <x:f>IF(AND(B8=1,'Trial Rows'!I8=1,COUNTIFS('Trial Rows'!$B$2:$B$201,'Trial Rows'!B8,'Trial Rows'!$C$2:$C$201,'Trial Rows'!C8,'Trial Rows'!$F$2:$F$201,'Trial Rows'!F8,'Trial Rows'!$G$2:$G$201,'Trial Rows'!G8,'Trial Rows'!$Y$2:$Y$201,'Trial Rows'!Y8)=4,COUNTIFS('Trial Rows'!$B$2:$B$201,'Trial Rows'!B8,'Trial Rows'!$C$2:$C$201,'Trial Rows'!C8,'Trial Rows'!$F$2:$F$201,'Trial Rows'!F8,'Trial Rows'!$G$2:$G$201,'Trial Rows'!G8,'Trial Rows'!$Y$2:$Y$201,'Trial Rows'!Y8,'Trial Rows'!$I$2:$I$201,1)=1,COUNTIFS('Trial Rows'!$B$2:$B$201,'Trial Rows'!B8,'Trial Rows'!$C$2:$C$201,'Trial Rows'!C8,'Trial Rows'!$F$2:$F$201,'Trial Rows'!F8,'Trial Rows'!$G$2:$G$201,'Trial Rows'!G8,'Trial Rows'!$Y$2:$Y$201,'Trial Rows'!Y8,'Trial Rows'!$I$2:$I$201,2)=1,COUNTIFS('Trial Rows'!$B$2:$B$201,'Trial Rows'!B8,'Trial Rows'!$C$2:$C$201,'Trial Rows'!C8,'Trial Rows'!$F$2:$F$201,'Trial Rows'!F8,'Trial Rows'!$G$2:$G$201,'Trial Rows'!G8,'Trial Rows'!$Y$2:$Y$201,'Trial Rows'!Y8,'Trial Rows'!$I$2:$I$201,3)=1,COUNTIFS('Trial Rows'!$B$2:$B$201,'Trial Rows'!B8,'Trial Rows'!$C$2:$C$201,'Trial Rows'!C8,'Trial Rows'!$F$2:$F$201,'Trial Rows'!F8,'Trial Rows'!$G$2:$G$201,'Trial Rows'!G8,'Trial Rows'!$Y$2:$Y$201,'Trial Rows'!Y8,'Trial Rows'!$I$2:$I$201,4)=1,COUNTIFS('Trial Rows'!$B$2:$B$201,'Trial Rows'!B8,'Trial Rows'!$C$2:$C$201,'Trial Rows'!C8,'Trial Rows'!$F$2:$F$201,'Trial Rows'!F8,'Trial Rows'!$G$2:$G$201,'Trial Rows'!G8,'Trial Rows'!$Y$2:$Y$201,'Trial Rows'!Y8,'Trial Rows'!$W$2:$W$201,"&lt;&gt;")=4,ISNUMBER('Trial Rows'!U8),COUNTIFS('Trial Rows'!$B$2:$B$201,'Trial Rows'!B8,'Trial Rows'!$C$2:$C$201,'Trial Rows'!C8,'Trial Rows'!$F$2:$F$201,'Trial Rows'!F8,'Trial Rows'!$G$2:$G$201,'Trial Rows'!G8,'Trial Rows'!$Y$2:$Y$201,'Trial Rows'!Y8,'Trial Rows'!$U$2:$U$201,'Trial Rows'!U8)=4,'Trial Rows'!U8&gt;=0),1,0)</x:f>
        <x:v>0</x:v>
      </x:c>
      <x:c r="O8" s="2" t="str">
        <x:f>IF(N8=1,'Trial Rows'!U8/1000,"")</x:f>
      </x:c>
      <x:c r="P8" s="2" t="str">
        <x:f>IF(AND(N8=1,'Trial Rows'!G8="A"),O8,"")</x:f>
      </x:c>
      <x:c r="Q8" s="2" t="str">
        <x:f>IF(AND(N8=1,'Trial Rows'!G8="B"),O8,"")</x:f>
      </x:c>
      <x:c r="R8" s="2" t="str">
        <x:f>IF(AND(N8=1,COUNTIFS('Trial Rows'!$B$2:$B$201,'Trial Rows'!B8,'Trial Rows'!$C$2:$C$201,'Trial Rows'!C8,'Trial Rows'!$F$2:$F$201,'Trial Rows'!F8,'Trial Rows'!$G$2:$G$201,'Trial Rows'!G8,'Trial Rows'!$Y$2:$Y$201,'Trial Rows'!Y8,'Trial Rows'!$N$2:$N$201,"&gt;=0",'Trial Rows'!$N$2:$N$201,"&lt;=4",'Trial Rows'!$N$2:$N$201,"&lt;&gt;")=4),SUMIFS('Trial Rows'!$N$2:$N$201,'Trial Rows'!$B$2:$B$201,'Trial Rows'!B8,'Trial Rows'!$C$2:$C$201,'Trial Rows'!C8,'Trial Rows'!$F$2:$F$201,'Trial Rows'!F8,'Trial Rows'!$G$2:$G$201,'Trial Rows'!G8,'Trial Rows'!$Y$2:$Y$201,'Trial Rows'!Y8,'Trial Rows'!$I$2:$I$201,1)+4-SUMIFS('Trial Rows'!$N$2:$N$201,'Trial Rows'!$B$2:$B$201,'Trial Rows'!B8,'Trial Rows'!$C$2:$C$201,'Trial Rows'!C8,'Trial Rows'!$F$2:$F$201,'Trial Rows'!F8,'Trial Rows'!$G$2:$G$201,'Trial Rows'!G8,'Trial Rows'!$Y$2:$Y$201,'Trial Rows'!Y8,'Trial Rows'!$I$2:$I$201,2)+4-SUMIFS('Trial Rows'!$N$2:$N$201,'Trial Rows'!$B$2:$B$201,'Trial Rows'!B8,'Trial Rows'!$C$2:$C$201,'Trial Rows'!C8,'Trial Rows'!$F$2:$F$201,'Trial Rows'!F8,'Trial Rows'!$G$2:$G$201,'Trial Rows'!G8,'Trial Rows'!$Y$2:$Y$201,'Trial Rows'!Y8,'Trial Rows'!$I$2:$I$201,3)+SUMIFS('Trial Rows'!$N$2:$N$201,'Trial Rows'!$B$2:$B$201,'Trial Rows'!B8,'Trial Rows'!$C$2:$C$201,'Trial Rows'!C8,'Trial Rows'!$F$2:$F$201,'Trial Rows'!F8,'Trial Rows'!$G$2:$G$201,'Trial Rows'!G8,'Trial Rows'!$Y$2:$Y$201,'Trial Rows'!Y8,'Trial Rows'!$I$2:$I$201,4),"")</x:f>
      </x:c>
      <x:c r="S8" s="2" t="n">
        <x:f>IF(AND(B8=1,COUNTIFS('Trial Rows'!$C$2:C8,'Trial Rows'!C8,'Trial Rows'!$F$2:F8,Summary!$B$5,'Trial Rows'!$Y$2:Y8,Summary!$B$4)=1),1,0)</x:f>
        <x:v>0</x:v>
      </x:c>
      <x:c r="T8" s="2"/>
      <x:c r="U8" s="2"/>
      <x:c r="V8" s="2"/>
      <x:c r="W8" s="2"/>
      <x:c r="X8" s="2"/>
      <x:c r="Y8" s="2"/>
      <x:c r="Z8" s="2"/>
      <x:c r="AA8" s="2"/>
      <x:c r="AB8" s="2"/>
    </x:row>
    <x:row r="9">
      <x:c r="A9" s="2" t="str">
        <x:f>IF('Trial Rows'!A9="","",'Trial Rows'!F9&amp;"|"&amp;'Trial Rows'!B9&amp;"|"&amp;'Trial Rows'!C9&amp;"|"&amp;'Trial Rows'!I9)</x:f>
        <x:v>PSS4-offline-1.1.0|30cdd71e-9225-42e2-9347-833e110a08b2|TEST01|4</x:v>
      </x:c>
      <x:c r="B9" s="2" t="n">
        <x:f>IF(AND('Trial Rows'!A9&lt;&gt;"",'Trial Rows'!Y9=Summary!$B$4,'Trial Rows'!F9=Summary!$B$5),1,0)</x:f>
        <x:v>1</x:v>
      </x:c>
      <x:c r="C9" s="2" t="n">
        <x:f>IF(B9=1,COUNTIFS('Trial Rows'!$B$2:$B$201,'Trial Rows'!B9,'Trial Rows'!$C$2:$C$201,'Trial Rows'!C9,'Trial Rows'!$F$2:$F$201,'Trial Rows'!F9,'Trial Rows'!$I$2:$I$201,'Trial Rows'!I9,'Trial Rows'!$Y$2:$Y$201,'Trial Rows'!Y9,'Trial Rows'!$G$2:$G$201,"A"),0)</x:f>
        <x:v>1</x:v>
      </x:c>
      <x:c r="D9" s="2" t="n">
        <x:f>IF(B9=1,COUNTIFS('Trial Rows'!$B$2:$B$201,'Trial Rows'!B9,'Trial Rows'!$C$2:$C$201,'Trial Rows'!C9,'Trial Rows'!$F$2:$F$201,'Trial Rows'!F9,'Trial Rows'!$I$2:$I$201,'Trial Rows'!I9,'Trial Rows'!$Y$2:$Y$201,'Trial Rows'!Y9,'Trial Rows'!$G$2:$G$201,"B"),0)</x:f>
        <x:v>1</x:v>
      </x:c>
      <x:c r="E9" s="2" t="n">
        <x:f>IF(AND(C9=1,COUNTIFS('Trial Rows'!$B$2:$B$201,'Trial Rows'!B9,'Trial Rows'!$C$2:$C$201,'Trial Rows'!C9,'Trial Rows'!$F$2:$F$201,'Trial Rows'!F9,'Trial Rows'!$I$2:$I$201,'Trial Rows'!I9,'Trial Rows'!$Y$2:$Y$201,'Trial Rows'!Y9,'Trial Rows'!$G$2:$G$201,"A",'Trial Rows'!$K$2:$K$201,"&gt;=0",'Trial Rows'!$K$2:$K$201,"&lt;=4",'Trial Rows'!$K$2:$K$201,"&lt;&gt;")=1),SUMIFS('Trial Rows'!$K$2:$K$201,'Trial Rows'!$B$2:$B$201,'Trial Rows'!B9,'Trial Rows'!$C$2:$C$201,'Trial Rows'!C9,'Trial Rows'!$F$2:$F$201,'Trial Rows'!F9,'Trial Rows'!$I$2:$I$201,'Trial Rows'!I9,'Trial Rows'!$Y$2:$Y$201,'Trial Rows'!Y9,'Trial Rows'!$G$2:$G$201,"A"),"")</x:f>
        <x:v>3</x:v>
      </x:c>
      <x:c r="F9" s="2" t="n">
        <x:f>IF(AND(B9=1,'Trial Rows'!G9="B",C9=1,D9=1,ISNUMBER(E9),ISNUMBER('Trial Rows'!M9),'Trial Rows'!M9&gt;=0,'Trial Rows'!M9&lt;=4,'Trial Rows'!Q9=0,'Trial Rows'!S9=0),1,0)</x:f>
        <x:v>0</x:v>
      </x:c>
      <x:c r="G9" s="2" t="n">
        <x:f>IF(F9=1,IF(E9='Trial Rows'!M9,1,0),0)</x:f>
        <x:v>0</x:v>
      </x:c>
      <x:c r="H9" s="2" t="n">
        <x:f>IF(AND(B9=1,'Trial Rows'!G9="B",C9=1,D9=1,ISNUMBER(E9),'Trial Rows'!R9=1,'Trial Rows'!Q9=0,'Trial Rows'!S9=0,ISNUMBER('Trial Rows'!L9),'Trial Rows'!L9&gt;=0,'Trial Rows'!L9&lt;=4),1,0)</x:f>
        <x:v>0</x:v>
      </x:c>
      <x:c r="I9" s="2" t="n">
        <x:f>IF(H9=1,IF(E9='Trial Rows'!L9,1,0),0)</x:f>
        <x:v>0</x:v>
      </x:c>
      <x:c r="J9" s="2" t="n">
        <x:f>IF(AND(B9=1,'Trial Rows'!G9="B",'Trial Rows'!P9&gt;0),1,0)</x:f>
        <x:v>1</x:v>
      </x:c>
      <x:c r="K9" s="2" t="n">
        <x:f>IF(AND(B9=1,'Trial Rows'!G9="B",'Trial Rows'!Q9=1),1,0)</x:f>
        <x:v>1</x:v>
      </x:c>
      <x:c r="L9" s="2" t="n">
        <x:f>IF(AND(B9=1,'Trial Rows'!G9="B",'Trial Rows'!R9=1,'Trial Rows'!Q9=0,'Trial Rows'!S9=0),1,0)</x:f>
        <x:v>0</x:v>
      </x:c>
      <x:c r="M9" s="2" t="n">
        <x:f>IF(AND(B9=1,'Trial Rows'!G9="B"),1,0)</x:f>
        <x:v>1</x:v>
      </x:c>
      <x:c r="N9" s="2" t="n">
        <x:f>IF(AND(B9=1,'Trial Rows'!I9=1,COUNTIFS('Trial Rows'!$B$2:$B$201,'Trial Rows'!B9,'Trial Rows'!$C$2:$C$201,'Trial Rows'!C9,'Trial Rows'!$F$2:$F$201,'Trial Rows'!F9,'Trial Rows'!$G$2:$G$201,'Trial Rows'!G9,'Trial Rows'!$Y$2:$Y$201,'Trial Rows'!Y9)=4,COUNTIFS('Trial Rows'!$B$2:$B$201,'Trial Rows'!B9,'Trial Rows'!$C$2:$C$201,'Trial Rows'!C9,'Trial Rows'!$F$2:$F$201,'Trial Rows'!F9,'Trial Rows'!$G$2:$G$201,'Trial Rows'!G9,'Trial Rows'!$Y$2:$Y$201,'Trial Rows'!Y9,'Trial Rows'!$I$2:$I$201,1)=1,COUNTIFS('Trial Rows'!$B$2:$B$201,'Trial Rows'!B9,'Trial Rows'!$C$2:$C$201,'Trial Rows'!C9,'Trial Rows'!$F$2:$F$201,'Trial Rows'!F9,'Trial Rows'!$G$2:$G$201,'Trial Rows'!G9,'Trial Rows'!$Y$2:$Y$201,'Trial Rows'!Y9,'Trial Rows'!$I$2:$I$201,2)=1,COUNTIFS('Trial Rows'!$B$2:$B$201,'Trial Rows'!B9,'Trial Rows'!$C$2:$C$201,'Trial Rows'!C9,'Trial Rows'!$F$2:$F$201,'Trial Rows'!F9,'Trial Rows'!$G$2:$G$201,'Trial Rows'!G9,'Trial Rows'!$Y$2:$Y$201,'Trial Rows'!Y9,'Trial Rows'!$I$2:$I$201,3)=1,COUNTIFS('Trial Rows'!$B$2:$B$201,'Trial Rows'!B9,'Trial Rows'!$C$2:$C$201,'Trial Rows'!C9,'Trial Rows'!$F$2:$F$201,'Trial Rows'!F9,'Trial Rows'!$G$2:$G$201,'Trial Rows'!G9,'Trial Rows'!$Y$2:$Y$201,'Trial Rows'!Y9,'Trial Rows'!$I$2:$I$201,4)=1,COUNTIFS('Trial Rows'!$B$2:$B$201,'Trial Rows'!B9,'Trial Rows'!$C$2:$C$201,'Trial Rows'!C9,'Trial Rows'!$F$2:$F$201,'Trial Rows'!F9,'Trial Rows'!$G$2:$G$201,'Trial Rows'!G9,'Trial Rows'!$Y$2:$Y$201,'Trial Rows'!Y9,'Trial Rows'!$W$2:$W$201,"&lt;&gt;")=4,ISNUMBER('Trial Rows'!U9),COUNTIFS('Trial Rows'!$B$2:$B$201,'Trial Rows'!B9,'Trial Rows'!$C$2:$C$201,'Trial Rows'!C9,'Trial Rows'!$F$2:$F$201,'Trial Rows'!F9,'Trial Rows'!$G$2:$G$201,'Trial Rows'!G9,'Trial Rows'!$Y$2:$Y$201,'Trial Rows'!Y9,'Trial Rows'!$U$2:$U$201,'Trial Rows'!U9)=4,'Trial Rows'!U9&gt;=0),1,0)</x:f>
        <x:v>0</x:v>
      </x:c>
      <x:c r="O9" s="2" t="str">
        <x:f>IF(N9=1,'Trial Rows'!U9/1000,"")</x:f>
      </x:c>
      <x:c r="P9" s="2" t="str">
        <x:f>IF(AND(N9=1,'Trial Rows'!G9="A"),O9,"")</x:f>
      </x:c>
      <x:c r="Q9" s="2" t="str">
        <x:f>IF(AND(N9=1,'Trial Rows'!G9="B"),O9,"")</x:f>
      </x:c>
      <x:c r="R9" s="2" t="str">
        <x:f>IF(AND(N9=1,COUNTIFS('Trial Rows'!$B$2:$B$201,'Trial Rows'!B9,'Trial Rows'!$C$2:$C$201,'Trial Rows'!C9,'Trial Rows'!$F$2:$F$201,'Trial Rows'!F9,'Trial Rows'!$G$2:$G$201,'Trial Rows'!G9,'Trial Rows'!$Y$2:$Y$201,'Trial Rows'!Y9,'Trial Rows'!$N$2:$N$201,"&gt;=0",'Trial Rows'!$N$2:$N$201,"&lt;=4",'Trial Rows'!$N$2:$N$201,"&lt;&gt;")=4),SUMIFS('Trial Rows'!$N$2:$N$201,'Trial Rows'!$B$2:$B$201,'Trial Rows'!B9,'Trial Rows'!$C$2:$C$201,'Trial Rows'!C9,'Trial Rows'!$F$2:$F$201,'Trial Rows'!F9,'Trial Rows'!$G$2:$G$201,'Trial Rows'!G9,'Trial Rows'!$Y$2:$Y$201,'Trial Rows'!Y9,'Trial Rows'!$I$2:$I$201,1)+4-SUMIFS('Trial Rows'!$N$2:$N$201,'Trial Rows'!$B$2:$B$201,'Trial Rows'!B9,'Trial Rows'!$C$2:$C$201,'Trial Rows'!C9,'Trial Rows'!$F$2:$F$201,'Trial Rows'!F9,'Trial Rows'!$G$2:$G$201,'Trial Rows'!G9,'Trial Rows'!$Y$2:$Y$201,'Trial Rows'!Y9,'Trial Rows'!$I$2:$I$201,2)+4-SUMIFS('Trial Rows'!$N$2:$N$201,'Trial Rows'!$B$2:$B$201,'Trial Rows'!B9,'Trial Rows'!$C$2:$C$201,'Trial Rows'!C9,'Trial Rows'!$F$2:$F$201,'Trial Rows'!F9,'Trial Rows'!$G$2:$G$201,'Trial Rows'!G9,'Trial Rows'!$Y$2:$Y$201,'Trial Rows'!Y9,'Trial Rows'!$I$2:$I$201,3)+SUMIFS('Trial Rows'!$N$2:$N$201,'Trial Rows'!$B$2:$B$201,'Trial Rows'!B9,'Trial Rows'!$C$2:$C$201,'Trial Rows'!C9,'Trial Rows'!$F$2:$F$201,'Trial Rows'!F9,'Trial Rows'!$G$2:$G$201,'Trial Rows'!G9,'Trial Rows'!$Y$2:$Y$201,'Trial Rows'!Y9,'Trial Rows'!$I$2:$I$201,4),"")</x:f>
      </x:c>
      <x:c r="S9" s="2" t="n">
        <x:f>IF(AND(B9=1,COUNTIFS('Trial Rows'!$C$2:C9,'Trial Rows'!C9,'Trial Rows'!$F$2:F9,Summary!$B$5,'Trial Rows'!$Y$2:Y9,Summary!$B$4)=1),1,0)</x:f>
        <x:v>0</x:v>
      </x:c>
      <x:c r="T9" s="2"/>
      <x:c r="U9" s="2"/>
      <x:c r="V9" s="2"/>
      <x:c r="W9" s="2"/>
      <x:c r="X9" s="2"/>
      <x:c r="Y9" s="2"/>
      <x:c r="Z9" s="2"/>
      <x:c r="AA9" s="2"/>
      <x:c r="AB9" s="2"/>
    </x:row>
    <x:row r="10">
      <x:c r="A10" s="2" t="str">
        <x:f>IF('Trial Rows'!A10="","",'Trial Rows'!F10&amp;"|"&amp;'Trial Rows'!B10&amp;"|"&amp;'Trial Rows'!C10&amp;"|"&amp;'Trial Rows'!I10)</x:f>
      </x:c>
      <x:c r="B10" s="2" t="n">
        <x:f>IF(AND('Trial Rows'!A10&lt;&gt;"",'Trial Rows'!Y10=Summary!$B$4,'Trial Rows'!F10=Summary!$B$5),1,0)</x:f>
        <x:v>0</x:v>
      </x:c>
      <x:c r="C10" s="2" t="n">
        <x:f>IF(B10=1,COUNTIFS('Trial Rows'!$B$2:$B$201,'Trial Rows'!B10,'Trial Rows'!$C$2:$C$201,'Trial Rows'!C10,'Trial Rows'!$F$2:$F$201,'Trial Rows'!F10,'Trial Rows'!$I$2:$I$201,'Trial Rows'!I10,'Trial Rows'!$Y$2:$Y$201,'Trial Rows'!Y10,'Trial Rows'!$G$2:$G$201,"A"),0)</x:f>
        <x:v>0</x:v>
      </x:c>
      <x:c r="D10" s="2" t="n">
        <x:f>IF(B10=1,COUNTIFS('Trial Rows'!$B$2:$B$201,'Trial Rows'!B10,'Trial Rows'!$C$2:$C$201,'Trial Rows'!C10,'Trial Rows'!$F$2:$F$201,'Trial Rows'!F10,'Trial Rows'!$I$2:$I$201,'Trial Rows'!I10,'Trial Rows'!$Y$2:$Y$201,'Trial Rows'!Y10,'Trial Rows'!$G$2:$G$201,"B"),0)</x:f>
        <x:v>0</x:v>
      </x:c>
      <x:c r="E10" s="2" t="str">
        <x:f>IF(AND(C10=1,COUNTIFS('Trial Rows'!$B$2:$B$201,'Trial Rows'!B10,'Trial Rows'!$C$2:$C$201,'Trial Rows'!C10,'Trial Rows'!$F$2:$F$201,'Trial Rows'!F10,'Trial Rows'!$I$2:$I$201,'Trial Rows'!I10,'Trial Rows'!$Y$2:$Y$201,'Trial Rows'!Y10,'Trial Rows'!$G$2:$G$201,"A",'Trial Rows'!$K$2:$K$201,"&gt;=0",'Trial Rows'!$K$2:$K$201,"&lt;=4",'Trial Rows'!$K$2:$K$201,"&lt;&gt;")=1),SUMIFS('Trial Rows'!$K$2:$K$201,'Trial Rows'!$B$2:$B$201,'Trial Rows'!B10,'Trial Rows'!$C$2:$C$201,'Trial Rows'!C10,'Trial Rows'!$F$2:$F$201,'Trial Rows'!F10,'Trial Rows'!$I$2:$I$201,'Trial Rows'!I10,'Trial Rows'!$Y$2:$Y$201,'Trial Rows'!Y10,'Trial Rows'!$G$2:$G$201,"A"),"")</x:f>
      </x:c>
      <x:c r="F10" s="2" t="n">
        <x:f>IF(AND(B10=1,'Trial Rows'!G10="B",C10=1,D10=1,ISNUMBER(E10),ISNUMBER('Trial Rows'!M10),'Trial Rows'!M10&gt;=0,'Trial Rows'!M10&lt;=4,'Trial Rows'!Q10=0,'Trial Rows'!S10=0),1,0)</x:f>
        <x:v>0</x:v>
      </x:c>
      <x:c r="G10" s="2" t="n">
        <x:f>IF(F10=1,IF(E10='Trial Rows'!M10,1,0),0)</x:f>
        <x:v>0</x:v>
      </x:c>
      <x:c r="H10" s="2" t="n">
        <x:f>IF(AND(B10=1,'Trial Rows'!G10="B",C10=1,D10=1,ISNUMBER(E10),'Trial Rows'!R10=1,'Trial Rows'!Q10=0,'Trial Rows'!S10=0,ISNUMBER('Trial Rows'!L10),'Trial Rows'!L10&gt;=0,'Trial Rows'!L10&lt;=4),1,0)</x:f>
        <x:v>0</x:v>
      </x:c>
      <x:c r="I10" s="2" t="n">
        <x:f>IF(H10=1,IF(E10='Trial Rows'!L10,1,0),0)</x:f>
        <x:v>0</x:v>
      </x:c>
      <x:c r="J10" s="2" t="n">
        <x:f>IF(AND(B10=1,'Trial Rows'!G10="B",'Trial Rows'!P10&gt;0),1,0)</x:f>
        <x:v>0</x:v>
      </x:c>
      <x:c r="K10" s="2" t="n">
        <x:f>IF(AND(B10=1,'Trial Rows'!G10="B",'Trial Rows'!Q10=1),1,0)</x:f>
        <x:v>0</x:v>
      </x:c>
      <x:c r="L10" s="2" t="n">
        <x:f>IF(AND(B10=1,'Trial Rows'!G10="B",'Trial Rows'!R10=1,'Trial Rows'!Q10=0,'Trial Rows'!S10=0),1,0)</x:f>
        <x:v>0</x:v>
      </x:c>
      <x:c r="M10" s="2" t="n">
        <x:f>IF(AND(B10=1,'Trial Rows'!G10="B"),1,0)</x:f>
        <x:v>0</x:v>
      </x:c>
      <x:c r="N10" s="2" t="n">
        <x:f>IF(AND(B10=1,'Trial Rows'!I10=1,COUNTIFS('Trial Rows'!$B$2:$B$201,'Trial Rows'!B10,'Trial Rows'!$C$2:$C$201,'Trial Rows'!C10,'Trial Rows'!$F$2:$F$201,'Trial Rows'!F10,'Trial Rows'!$G$2:$G$201,'Trial Rows'!G10,'Trial Rows'!$Y$2:$Y$201,'Trial Rows'!Y10)=4,COUNTIFS('Trial Rows'!$B$2:$B$201,'Trial Rows'!B10,'Trial Rows'!$C$2:$C$201,'Trial Rows'!C10,'Trial Rows'!$F$2:$F$201,'Trial Rows'!F10,'Trial Rows'!$G$2:$G$201,'Trial Rows'!G10,'Trial Rows'!$Y$2:$Y$201,'Trial Rows'!Y10,'Trial Rows'!$I$2:$I$201,1)=1,COUNTIFS('Trial Rows'!$B$2:$B$201,'Trial Rows'!B10,'Trial Rows'!$C$2:$C$201,'Trial Rows'!C10,'Trial Rows'!$F$2:$F$201,'Trial Rows'!F10,'Trial Rows'!$G$2:$G$201,'Trial Rows'!G10,'Trial Rows'!$Y$2:$Y$201,'Trial Rows'!Y10,'Trial Rows'!$I$2:$I$201,2)=1,COUNTIFS('Trial Rows'!$B$2:$B$201,'Trial Rows'!B10,'Trial Rows'!$C$2:$C$201,'Trial Rows'!C10,'Trial Rows'!$F$2:$F$201,'Trial Rows'!F10,'Trial Rows'!$G$2:$G$201,'Trial Rows'!G10,'Trial Rows'!$Y$2:$Y$201,'Trial Rows'!Y10,'Trial Rows'!$I$2:$I$201,3)=1,COUNTIFS('Trial Rows'!$B$2:$B$201,'Trial Rows'!B10,'Trial Rows'!$C$2:$C$201,'Trial Rows'!C10,'Trial Rows'!$F$2:$F$201,'Trial Rows'!F10,'Trial Rows'!$G$2:$G$201,'Trial Rows'!G10,'Trial Rows'!$Y$2:$Y$201,'Trial Rows'!Y10,'Trial Rows'!$I$2:$I$201,4)=1,COUNTIFS('Trial Rows'!$B$2:$B$201,'Trial Rows'!B10,'Trial Rows'!$C$2:$C$201,'Trial Rows'!C10,'Trial Rows'!$F$2:$F$201,'Trial Rows'!F10,'Trial Rows'!$G$2:$G$201,'Trial Rows'!G10,'Trial Rows'!$Y$2:$Y$201,'Trial Rows'!Y10,'Trial Rows'!$W$2:$W$201,"&lt;&gt;")=4,ISNUMBER('Trial Rows'!U10),COUNTIFS('Trial Rows'!$B$2:$B$201,'Trial Rows'!B10,'Trial Rows'!$C$2:$C$201,'Trial Rows'!C10,'Trial Rows'!$F$2:$F$201,'Trial Rows'!F10,'Trial Rows'!$G$2:$G$201,'Trial Rows'!G10,'Trial Rows'!$Y$2:$Y$201,'Trial Rows'!Y10,'Trial Rows'!$U$2:$U$201,'Trial Rows'!U10)=4,'Trial Rows'!U10&gt;=0),1,0)</x:f>
        <x:v>0</x:v>
      </x:c>
      <x:c r="O10" s="2" t="str">
        <x:f>IF(N10=1,'Trial Rows'!U10/1000,"")</x:f>
      </x:c>
      <x:c r="P10" s="2" t="str">
        <x:f>IF(AND(N10=1,'Trial Rows'!G10="A"),O10,"")</x:f>
      </x:c>
      <x:c r="Q10" s="2" t="str">
        <x:f>IF(AND(N10=1,'Trial Rows'!G10="B"),O10,"")</x:f>
      </x:c>
      <x:c r="R10" s="2" t="str">
        <x:f>IF(AND(N10=1,COUNTIFS('Trial Rows'!$B$2:$B$201,'Trial Rows'!B10,'Trial Rows'!$C$2:$C$201,'Trial Rows'!C10,'Trial Rows'!$F$2:$F$201,'Trial Rows'!F10,'Trial Rows'!$G$2:$G$201,'Trial Rows'!G10,'Trial Rows'!$Y$2:$Y$201,'Trial Rows'!Y10,'Trial Rows'!$N$2:$N$201,"&gt;=0",'Trial Rows'!$N$2:$N$201,"&lt;=4",'Trial Rows'!$N$2:$N$201,"&lt;&gt;")=4),SUMIFS('Trial Rows'!$N$2:$N$201,'Trial Rows'!$B$2:$B$201,'Trial Rows'!B10,'Trial Rows'!$C$2:$C$201,'Trial Rows'!C10,'Trial Rows'!$F$2:$F$201,'Trial Rows'!F10,'Trial Rows'!$G$2:$G$201,'Trial Rows'!G10,'Trial Rows'!$Y$2:$Y$201,'Trial Rows'!Y10,'Trial Rows'!$I$2:$I$201,1)+4-SUMIFS('Trial Rows'!$N$2:$N$201,'Trial Rows'!$B$2:$B$201,'Trial Rows'!B10,'Trial Rows'!$C$2:$C$201,'Trial Rows'!C10,'Trial Rows'!$F$2:$F$201,'Trial Rows'!F10,'Trial Rows'!$G$2:$G$201,'Trial Rows'!G10,'Trial Rows'!$Y$2:$Y$201,'Trial Rows'!Y10,'Trial Rows'!$I$2:$I$201,2)+4-SUMIFS('Trial Rows'!$N$2:$N$201,'Trial Rows'!$B$2:$B$201,'Trial Rows'!B10,'Trial Rows'!$C$2:$C$201,'Trial Rows'!C10,'Trial Rows'!$F$2:$F$201,'Trial Rows'!F10,'Trial Rows'!$G$2:$G$201,'Trial Rows'!G10,'Trial Rows'!$Y$2:$Y$201,'Trial Rows'!Y10,'Trial Rows'!$I$2:$I$201,3)+SUMIFS('Trial Rows'!$N$2:$N$201,'Trial Rows'!$B$2:$B$201,'Trial Rows'!B10,'Trial Rows'!$C$2:$C$201,'Trial Rows'!C10,'Trial Rows'!$F$2:$F$201,'Trial Rows'!F10,'Trial Rows'!$G$2:$G$201,'Trial Rows'!G10,'Trial Rows'!$Y$2:$Y$201,'Trial Rows'!Y10,'Trial Rows'!$I$2:$I$201,4),"")</x:f>
      </x:c>
      <x:c r="S10" s="2" t="n">
        <x:f>IF(AND(B10=1,COUNTIFS('Trial Rows'!$C$2:C10,'Trial Rows'!C10,'Trial Rows'!$F$2:F10,Summary!$B$5,'Trial Rows'!$Y$2:Y10,Summary!$B$4)=1),1,0)</x:f>
        <x:v>0</x:v>
      </x:c>
      <x:c r="T10" s="2"/>
      <x:c r="U10" s="2"/>
      <x:c r="V10" s="2"/>
      <x:c r="W10" s="2"/>
      <x:c r="X10" s="2"/>
      <x:c r="Y10" s="2"/>
      <x:c r="Z10" s="2"/>
      <x:c r="AA10" s="2"/>
      <x:c r="AB10" s="2"/>
    </x:row>
    <x:row r="11">
      <x:c r="A11" s="2" t="str">
        <x:f>IF('Trial Rows'!A11="","",'Trial Rows'!F11&amp;"|"&amp;'Trial Rows'!B11&amp;"|"&amp;'Trial Rows'!C11&amp;"|"&amp;'Trial Rows'!I11)</x:f>
      </x:c>
      <x:c r="B11" s="2" t="n">
        <x:f>IF(AND('Trial Rows'!A11&lt;&gt;"",'Trial Rows'!Y11=Summary!$B$4,'Trial Rows'!F11=Summary!$B$5),1,0)</x:f>
        <x:v>0</x:v>
      </x:c>
      <x:c r="C11" s="2" t="n">
        <x:f>IF(B11=1,COUNTIFS('Trial Rows'!$B$2:$B$201,'Trial Rows'!B11,'Trial Rows'!$C$2:$C$201,'Trial Rows'!C11,'Trial Rows'!$F$2:$F$201,'Trial Rows'!F11,'Trial Rows'!$I$2:$I$201,'Trial Rows'!I11,'Trial Rows'!$Y$2:$Y$201,'Trial Rows'!Y11,'Trial Rows'!$G$2:$G$201,"A"),0)</x:f>
        <x:v>0</x:v>
      </x:c>
      <x:c r="D11" s="2" t="n">
        <x:f>IF(B11=1,COUNTIFS('Trial Rows'!$B$2:$B$201,'Trial Rows'!B11,'Trial Rows'!$C$2:$C$201,'Trial Rows'!C11,'Trial Rows'!$F$2:$F$201,'Trial Rows'!F11,'Trial Rows'!$I$2:$I$201,'Trial Rows'!I11,'Trial Rows'!$Y$2:$Y$201,'Trial Rows'!Y11,'Trial Rows'!$G$2:$G$201,"B"),0)</x:f>
        <x:v>0</x:v>
      </x:c>
      <x:c r="E11" s="2" t="str">
        <x:f>IF(AND(C11=1,COUNTIFS('Trial Rows'!$B$2:$B$201,'Trial Rows'!B11,'Trial Rows'!$C$2:$C$201,'Trial Rows'!C11,'Trial Rows'!$F$2:$F$201,'Trial Rows'!F11,'Trial Rows'!$I$2:$I$201,'Trial Rows'!I11,'Trial Rows'!$Y$2:$Y$201,'Trial Rows'!Y11,'Trial Rows'!$G$2:$G$201,"A",'Trial Rows'!$K$2:$K$201,"&gt;=0",'Trial Rows'!$K$2:$K$201,"&lt;=4",'Trial Rows'!$K$2:$K$201,"&lt;&gt;")=1),SUMIFS('Trial Rows'!$K$2:$K$201,'Trial Rows'!$B$2:$B$201,'Trial Rows'!B11,'Trial Rows'!$C$2:$C$201,'Trial Rows'!C11,'Trial Rows'!$F$2:$F$201,'Trial Rows'!F11,'Trial Rows'!$I$2:$I$201,'Trial Rows'!I11,'Trial Rows'!$Y$2:$Y$201,'Trial Rows'!Y11,'Trial Rows'!$G$2:$G$201,"A"),"")</x:f>
      </x:c>
      <x:c r="F11" s="2" t="n">
        <x:f>IF(AND(B11=1,'Trial Rows'!G11="B",C11=1,D11=1,ISNUMBER(E11),ISNUMBER('Trial Rows'!M11),'Trial Rows'!M11&gt;=0,'Trial Rows'!M11&lt;=4,'Trial Rows'!Q11=0,'Trial Rows'!S11=0),1,0)</x:f>
        <x:v>0</x:v>
      </x:c>
      <x:c r="G11" s="2" t="n">
        <x:f>IF(F11=1,IF(E11='Trial Rows'!M11,1,0),0)</x:f>
        <x:v>0</x:v>
      </x:c>
      <x:c r="H11" s="2" t="n">
        <x:f>IF(AND(B11=1,'Trial Rows'!G11="B",C11=1,D11=1,ISNUMBER(E11),'Trial Rows'!R11=1,'Trial Rows'!Q11=0,'Trial Rows'!S11=0,ISNUMBER('Trial Rows'!L11),'Trial Rows'!L11&gt;=0,'Trial Rows'!L11&lt;=4),1,0)</x:f>
        <x:v>0</x:v>
      </x:c>
      <x:c r="I11" s="2" t="n">
        <x:f>IF(H11=1,IF(E11='Trial Rows'!L11,1,0),0)</x:f>
        <x:v>0</x:v>
      </x:c>
      <x:c r="J11" s="2" t="n">
        <x:f>IF(AND(B11=1,'Trial Rows'!G11="B",'Trial Rows'!P11&gt;0),1,0)</x:f>
        <x:v>0</x:v>
      </x:c>
      <x:c r="K11" s="2" t="n">
        <x:f>IF(AND(B11=1,'Trial Rows'!G11="B",'Trial Rows'!Q11=1),1,0)</x:f>
        <x:v>0</x:v>
      </x:c>
      <x:c r="L11" s="2" t="n">
        <x:f>IF(AND(B11=1,'Trial Rows'!G11="B",'Trial Rows'!R11=1,'Trial Rows'!Q11=0,'Trial Rows'!S11=0),1,0)</x:f>
        <x:v>0</x:v>
      </x:c>
      <x:c r="M11" s="2" t="n">
        <x:f>IF(AND(B11=1,'Trial Rows'!G11="B"),1,0)</x:f>
        <x:v>0</x:v>
      </x:c>
      <x:c r="N11" s="2" t="n">
        <x:f>IF(AND(B11=1,'Trial Rows'!I11=1,COUNTIFS('Trial Rows'!$B$2:$B$201,'Trial Rows'!B11,'Trial Rows'!$C$2:$C$201,'Trial Rows'!C11,'Trial Rows'!$F$2:$F$201,'Trial Rows'!F11,'Trial Rows'!$G$2:$G$201,'Trial Rows'!G11,'Trial Rows'!$Y$2:$Y$201,'Trial Rows'!Y11)=4,COUNTIFS('Trial Rows'!$B$2:$B$201,'Trial Rows'!B11,'Trial Rows'!$C$2:$C$201,'Trial Rows'!C11,'Trial Rows'!$F$2:$F$201,'Trial Rows'!F11,'Trial Rows'!$G$2:$G$201,'Trial Rows'!G11,'Trial Rows'!$Y$2:$Y$201,'Trial Rows'!Y11,'Trial Rows'!$I$2:$I$201,1)=1,COUNTIFS('Trial Rows'!$B$2:$B$201,'Trial Rows'!B11,'Trial Rows'!$C$2:$C$201,'Trial Rows'!C11,'Trial Rows'!$F$2:$F$201,'Trial Rows'!F11,'Trial Rows'!$G$2:$G$201,'Trial Rows'!G11,'Trial Rows'!$Y$2:$Y$201,'Trial Rows'!Y11,'Trial Rows'!$I$2:$I$201,2)=1,COUNTIFS('Trial Rows'!$B$2:$B$201,'Trial Rows'!B11,'Trial Rows'!$C$2:$C$201,'Trial Rows'!C11,'Trial Rows'!$F$2:$F$201,'Trial Rows'!F11,'Trial Rows'!$G$2:$G$201,'Trial Rows'!G11,'Trial Rows'!$Y$2:$Y$201,'Trial Rows'!Y11,'Trial Rows'!$I$2:$I$201,3)=1,COUNTIFS('Trial Rows'!$B$2:$B$201,'Trial Rows'!B11,'Trial Rows'!$C$2:$C$201,'Trial Rows'!C11,'Trial Rows'!$F$2:$F$201,'Trial Rows'!F11,'Trial Rows'!$G$2:$G$201,'Trial Rows'!G11,'Trial Rows'!$Y$2:$Y$201,'Trial Rows'!Y11,'Trial Rows'!$I$2:$I$201,4)=1,COUNTIFS('Trial Rows'!$B$2:$B$201,'Trial Rows'!B11,'Trial Rows'!$C$2:$C$201,'Trial Rows'!C11,'Trial Rows'!$F$2:$F$201,'Trial Rows'!F11,'Trial Rows'!$G$2:$G$201,'Trial Rows'!G11,'Trial Rows'!$Y$2:$Y$201,'Trial Rows'!Y11,'Trial Rows'!$W$2:$W$201,"&lt;&gt;")=4,ISNUMBER('Trial Rows'!U11),COUNTIFS('Trial Rows'!$B$2:$B$201,'Trial Rows'!B11,'Trial Rows'!$C$2:$C$201,'Trial Rows'!C11,'Trial Rows'!$F$2:$F$201,'Trial Rows'!F11,'Trial Rows'!$G$2:$G$201,'Trial Rows'!G11,'Trial Rows'!$Y$2:$Y$201,'Trial Rows'!Y11,'Trial Rows'!$U$2:$U$201,'Trial Rows'!U11)=4,'Trial Rows'!U11&gt;=0),1,0)</x:f>
        <x:v>0</x:v>
      </x:c>
      <x:c r="O11" s="2" t="str">
        <x:f>IF(N11=1,'Trial Rows'!U11/1000,"")</x:f>
      </x:c>
      <x:c r="P11" s="2" t="str">
        <x:f>IF(AND(N11=1,'Trial Rows'!G11="A"),O11,"")</x:f>
      </x:c>
      <x:c r="Q11" s="2" t="str">
        <x:f>IF(AND(N11=1,'Trial Rows'!G11="B"),O11,"")</x:f>
      </x:c>
      <x:c r="R11" s="2" t="str">
        <x:f>IF(AND(N11=1,COUNTIFS('Trial Rows'!$B$2:$B$201,'Trial Rows'!B11,'Trial Rows'!$C$2:$C$201,'Trial Rows'!C11,'Trial Rows'!$F$2:$F$201,'Trial Rows'!F11,'Trial Rows'!$G$2:$G$201,'Trial Rows'!G11,'Trial Rows'!$Y$2:$Y$201,'Trial Rows'!Y11,'Trial Rows'!$N$2:$N$201,"&gt;=0",'Trial Rows'!$N$2:$N$201,"&lt;=4",'Trial Rows'!$N$2:$N$201,"&lt;&gt;")=4),SUMIFS('Trial Rows'!$N$2:$N$201,'Trial Rows'!$B$2:$B$201,'Trial Rows'!B11,'Trial Rows'!$C$2:$C$201,'Trial Rows'!C11,'Trial Rows'!$F$2:$F$201,'Trial Rows'!F11,'Trial Rows'!$G$2:$G$201,'Trial Rows'!G11,'Trial Rows'!$Y$2:$Y$201,'Trial Rows'!Y11,'Trial Rows'!$I$2:$I$201,1)+4-SUMIFS('Trial Rows'!$N$2:$N$201,'Trial Rows'!$B$2:$B$201,'Trial Rows'!B11,'Trial Rows'!$C$2:$C$201,'Trial Rows'!C11,'Trial Rows'!$F$2:$F$201,'Trial Rows'!F11,'Trial Rows'!$G$2:$G$201,'Trial Rows'!G11,'Trial Rows'!$Y$2:$Y$201,'Trial Rows'!Y11,'Trial Rows'!$I$2:$I$201,2)+4-SUMIFS('Trial Rows'!$N$2:$N$201,'Trial Rows'!$B$2:$B$201,'Trial Rows'!B11,'Trial Rows'!$C$2:$C$201,'Trial Rows'!C11,'Trial Rows'!$F$2:$F$201,'Trial Rows'!F11,'Trial Rows'!$G$2:$G$201,'Trial Rows'!G11,'Trial Rows'!$Y$2:$Y$201,'Trial Rows'!Y11,'Trial Rows'!$I$2:$I$201,3)+SUMIFS('Trial Rows'!$N$2:$N$201,'Trial Rows'!$B$2:$B$201,'Trial Rows'!B11,'Trial Rows'!$C$2:$C$201,'Trial Rows'!C11,'Trial Rows'!$F$2:$F$201,'Trial Rows'!F11,'Trial Rows'!$G$2:$G$201,'Trial Rows'!G11,'Trial Rows'!$Y$2:$Y$201,'Trial Rows'!Y11,'Trial Rows'!$I$2:$I$201,4),"")</x:f>
      </x:c>
      <x:c r="S11" s="2" t="n">
        <x:f>IF(AND(B11=1,COUNTIFS('Trial Rows'!$C$2:C11,'Trial Rows'!C11,'Trial Rows'!$F$2:F11,Summary!$B$5,'Trial Rows'!$Y$2:Y11,Summary!$B$4)=1),1,0)</x:f>
        <x:v>0</x:v>
      </x:c>
      <x:c r="T11" s="2"/>
      <x:c r="U11" s="2"/>
      <x:c r="V11" s="2"/>
      <x:c r="W11" s="2"/>
      <x:c r="X11" s="2"/>
      <x:c r="Y11" s="2"/>
      <x:c r="Z11" s="2"/>
      <x:c r="AA11" s="2"/>
      <x:c r="AB11" s="2"/>
    </x:row>
    <x:row r="12">
      <x:c r="A12" s="2" t="str">
        <x:f>IF('Trial Rows'!A12="","",'Trial Rows'!F12&amp;"|"&amp;'Trial Rows'!B12&amp;"|"&amp;'Trial Rows'!C12&amp;"|"&amp;'Trial Rows'!I12)</x:f>
      </x:c>
      <x:c r="B12" s="2" t="n">
        <x:f>IF(AND('Trial Rows'!A12&lt;&gt;"",'Trial Rows'!Y12=Summary!$B$4,'Trial Rows'!F12=Summary!$B$5),1,0)</x:f>
        <x:v>0</x:v>
      </x:c>
      <x:c r="C12" s="2" t="n">
        <x:f>IF(B12=1,COUNTIFS('Trial Rows'!$B$2:$B$201,'Trial Rows'!B12,'Trial Rows'!$C$2:$C$201,'Trial Rows'!C12,'Trial Rows'!$F$2:$F$201,'Trial Rows'!F12,'Trial Rows'!$I$2:$I$201,'Trial Rows'!I12,'Trial Rows'!$Y$2:$Y$201,'Trial Rows'!Y12,'Trial Rows'!$G$2:$G$201,"A"),0)</x:f>
        <x:v>0</x:v>
      </x:c>
      <x:c r="D12" s="2" t="n">
        <x:f>IF(B12=1,COUNTIFS('Trial Rows'!$B$2:$B$201,'Trial Rows'!B12,'Trial Rows'!$C$2:$C$201,'Trial Rows'!C12,'Trial Rows'!$F$2:$F$201,'Trial Rows'!F12,'Trial Rows'!$I$2:$I$201,'Trial Rows'!I12,'Trial Rows'!$Y$2:$Y$201,'Trial Rows'!Y12,'Trial Rows'!$G$2:$G$201,"B"),0)</x:f>
        <x:v>0</x:v>
      </x:c>
      <x:c r="E12" s="2" t="str">
        <x:f>IF(AND(C12=1,COUNTIFS('Trial Rows'!$B$2:$B$201,'Trial Rows'!B12,'Trial Rows'!$C$2:$C$201,'Trial Rows'!C12,'Trial Rows'!$F$2:$F$201,'Trial Rows'!F12,'Trial Rows'!$I$2:$I$201,'Trial Rows'!I12,'Trial Rows'!$Y$2:$Y$201,'Trial Rows'!Y12,'Trial Rows'!$G$2:$G$201,"A",'Trial Rows'!$K$2:$K$201,"&gt;=0",'Trial Rows'!$K$2:$K$201,"&lt;=4",'Trial Rows'!$K$2:$K$201,"&lt;&gt;")=1),SUMIFS('Trial Rows'!$K$2:$K$201,'Trial Rows'!$B$2:$B$201,'Trial Rows'!B12,'Trial Rows'!$C$2:$C$201,'Trial Rows'!C12,'Trial Rows'!$F$2:$F$201,'Trial Rows'!F12,'Trial Rows'!$I$2:$I$201,'Trial Rows'!I12,'Trial Rows'!$Y$2:$Y$201,'Trial Rows'!Y12,'Trial Rows'!$G$2:$G$201,"A"),"")</x:f>
      </x:c>
      <x:c r="F12" s="2" t="n">
        <x:f>IF(AND(B12=1,'Trial Rows'!G12="B",C12=1,D12=1,ISNUMBER(E12),ISNUMBER('Trial Rows'!M12),'Trial Rows'!M12&gt;=0,'Trial Rows'!M12&lt;=4,'Trial Rows'!Q12=0,'Trial Rows'!S12=0),1,0)</x:f>
        <x:v>0</x:v>
      </x:c>
      <x:c r="G12" s="2" t="n">
        <x:f>IF(F12=1,IF(E12='Trial Rows'!M12,1,0),0)</x:f>
        <x:v>0</x:v>
      </x:c>
      <x:c r="H12" s="2" t="n">
        <x:f>IF(AND(B12=1,'Trial Rows'!G12="B",C12=1,D12=1,ISNUMBER(E12),'Trial Rows'!R12=1,'Trial Rows'!Q12=0,'Trial Rows'!S12=0,ISNUMBER('Trial Rows'!L12),'Trial Rows'!L12&gt;=0,'Trial Rows'!L12&lt;=4),1,0)</x:f>
        <x:v>0</x:v>
      </x:c>
      <x:c r="I12" s="2" t="n">
        <x:f>IF(H12=1,IF(E12='Trial Rows'!L12,1,0),0)</x:f>
        <x:v>0</x:v>
      </x:c>
      <x:c r="J12" s="2" t="n">
        <x:f>IF(AND(B12=1,'Trial Rows'!G12="B",'Trial Rows'!P12&gt;0),1,0)</x:f>
        <x:v>0</x:v>
      </x:c>
      <x:c r="K12" s="2" t="n">
        <x:f>IF(AND(B12=1,'Trial Rows'!G12="B",'Trial Rows'!Q12=1),1,0)</x:f>
        <x:v>0</x:v>
      </x:c>
      <x:c r="L12" s="2" t="n">
        <x:f>IF(AND(B12=1,'Trial Rows'!G12="B",'Trial Rows'!R12=1,'Trial Rows'!Q12=0,'Trial Rows'!S12=0),1,0)</x:f>
        <x:v>0</x:v>
      </x:c>
      <x:c r="M12" s="2" t="n">
        <x:f>IF(AND(B12=1,'Trial Rows'!G12="B"),1,0)</x:f>
        <x:v>0</x:v>
      </x:c>
      <x:c r="N12" s="2" t="n">
        <x:f>IF(AND(B12=1,'Trial Rows'!I12=1,COUNTIFS('Trial Rows'!$B$2:$B$201,'Trial Rows'!B12,'Trial Rows'!$C$2:$C$201,'Trial Rows'!C12,'Trial Rows'!$F$2:$F$201,'Trial Rows'!F12,'Trial Rows'!$G$2:$G$201,'Trial Rows'!G12,'Trial Rows'!$Y$2:$Y$201,'Trial Rows'!Y12)=4,COUNTIFS('Trial Rows'!$B$2:$B$201,'Trial Rows'!B12,'Trial Rows'!$C$2:$C$201,'Trial Rows'!C12,'Trial Rows'!$F$2:$F$201,'Trial Rows'!F12,'Trial Rows'!$G$2:$G$201,'Trial Rows'!G12,'Trial Rows'!$Y$2:$Y$201,'Trial Rows'!Y12,'Trial Rows'!$I$2:$I$201,1)=1,COUNTIFS('Trial Rows'!$B$2:$B$201,'Trial Rows'!B12,'Trial Rows'!$C$2:$C$201,'Trial Rows'!C12,'Trial Rows'!$F$2:$F$201,'Trial Rows'!F12,'Trial Rows'!$G$2:$G$201,'Trial Rows'!G12,'Trial Rows'!$Y$2:$Y$201,'Trial Rows'!Y12,'Trial Rows'!$I$2:$I$201,2)=1,COUNTIFS('Trial Rows'!$B$2:$B$201,'Trial Rows'!B12,'Trial Rows'!$C$2:$C$201,'Trial Rows'!C12,'Trial Rows'!$F$2:$F$201,'Trial Rows'!F12,'Trial Rows'!$G$2:$G$201,'Trial Rows'!G12,'Trial Rows'!$Y$2:$Y$201,'Trial Rows'!Y12,'Trial Rows'!$I$2:$I$201,3)=1,COUNTIFS('Trial Rows'!$B$2:$B$201,'Trial Rows'!B12,'Trial Rows'!$C$2:$C$201,'Trial Rows'!C12,'Trial Rows'!$F$2:$F$201,'Trial Rows'!F12,'Trial Rows'!$G$2:$G$201,'Trial Rows'!G12,'Trial Rows'!$Y$2:$Y$201,'Trial Rows'!Y12,'Trial Rows'!$I$2:$I$201,4)=1,COUNTIFS('Trial Rows'!$B$2:$B$201,'Trial Rows'!B12,'Trial Rows'!$C$2:$C$201,'Trial Rows'!C12,'Trial Rows'!$F$2:$F$201,'Trial Rows'!F12,'Trial Rows'!$G$2:$G$201,'Trial Rows'!G12,'Trial Rows'!$Y$2:$Y$201,'Trial Rows'!Y12,'Trial Rows'!$W$2:$W$201,"&lt;&gt;")=4,ISNUMBER('Trial Rows'!U12),COUNTIFS('Trial Rows'!$B$2:$B$201,'Trial Rows'!B12,'Trial Rows'!$C$2:$C$201,'Trial Rows'!C12,'Trial Rows'!$F$2:$F$201,'Trial Rows'!F12,'Trial Rows'!$G$2:$G$201,'Trial Rows'!G12,'Trial Rows'!$Y$2:$Y$201,'Trial Rows'!Y12,'Trial Rows'!$U$2:$U$201,'Trial Rows'!U12)=4,'Trial Rows'!U12&gt;=0),1,0)</x:f>
        <x:v>0</x:v>
      </x:c>
      <x:c r="O12" s="2" t="str">
        <x:f>IF(N12=1,'Trial Rows'!U12/1000,"")</x:f>
      </x:c>
      <x:c r="P12" s="2" t="str">
        <x:f>IF(AND(N12=1,'Trial Rows'!G12="A"),O12,"")</x:f>
      </x:c>
      <x:c r="Q12" s="2" t="str">
        <x:f>IF(AND(N12=1,'Trial Rows'!G12="B"),O12,"")</x:f>
      </x:c>
      <x:c r="R12" s="2" t="str">
        <x:f>IF(AND(N12=1,COUNTIFS('Trial Rows'!$B$2:$B$201,'Trial Rows'!B12,'Trial Rows'!$C$2:$C$201,'Trial Rows'!C12,'Trial Rows'!$F$2:$F$201,'Trial Rows'!F12,'Trial Rows'!$G$2:$G$201,'Trial Rows'!G12,'Trial Rows'!$Y$2:$Y$201,'Trial Rows'!Y12,'Trial Rows'!$N$2:$N$201,"&gt;=0",'Trial Rows'!$N$2:$N$201,"&lt;=4",'Trial Rows'!$N$2:$N$201,"&lt;&gt;")=4),SUMIFS('Trial Rows'!$N$2:$N$201,'Trial Rows'!$B$2:$B$201,'Trial Rows'!B12,'Trial Rows'!$C$2:$C$201,'Trial Rows'!C12,'Trial Rows'!$F$2:$F$201,'Trial Rows'!F12,'Trial Rows'!$G$2:$G$201,'Trial Rows'!G12,'Trial Rows'!$Y$2:$Y$201,'Trial Rows'!Y12,'Trial Rows'!$I$2:$I$201,1)+4-SUMIFS('Trial Rows'!$N$2:$N$201,'Trial Rows'!$B$2:$B$201,'Trial Rows'!B12,'Trial Rows'!$C$2:$C$201,'Trial Rows'!C12,'Trial Rows'!$F$2:$F$201,'Trial Rows'!F12,'Trial Rows'!$G$2:$G$201,'Trial Rows'!G12,'Trial Rows'!$Y$2:$Y$201,'Trial Rows'!Y12,'Trial Rows'!$I$2:$I$201,2)+4-SUMIFS('Trial Rows'!$N$2:$N$201,'Trial Rows'!$B$2:$B$201,'Trial Rows'!B12,'Trial Rows'!$C$2:$C$201,'Trial Rows'!C12,'Trial Rows'!$F$2:$F$201,'Trial Rows'!F12,'Trial Rows'!$G$2:$G$201,'Trial Rows'!G12,'Trial Rows'!$Y$2:$Y$201,'Trial Rows'!Y12,'Trial Rows'!$I$2:$I$201,3)+SUMIFS('Trial Rows'!$N$2:$N$201,'Trial Rows'!$B$2:$B$201,'Trial Rows'!B12,'Trial Rows'!$C$2:$C$201,'Trial Rows'!C12,'Trial Rows'!$F$2:$F$201,'Trial Rows'!F12,'Trial Rows'!$G$2:$G$201,'Trial Rows'!G12,'Trial Rows'!$Y$2:$Y$201,'Trial Rows'!Y12,'Trial Rows'!$I$2:$I$201,4),"")</x:f>
      </x:c>
      <x:c r="S12" s="2" t="n">
        <x:f>IF(AND(B12=1,COUNTIFS('Trial Rows'!$C$2:C12,'Trial Rows'!C12,'Trial Rows'!$F$2:F12,Summary!$B$5,'Trial Rows'!$Y$2:Y12,Summary!$B$4)=1),1,0)</x:f>
        <x:v>0</x:v>
      </x:c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A13" s="2" t="str">
        <x:f>IF('Trial Rows'!A13="","",'Trial Rows'!F13&amp;"|"&amp;'Trial Rows'!B13&amp;"|"&amp;'Trial Rows'!C13&amp;"|"&amp;'Trial Rows'!I13)</x:f>
      </x:c>
      <x:c r="B13" s="2" t="n">
        <x:f>IF(AND('Trial Rows'!A13&lt;&gt;"",'Trial Rows'!Y13=Summary!$B$4,'Trial Rows'!F13=Summary!$B$5),1,0)</x:f>
        <x:v>0</x:v>
      </x:c>
      <x:c r="C13" s="2" t="n">
        <x:f>IF(B13=1,COUNTIFS('Trial Rows'!$B$2:$B$201,'Trial Rows'!B13,'Trial Rows'!$C$2:$C$201,'Trial Rows'!C13,'Trial Rows'!$F$2:$F$201,'Trial Rows'!F13,'Trial Rows'!$I$2:$I$201,'Trial Rows'!I13,'Trial Rows'!$Y$2:$Y$201,'Trial Rows'!Y13,'Trial Rows'!$G$2:$G$201,"A"),0)</x:f>
        <x:v>0</x:v>
      </x:c>
      <x:c r="D13" s="2" t="n">
        <x:f>IF(B13=1,COUNTIFS('Trial Rows'!$B$2:$B$201,'Trial Rows'!B13,'Trial Rows'!$C$2:$C$201,'Trial Rows'!C13,'Trial Rows'!$F$2:$F$201,'Trial Rows'!F13,'Trial Rows'!$I$2:$I$201,'Trial Rows'!I13,'Trial Rows'!$Y$2:$Y$201,'Trial Rows'!Y13,'Trial Rows'!$G$2:$G$201,"B"),0)</x:f>
        <x:v>0</x:v>
      </x:c>
      <x:c r="E13" s="2" t="str">
        <x:f>IF(AND(C13=1,COUNTIFS('Trial Rows'!$B$2:$B$201,'Trial Rows'!B13,'Trial Rows'!$C$2:$C$201,'Trial Rows'!C13,'Trial Rows'!$F$2:$F$201,'Trial Rows'!F13,'Trial Rows'!$I$2:$I$201,'Trial Rows'!I13,'Trial Rows'!$Y$2:$Y$201,'Trial Rows'!Y13,'Trial Rows'!$G$2:$G$201,"A",'Trial Rows'!$K$2:$K$201,"&gt;=0",'Trial Rows'!$K$2:$K$201,"&lt;=4",'Trial Rows'!$K$2:$K$201,"&lt;&gt;")=1),SUMIFS('Trial Rows'!$K$2:$K$201,'Trial Rows'!$B$2:$B$201,'Trial Rows'!B13,'Trial Rows'!$C$2:$C$201,'Trial Rows'!C13,'Trial Rows'!$F$2:$F$201,'Trial Rows'!F13,'Trial Rows'!$I$2:$I$201,'Trial Rows'!I13,'Trial Rows'!$Y$2:$Y$201,'Trial Rows'!Y13,'Trial Rows'!$G$2:$G$201,"A"),"")</x:f>
      </x:c>
      <x:c r="F13" s="2" t="n">
        <x:f>IF(AND(B13=1,'Trial Rows'!G13="B",C13=1,D13=1,ISNUMBER(E13),ISNUMBER('Trial Rows'!M13),'Trial Rows'!M13&gt;=0,'Trial Rows'!M13&lt;=4,'Trial Rows'!Q13=0,'Trial Rows'!S13=0),1,0)</x:f>
        <x:v>0</x:v>
      </x:c>
      <x:c r="G13" s="2" t="n">
        <x:f>IF(F13=1,IF(E13='Trial Rows'!M13,1,0),0)</x:f>
        <x:v>0</x:v>
      </x:c>
      <x:c r="H13" s="2" t="n">
        <x:f>IF(AND(B13=1,'Trial Rows'!G13="B",C13=1,D13=1,ISNUMBER(E13),'Trial Rows'!R13=1,'Trial Rows'!Q13=0,'Trial Rows'!S13=0,ISNUMBER('Trial Rows'!L13),'Trial Rows'!L13&gt;=0,'Trial Rows'!L13&lt;=4),1,0)</x:f>
        <x:v>0</x:v>
      </x:c>
      <x:c r="I13" s="2" t="n">
        <x:f>IF(H13=1,IF(E13='Trial Rows'!L13,1,0),0)</x:f>
        <x:v>0</x:v>
      </x:c>
      <x:c r="J13" s="2" t="n">
        <x:f>IF(AND(B13=1,'Trial Rows'!G13="B",'Trial Rows'!P13&gt;0),1,0)</x:f>
        <x:v>0</x:v>
      </x:c>
      <x:c r="K13" s="2" t="n">
        <x:f>IF(AND(B13=1,'Trial Rows'!G13="B",'Trial Rows'!Q13=1),1,0)</x:f>
        <x:v>0</x:v>
      </x:c>
      <x:c r="L13" s="2" t="n">
        <x:f>IF(AND(B13=1,'Trial Rows'!G13="B",'Trial Rows'!R13=1,'Trial Rows'!Q13=0,'Trial Rows'!S13=0),1,0)</x:f>
        <x:v>0</x:v>
      </x:c>
      <x:c r="M13" s="2" t="n">
        <x:f>IF(AND(B13=1,'Trial Rows'!G13="B"),1,0)</x:f>
        <x:v>0</x:v>
      </x:c>
      <x:c r="N13" s="2" t="n">
        <x:f>IF(AND(B13=1,'Trial Rows'!I13=1,COUNTIFS('Trial Rows'!$B$2:$B$201,'Trial Rows'!B13,'Trial Rows'!$C$2:$C$201,'Trial Rows'!C13,'Trial Rows'!$F$2:$F$201,'Trial Rows'!F13,'Trial Rows'!$G$2:$G$201,'Trial Rows'!G13,'Trial Rows'!$Y$2:$Y$201,'Trial Rows'!Y13)=4,COUNTIFS('Trial Rows'!$B$2:$B$201,'Trial Rows'!B13,'Trial Rows'!$C$2:$C$201,'Trial Rows'!C13,'Trial Rows'!$F$2:$F$201,'Trial Rows'!F13,'Trial Rows'!$G$2:$G$201,'Trial Rows'!G13,'Trial Rows'!$Y$2:$Y$201,'Trial Rows'!Y13,'Trial Rows'!$I$2:$I$201,1)=1,COUNTIFS('Trial Rows'!$B$2:$B$201,'Trial Rows'!B13,'Trial Rows'!$C$2:$C$201,'Trial Rows'!C13,'Trial Rows'!$F$2:$F$201,'Trial Rows'!F13,'Trial Rows'!$G$2:$G$201,'Trial Rows'!G13,'Trial Rows'!$Y$2:$Y$201,'Trial Rows'!Y13,'Trial Rows'!$I$2:$I$201,2)=1,COUNTIFS('Trial Rows'!$B$2:$B$201,'Trial Rows'!B13,'Trial Rows'!$C$2:$C$201,'Trial Rows'!C13,'Trial Rows'!$F$2:$F$201,'Trial Rows'!F13,'Trial Rows'!$G$2:$G$201,'Trial Rows'!G13,'Trial Rows'!$Y$2:$Y$201,'Trial Rows'!Y13,'Trial Rows'!$I$2:$I$201,3)=1,COUNTIFS('Trial Rows'!$B$2:$B$201,'Trial Rows'!B13,'Trial Rows'!$C$2:$C$201,'Trial Rows'!C13,'Trial Rows'!$F$2:$F$201,'Trial Rows'!F13,'Trial Rows'!$G$2:$G$201,'Trial Rows'!G13,'Trial Rows'!$Y$2:$Y$201,'Trial Rows'!Y13,'Trial Rows'!$I$2:$I$201,4)=1,COUNTIFS('Trial Rows'!$B$2:$B$201,'Trial Rows'!B13,'Trial Rows'!$C$2:$C$201,'Trial Rows'!C13,'Trial Rows'!$F$2:$F$201,'Trial Rows'!F13,'Trial Rows'!$G$2:$G$201,'Trial Rows'!G13,'Trial Rows'!$Y$2:$Y$201,'Trial Rows'!Y13,'Trial Rows'!$W$2:$W$201,"&lt;&gt;")=4,ISNUMBER('Trial Rows'!U13),COUNTIFS('Trial Rows'!$B$2:$B$201,'Trial Rows'!B13,'Trial Rows'!$C$2:$C$201,'Trial Rows'!C13,'Trial Rows'!$F$2:$F$201,'Trial Rows'!F13,'Trial Rows'!$G$2:$G$201,'Trial Rows'!G13,'Trial Rows'!$Y$2:$Y$201,'Trial Rows'!Y13,'Trial Rows'!$U$2:$U$201,'Trial Rows'!U13)=4,'Trial Rows'!U13&gt;=0),1,0)</x:f>
        <x:v>0</x:v>
      </x:c>
      <x:c r="O13" s="2" t="str">
        <x:f>IF(N13=1,'Trial Rows'!U13/1000,"")</x:f>
      </x:c>
      <x:c r="P13" s="2" t="str">
        <x:f>IF(AND(N13=1,'Trial Rows'!G13="A"),O13,"")</x:f>
      </x:c>
      <x:c r="Q13" s="2" t="str">
        <x:f>IF(AND(N13=1,'Trial Rows'!G13="B"),O13,"")</x:f>
      </x:c>
      <x:c r="R13" s="2" t="str">
        <x:f>IF(AND(N13=1,COUNTIFS('Trial Rows'!$B$2:$B$201,'Trial Rows'!B13,'Trial Rows'!$C$2:$C$201,'Trial Rows'!C13,'Trial Rows'!$F$2:$F$201,'Trial Rows'!F13,'Trial Rows'!$G$2:$G$201,'Trial Rows'!G13,'Trial Rows'!$Y$2:$Y$201,'Trial Rows'!Y13,'Trial Rows'!$N$2:$N$201,"&gt;=0",'Trial Rows'!$N$2:$N$201,"&lt;=4",'Trial Rows'!$N$2:$N$201,"&lt;&gt;")=4),SUMIFS('Trial Rows'!$N$2:$N$201,'Trial Rows'!$B$2:$B$201,'Trial Rows'!B13,'Trial Rows'!$C$2:$C$201,'Trial Rows'!C13,'Trial Rows'!$F$2:$F$201,'Trial Rows'!F13,'Trial Rows'!$G$2:$G$201,'Trial Rows'!G13,'Trial Rows'!$Y$2:$Y$201,'Trial Rows'!Y13,'Trial Rows'!$I$2:$I$201,1)+4-SUMIFS('Trial Rows'!$N$2:$N$201,'Trial Rows'!$B$2:$B$201,'Trial Rows'!B13,'Trial Rows'!$C$2:$C$201,'Trial Rows'!C13,'Trial Rows'!$F$2:$F$201,'Trial Rows'!F13,'Trial Rows'!$G$2:$G$201,'Trial Rows'!G13,'Trial Rows'!$Y$2:$Y$201,'Trial Rows'!Y13,'Trial Rows'!$I$2:$I$201,2)+4-SUMIFS('Trial Rows'!$N$2:$N$201,'Trial Rows'!$B$2:$B$201,'Trial Rows'!B13,'Trial Rows'!$C$2:$C$201,'Trial Rows'!C13,'Trial Rows'!$F$2:$F$201,'Trial Rows'!F13,'Trial Rows'!$G$2:$G$201,'Trial Rows'!G13,'Trial Rows'!$Y$2:$Y$201,'Trial Rows'!Y13,'Trial Rows'!$I$2:$I$201,3)+SUMIFS('Trial Rows'!$N$2:$N$201,'Trial Rows'!$B$2:$B$201,'Trial Rows'!B13,'Trial Rows'!$C$2:$C$201,'Trial Rows'!C13,'Trial Rows'!$F$2:$F$201,'Trial Rows'!F13,'Trial Rows'!$G$2:$G$201,'Trial Rows'!G13,'Trial Rows'!$Y$2:$Y$201,'Trial Rows'!Y13,'Trial Rows'!$I$2:$I$201,4),"")</x:f>
      </x:c>
      <x:c r="S13" s="2" t="n">
        <x:f>IF(AND(B13=1,COUNTIFS('Trial Rows'!$C$2:C13,'Trial Rows'!C13,'Trial Rows'!$F$2:F13,Summary!$B$5,'Trial Rows'!$Y$2:Y13,Summary!$B$4)=1),1,0)</x:f>
        <x:v>0</x:v>
      </x:c>
      <x:c r="T13" s="2"/>
      <x:c r="U13" s="2"/>
      <x:c r="V13" s="2"/>
      <x:c r="W13" s="2"/>
      <x:c r="X13" s="2"/>
      <x:c r="Y13" s="2"/>
      <x:c r="Z13" s="2"/>
      <x:c r="AA13" s="2"/>
      <x:c r="AB13" s="2"/>
    </x:row>
    <x:row r="14">
      <x:c r="A14" s="2" t="str">
        <x:f>IF('Trial Rows'!A14="","",'Trial Rows'!F14&amp;"|"&amp;'Trial Rows'!B14&amp;"|"&amp;'Trial Rows'!C14&amp;"|"&amp;'Trial Rows'!I14)</x:f>
      </x:c>
      <x:c r="B14" s="2" t="n">
        <x:f>IF(AND('Trial Rows'!A14&lt;&gt;"",'Trial Rows'!Y14=Summary!$B$4,'Trial Rows'!F14=Summary!$B$5),1,0)</x:f>
        <x:v>0</x:v>
      </x:c>
      <x:c r="C14" s="2" t="n">
        <x:f>IF(B14=1,COUNTIFS('Trial Rows'!$B$2:$B$201,'Trial Rows'!B14,'Trial Rows'!$C$2:$C$201,'Trial Rows'!C14,'Trial Rows'!$F$2:$F$201,'Trial Rows'!F14,'Trial Rows'!$I$2:$I$201,'Trial Rows'!I14,'Trial Rows'!$Y$2:$Y$201,'Trial Rows'!Y14,'Trial Rows'!$G$2:$G$201,"A"),0)</x:f>
        <x:v>0</x:v>
      </x:c>
      <x:c r="D14" s="2" t="n">
        <x:f>IF(B14=1,COUNTIFS('Trial Rows'!$B$2:$B$201,'Trial Rows'!B14,'Trial Rows'!$C$2:$C$201,'Trial Rows'!C14,'Trial Rows'!$F$2:$F$201,'Trial Rows'!F14,'Trial Rows'!$I$2:$I$201,'Trial Rows'!I14,'Trial Rows'!$Y$2:$Y$201,'Trial Rows'!Y14,'Trial Rows'!$G$2:$G$201,"B"),0)</x:f>
        <x:v>0</x:v>
      </x:c>
      <x:c r="E14" s="2" t="str">
        <x:f>IF(AND(C14=1,COUNTIFS('Trial Rows'!$B$2:$B$201,'Trial Rows'!B14,'Trial Rows'!$C$2:$C$201,'Trial Rows'!C14,'Trial Rows'!$F$2:$F$201,'Trial Rows'!F14,'Trial Rows'!$I$2:$I$201,'Trial Rows'!I14,'Trial Rows'!$Y$2:$Y$201,'Trial Rows'!Y14,'Trial Rows'!$G$2:$G$201,"A",'Trial Rows'!$K$2:$K$201,"&gt;=0",'Trial Rows'!$K$2:$K$201,"&lt;=4",'Trial Rows'!$K$2:$K$201,"&lt;&gt;")=1),SUMIFS('Trial Rows'!$K$2:$K$201,'Trial Rows'!$B$2:$B$201,'Trial Rows'!B14,'Trial Rows'!$C$2:$C$201,'Trial Rows'!C14,'Trial Rows'!$F$2:$F$201,'Trial Rows'!F14,'Trial Rows'!$I$2:$I$201,'Trial Rows'!I14,'Trial Rows'!$Y$2:$Y$201,'Trial Rows'!Y14,'Trial Rows'!$G$2:$G$201,"A"),"")</x:f>
      </x:c>
      <x:c r="F14" s="2" t="n">
        <x:f>IF(AND(B14=1,'Trial Rows'!G14="B",C14=1,D14=1,ISNUMBER(E14),ISNUMBER('Trial Rows'!M14),'Trial Rows'!M14&gt;=0,'Trial Rows'!M14&lt;=4,'Trial Rows'!Q14=0,'Trial Rows'!S14=0),1,0)</x:f>
        <x:v>0</x:v>
      </x:c>
      <x:c r="G14" s="2" t="n">
        <x:f>IF(F14=1,IF(E14='Trial Rows'!M14,1,0),0)</x:f>
        <x:v>0</x:v>
      </x:c>
      <x:c r="H14" s="2" t="n">
        <x:f>IF(AND(B14=1,'Trial Rows'!G14="B",C14=1,D14=1,ISNUMBER(E14),'Trial Rows'!R14=1,'Trial Rows'!Q14=0,'Trial Rows'!S14=0,ISNUMBER('Trial Rows'!L14),'Trial Rows'!L14&gt;=0,'Trial Rows'!L14&lt;=4),1,0)</x:f>
        <x:v>0</x:v>
      </x:c>
      <x:c r="I14" s="2" t="n">
        <x:f>IF(H14=1,IF(E14='Trial Rows'!L14,1,0),0)</x:f>
        <x:v>0</x:v>
      </x:c>
      <x:c r="J14" s="2" t="n">
        <x:f>IF(AND(B14=1,'Trial Rows'!G14="B",'Trial Rows'!P14&gt;0),1,0)</x:f>
        <x:v>0</x:v>
      </x:c>
      <x:c r="K14" s="2" t="n">
        <x:f>IF(AND(B14=1,'Trial Rows'!G14="B",'Trial Rows'!Q14=1),1,0)</x:f>
        <x:v>0</x:v>
      </x:c>
      <x:c r="L14" s="2" t="n">
        <x:f>IF(AND(B14=1,'Trial Rows'!G14="B",'Trial Rows'!R14=1,'Trial Rows'!Q14=0,'Trial Rows'!S14=0),1,0)</x:f>
        <x:v>0</x:v>
      </x:c>
      <x:c r="M14" s="2" t="n">
        <x:f>IF(AND(B14=1,'Trial Rows'!G14="B"),1,0)</x:f>
        <x:v>0</x:v>
      </x:c>
      <x:c r="N14" s="2" t="n">
        <x:f>IF(AND(B14=1,'Trial Rows'!I14=1,COUNTIFS('Trial Rows'!$B$2:$B$201,'Trial Rows'!B14,'Trial Rows'!$C$2:$C$201,'Trial Rows'!C14,'Trial Rows'!$F$2:$F$201,'Trial Rows'!F14,'Trial Rows'!$G$2:$G$201,'Trial Rows'!G14,'Trial Rows'!$Y$2:$Y$201,'Trial Rows'!Y14)=4,COUNTIFS('Trial Rows'!$B$2:$B$201,'Trial Rows'!B14,'Trial Rows'!$C$2:$C$201,'Trial Rows'!C14,'Trial Rows'!$F$2:$F$201,'Trial Rows'!F14,'Trial Rows'!$G$2:$G$201,'Trial Rows'!G14,'Trial Rows'!$Y$2:$Y$201,'Trial Rows'!Y14,'Trial Rows'!$I$2:$I$201,1)=1,COUNTIFS('Trial Rows'!$B$2:$B$201,'Trial Rows'!B14,'Trial Rows'!$C$2:$C$201,'Trial Rows'!C14,'Trial Rows'!$F$2:$F$201,'Trial Rows'!F14,'Trial Rows'!$G$2:$G$201,'Trial Rows'!G14,'Trial Rows'!$Y$2:$Y$201,'Trial Rows'!Y14,'Trial Rows'!$I$2:$I$201,2)=1,COUNTIFS('Trial Rows'!$B$2:$B$201,'Trial Rows'!B14,'Trial Rows'!$C$2:$C$201,'Trial Rows'!C14,'Trial Rows'!$F$2:$F$201,'Trial Rows'!F14,'Trial Rows'!$G$2:$G$201,'Trial Rows'!G14,'Trial Rows'!$Y$2:$Y$201,'Trial Rows'!Y14,'Trial Rows'!$I$2:$I$201,3)=1,COUNTIFS('Trial Rows'!$B$2:$B$201,'Trial Rows'!B14,'Trial Rows'!$C$2:$C$201,'Trial Rows'!C14,'Trial Rows'!$F$2:$F$201,'Trial Rows'!F14,'Trial Rows'!$G$2:$G$201,'Trial Rows'!G14,'Trial Rows'!$Y$2:$Y$201,'Trial Rows'!Y14,'Trial Rows'!$I$2:$I$201,4)=1,COUNTIFS('Trial Rows'!$B$2:$B$201,'Trial Rows'!B14,'Trial Rows'!$C$2:$C$201,'Trial Rows'!C14,'Trial Rows'!$F$2:$F$201,'Trial Rows'!F14,'Trial Rows'!$G$2:$G$201,'Trial Rows'!G14,'Trial Rows'!$Y$2:$Y$201,'Trial Rows'!Y14,'Trial Rows'!$W$2:$W$201,"&lt;&gt;")=4,ISNUMBER('Trial Rows'!U14),COUNTIFS('Trial Rows'!$B$2:$B$201,'Trial Rows'!B14,'Trial Rows'!$C$2:$C$201,'Trial Rows'!C14,'Trial Rows'!$F$2:$F$201,'Trial Rows'!F14,'Trial Rows'!$G$2:$G$201,'Trial Rows'!G14,'Trial Rows'!$Y$2:$Y$201,'Trial Rows'!Y14,'Trial Rows'!$U$2:$U$201,'Trial Rows'!U14)=4,'Trial Rows'!U14&gt;=0),1,0)</x:f>
        <x:v>0</x:v>
      </x:c>
      <x:c r="O14" s="2" t="str">
        <x:f>IF(N14=1,'Trial Rows'!U14/1000,"")</x:f>
      </x:c>
      <x:c r="P14" s="2" t="str">
        <x:f>IF(AND(N14=1,'Trial Rows'!G14="A"),O14,"")</x:f>
      </x:c>
      <x:c r="Q14" s="2" t="str">
        <x:f>IF(AND(N14=1,'Trial Rows'!G14="B"),O14,"")</x:f>
      </x:c>
      <x:c r="R14" s="2" t="str">
        <x:f>IF(AND(N14=1,COUNTIFS('Trial Rows'!$B$2:$B$201,'Trial Rows'!B14,'Trial Rows'!$C$2:$C$201,'Trial Rows'!C14,'Trial Rows'!$F$2:$F$201,'Trial Rows'!F14,'Trial Rows'!$G$2:$G$201,'Trial Rows'!G14,'Trial Rows'!$Y$2:$Y$201,'Trial Rows'!Y14,'Trial Rows'!$N$2:$N$201,"&gt;=0",'Trial Rows'!$N$2:$N$201,"&lt;=4",'Trial Rows'!$N$2:$N$201,"&lt;&gt;")=4),SUMIFS('Trial Rows'!$N$2:$N$201,'Trial Rows'!$B$2:$B$201,'Trial Rows'!B14,'Trial Rows'!$C$2:$C$201,'Trial Rows'!C14,'Trial Rows'!$F$2:$F$201,'Trial Rows'!F14,'Trial Rows'!$G$2:$G$201,'Trial Rows'!G14,'Trial Rows'!$Y$2:$Y$201,'Trial Rows'!Y14,'Trial Rows'!$I$2:$I$201,1)+4-SUMIFS('Trial Rows'!$N$2:$N$201,'Trial Rows'!$B$2:$B$201,'Trial Rows'!B14,'Trial Rows'!$C$2:$C$201,'Trial Rows'!C14,'Trial Rows'!$F$2:$F$201,'Trial Rows'!F14,'Trial Rows'!$G$2:$G$201,'Trial Rows'!G14,'Trial Rows'!$Y$2:$Y$201,'Trial Rows'!Y14,'Trial Rows'!$I$2:$I$201,2)+4-SUMIFS('Trial Rows'!$N$2:$N$201,'Trial Rows'!$B$2:$B$201,'Trial Rows'!B14,'Trial Rows'!$C$2:$C$201,'Trial Rows'!C14,'Trial Rows'!$F$2:$F$201,'Trial Rows'!F14,'Trial Rows'!$G$2:$G$201,'Trial Rows'!G14,'Trial Rows'!$Y$2:$Y$201,'Trial Rows'!Y14,'Trial Rows'!$I$2:$I$201,3)+SUMIFS('Trial Rows'!$N$2:$N$201,'Trial Rows'!$B$2:$B$201,'Trial Rows'!B14,'Trial Rows'!$C$2:$C$201,'Trial Rows'!C14,'Trial Rows'!$F$2:$F$201,'Trial Rows'!F14,'Trial Rows'!$G$2:$G$201,'Trial Rows'!G14,'Trial Rows'!$Y$2:$Y$201,'Trial Rows'!Y14,'Trial Rows'!$I$2:$I$201,4),"")</x:f>
      </x:c>
      <x:c r="S14" s="2" t="n">
        <x:f>IF(AND(B14=1,COUNTIFS('Trial Rows'!$C$2:C14,'Trial Rows'!C14,'Trial Rows'!$F$2:F14,Summary!$B$5,'Trial Rows'!$Y$2:Y14,Summary!$B$4)=1),1,0)</x:f>
        <x:v>0</x:v>
      </x:c>
      <x:c r="T14" s="2"/>
      <x:c r="U14" s="2"/>
      <x:c r="V14" s="2"/>
      <x:c r="W14" s="2"/>
      <x:c r="X14" s="2"/>
      <x:c r="Y14" s="2"/>
      <x:c r="Z14" s="2"/>
      <x:c r="AA14" s="2"/>
      <x:c r="AB14" s="2"/>
    </x:row>
    <x:row r="15">
      <x:c r="A15" s="2" t="str">
        <x:f>IF('Trial Rows'!A15="","",'Trial Rows'!F15&amp;"|"&amp;'Trial Rows'!B15&amp;"|"&amp;'Trial Rows'!C15&amp;"|"&amp;'Trial Rows'!I15)</x:f>
      </x:c>
      <x:c r="B15" s="2" t="n">
        <x:f>IF(AND('Trial Rows'!A15&lt;&gt;"",'Trial Rows'!Y15=Summary!$B$4,'Trial Rows'!F15=Summary!$B$5),1,0)</x:f>
        <x:v>0</x:v>
      </x:c>
      <x:c r="C15" s="2" t="n">
        <x:f>IF(B15=1,COUNTIFS('Trial Rows'!$B$2:$B$201,'Trial Rows'!B15,'Trial Rows'!$C$2:$C$201,'Trial Rows'!C15,'Trial Rows'!$F$2:$F$201,'Trial Rows'!F15,'Trial Rows'!$I$2:$I$201,'Trial Rows'!I15,'Trial Rows'!$Y$2:$Y$201,'Trial Rows'!Y15,'Trial Rows'!$G$2:$G$201,"A"),0)</x:f>
        <x:v>0</x:v>
      </x:c>
      <x:c r="D15" s="2" t="n">
        <x:f>IF(B15=1,COUNTIFS('Trial Rows'!$B$2:$B$201,'Trial Rows'!B15,'Trial Rows'!$C$2:$C$201,'Trial Rows'!C15,'Trial Rows'!$F$2:$F$201,'Trial Rows'!F15,'Trial Rows'!$I$2:$I$201,'Trial Rows'!I15,'Trial Rows'!$Y$2:$Y$201,'Trial Rows'!Y15,'Trial Rows'!$G$2:$G$201,"B"),0)</x:f>
        <x:v>0</x:v>
      </x:c>
      <x:c r="E15" s="2" t="str">
        <x:f>IF(AND(C15=1,COUNTIFS('Trial Rows'!$B$2:$B$201,'Trial Rows'!B15,'Trial Rows'!$C$2:$C$201,'Trial Rows'!C15,'Trial Rows'!$F$2:$F$201,'Trial Rows'!F15,'Trial Rows'!$I$2:$I$201,'Trial Rows'!I15,'Trial Rows'!$Y$2:$Y$201,'Trial Rows'!Y15,'Trial Rows'!$G$2:$G$201,"A",'Trial Rows'!$K$2:$K$201,"&gt;=0",'Trial Rows'!$K$2:$K$201,"&lt;=4",'Trial Rows'!$K$2:$K$201,"&lt;&gt;")=1),SUMIFS('Trial Rows'!$K$2:$K$201,'Trial Rows'!$B$2:$B$201,'Trial Rows'!B15,'Trial Rows'!$C$2:$C$201,'Trial Rows'!C15,'Trial Rows'!$F$2:$F$201,'Trial Rows'!F15,'Trial Rows'!$I$2:$I$201,'Trial Rows'!I15,'Trial Rows'!$Y$2:$Y$201,'Trial Rows'!Y15,'Trial Rows'!$G$2:$G$201,"A"),"")</x:f>
      </x:c>
      <x:c r="F15" s="2" t="n">
        <x:f>IF(AND(B15=1,'Trial Rows'!G15="B",C15=1,D15=1,ISNUMBER(E15),ISNUMBER('Trial Rows'!M15),'Trial Rows'!M15&gt;=0,'Trial Rows'!M15&lt;=4,'Trial Rows'!Q15=0,'Trial Rows'!S15=0),1,0)</x:f>
        <x:v>0</x:v>
      </x:c>
      <x:c r="G15" s="2" t="n">
        <x:f>IF(F15=1,IF(E15='Trial Rows'!M15,1,0),0)</x:f>
        <x:v>0</x:v>
      </x:c>
      <x:c r="H15" s="2" t="n">
        <x:f>IF(AND(B15=1,'Trial Rows'!G15="B",C15=1,D15=1,ISNUMBER(E15),'Trial Rows'!R15=1,'Trial Rows'!Q15=0,'Trial Rows'!S15=0,ISNUMBER('Trial Rows'!L15),'Trial Rows'!L15&gt;=0,'Trial Rows'!L15&lt;=4),1,0)</x:f>
        <x:v>0</x:v>
      </x:c>
      <x:c r="I15" s="2" t="n">
        <x:f>IF(H15=1,IF(E15='Trial Rows'!L15,1,0),0)</x:f>
        <x:v>0</x:v>
      </x:c>
      <x:c r="J15" s="2" t="n">
        <x:f>IF(AND(B15=1,'Trial Rows'!G15="B",'Trial Rows'!P15&gt;0),1,0)</x:f>
        <x:v>0</x:v>
      </x:c>
      <x:c r="K15" s="2" t="n">
        <x:f>IF(AND(B15=1,'Trial Rows'!G15="B",'Trial Rows'!Q15=1),1,0)</x:f>
        <x:v>0</x:v>
      </x:c>
      <x:c r="L15" s="2" t="n">
        <x:f>IF(AND(B15=1,'Trial Rows'!G15="B",'Trial Rows'!R15=1,'Trial Rows'!Q15=0,'Trial Rows'!S15=0),1,0)</x:f>
        <x:v>0</x:v>
      </x:c>
      <x:c r="M15" s="2" t="n">
        <x:f>IF(AND(B15=1,'Trial Rows'!G15="B"),1,0)</x:f>
        <x:v>0</x:v>
      </x:c>
      <x:c r="N15" s="2" t="n">
        <x:f>IF(AND(B15=1,'Trial Rows'!I15=1,COUNTIFS('Trial Rows'!$B$2:$B$201,'Trial Rows'!B15,'Trial Rows'!$C$2:$C$201,'Trial Rows'!C15,'Trial Rows'!$F$2:$F$201,'Trial Rows'!F15,'Trial Rows'!$G$2:$G$201,'Trial Rows'!G15,'Trial Rows'!$Y$2:$Y$201,'Trial Rows'!Y15)=4,COUNTIFS('Trial Rows'!$B$2:$B$201,'Trial Rows'!B15,'Trial Rows'!$C$2:$C$201,'Trial Rows'!C15,'Trial Rows'!$F$2:$F$201,'Trial Rows'!F15,'Trial Rows'!$G$2:$G$201,'Trial Rows'!G15,'Trial Rows'!$Y$2:$Y$201,'Trial Rows'!Y15,'Trial Rows'!$I$2:$I$201,1)=1,COUNTIFS('Trial Rows'!$B$2:$B$201,'Trial Rows'!B15,'Trial Rows'!$C$2:$C$201,'Trial Rows'!C15,'Trial Rows'!$F$2:$F$201,'Trial Rows'!F15,'Trial Rows'!$G$2:$G$201,'Trial Rows'!G15,'Trial Rows'!$Y$2:$Y$201,'Trial Rows'!Y15,'Trial Rows'!$I$2:$I$201,2)=1,COUNTIFS('Trial Rows'!$B$2:$B$201,'Trial Rows'!B15,'Trial Rows'!$C$2:$C$201,'Trial Rows'!C15,'Trial Rows'!$F$2:$F$201,'Trial Rows'!F15,'Trial Rows'!$G$2:$G$201,'Trial Rows'!G15,'Trial Rows'!$Y$2:$Y$201,'Trial Rows'!Y15,'Trial Rows'!$I$2:$I$201,3)=1,COUNTIFS('Trial Rows'!$B$2:$B$201,'Trial Rows'!B15,'Trial Rows'!$C$2:$C$201,'Trial Rows'!C15,'Trial Rows'!$F$2:$F$201,'Trial Rows'!F15,'Trial Rows'!$G$2:$G$201,'Trial Rows'!G15,'Trial Rows'!$Y$2:$Y$201,'Trial Rows'!Y15,'Trial Rows'!$I$2:$I$201,4)=1,COUNTIFS('Trial Rows'!$B$2:$B$201,'Trial Rows'!B15,'Trial Rows'!$C$2:$C$201,'Trial Rows'!C15,'Trial Rows'!$F$2:$F$201,'Trial Rows'!F15,'Trial Rows'!$G$2:$G$201,'Trial Rows'!G15,'Trial Rows'!$Y$2:$Y$201,'Trial Rows'!Y15,'Trial Rows'!$W$2:$W$201,"&lt;&gt;")=4,ISNUMBER('Trial Rows'!U15),COUNTIFS('Trial Rows'!$B$2:$B$201,'Trial Rows'!B15,'Trial Rows'!$C$2:$C$201,'Trial Rows'!C15,'Trial Rows'!$F$2:$F$201,'Trial Rows'!F15,'Trial Rows'!$G$2:$G$201,'Trial Rows'!G15,'Trial Rows'!$Y$2:$Y$201,'Trial Rows'!Y15,'Trial Rows'!$U$2:$U$201,'Trial Rows'!U15)=4,'Trial Rows'!U15&gt;=0),1,0)</x:f>
        <x:v>0</x:v>
      </x:c>
      <x:c r="O15" s="2" t="str">
        <x:f>IF(N15=1,'Trial Rows'!U15/1000,"")</x:f>
      </x:c>
      <x:c r="P15" s="2" t="str">
        <x:f>IF(AND(N15=1,'Trial Rows'!G15="A"),O15,"")</x:f>
      </x:c>
      <x:c r="Q15" s="2" t="str">
        <x:f>IF(AND(N15=1,'Trial Rows'!G15="B"),O15,"")</x:f>
      </x:c>
      <x:c r="R15" s="2" t="str">
        <x:f>IF(AND(N15=1,COUNTIFS('Trial Rows'!$B$2:$B$201,'Trial Rows'!B15,'Trial Rows'!$C$2:$C$201,'Trial Rows'!C15,'Trial Rows'!$F$2:$F$201,'Trial Rows'!F15,'Trial Rows'!$G$2:$G$201,'Trial Rows'!G15,'Trial Rows'!$Y$2:$Y$201,'Trial Rows'!Y15,'Trial Rows'!$N$2:$N$201,"&gt;=0",'Trial Rows'!$N$2:$N$201,"&lt;=4",'Trial Rows'!$N$2:$N$201,"&lt;&gt;")=4),SUMIFS('Trial Rows'!$N$2:$N$201,'Trial Rows'!$B$2:$B$201,'Trial Rows'!B15,'Trial Rows'!$C$2:$C$201,'Trial Rows'!C15,'Trial Rows'!$F$2:$F$201,'Trial Rows'!F15,'Trial Rows'!$G$2:$G$201,'Trial Rows'!G15,'Trial Rows'!$Y$2:$Y$201,'Trial Rows'!Y15,'Trial Rows'!$I$2:$I$201,1)+4-SUMIFS('Trial Rows'!$N$2:$N$201,'Trial Rows'!$B$2:$B$201,'Trial Rows'!B15,'Trial Rows'!$C$2:$C$201,'Trial Rows'!C15,'Trial Rows'!$F$2:$F$201,'Trial Rows'!F15,'Trial Rows'!$G$2:$G$201,'Trial Rows'!G15,'Trial Rows'!$Y$2:$Y$201,'Trial Rows'!Y15,'Trial Rows'!$I$2:$I$201,2)+4-SUMIFS('Trial Rows'!$N$2:$N$201,'Trial Rows'!$B$2:$B$201,'Trial Rows'!B15,'Trial Rows'!$C$2:$C$201,'Trial Rows'!C15,'Trial Rows'!$F$2:$F$201,'Trial Rows'!F15,'Trial Rows'!$G$2:$G$201,'Trial Rows'!G15,'Trial Rows'!$Y$2:$Y$201,'Trial Rows'!Y15,'Trial Rows'!$I$2:$I$201,3)+SUMIFS('Trial Rows'!$N$2:$N$201,'Trial Rows'!$B$2:$B$201,'Trial Rows'!B15,'Trial Rows'!$C$2:$C$201,'Trial Rows'!C15,'Trial Rows'!$F$2:$F$201,'Trial Rows'!F15,'Trial Rows'!$G$2:$G$201,'Trial Rows'!G15,'Trial Rows'!$Y$2:$Y$201,'Trial Rows'!Y15,'Trial Rows'!$I$2:$I$201,4),"")</x:f>
      </x:c>
      <x:c r="S15" s="2" t="n">
        <x:f>IF(AND(B15=1,COUNTIFS('Trial Rows'!$C$2:C15,'Trial Rows'!C15,'Trial Rows'!$F$2:F15,Summary!$B$5,'Trial Rows'!$Y$2:Y15,Summary!$B$4)=1),1,0)</x:f>
        <x:v>0</x:v>
      </x:c>
      <x:c r="T15" s="2"/>
      <x:c r="U15" s="2"/>
      <x:c r="V15" s="2"/>
      <x:c r="W15" s="2"/>
      <x:c r="X15" s="2"/>
      <x:c r="Y15" s="2"/>
      <x:c r="Z15" s="2"/>
      <x:c r="AA15" s="2"/>
      <x:c r="AB15" s="2"/>
    </x:row>
    <x:row r="16">
      <x:c r="A16" s="2" t="str">
        <x:f>IF('Trial Rows'!A16="","",'Trial Rows'!F16&amp;"|"&amp;'Trial Rows'!B16&amp;"|"&amp;'Trial Rows'!C16&amp;"|"&amp;'Trial Rows'!I16)</x:f>
      </x:c>
      <x:c r="B16" s="2" t="n">
        <x:f>IF(AND('Trial Rows'!A16&lt;&gt;"",'Trial Rows'!Y16=Summary!$B$4,'Trial Rows'!F16=Summary!$B$5),1,0)</x:f>
        <x:v>0</x:v>
      </x:c>
      <x:c r="C16" s="2" t="n">
        <x:f>IF(B16=1,COUNTIFS('Trial Rows'!$B$2:$B$201,'Trial Rows'!B16,'Trial Rows'!$C$2:$C$201,'Trial Rows'!C16,'Trial Rows'!$F$2:$F$201,'Trial Rows'!F16,'Trial Rows'!$I$2:$I$201,'Trial Rows'!I16,'Trial Rows'!$Y$2:$Y$201,'Trial Rows'!Y16,'Trial Rows'!$G$2:$G$201,"A"),0)</x:f>
        <x:v>0</x:v>
      </x:c>
      <x:c r="D16" s="2" t="n">
        <x:f>IF(B16=1,COUNTIFS('Trial Rows'!$B$2:$B$201,'Trial Rows'!B16,'Trial Rows'!$C$2:$C$201,'Trial Rows'!C16,'Trial Rows'!$F$2:$F$201,'Trial Rows'!F16,'Trial Rows'!$I$2:$I$201,'Trial Rows'!I16,'Trial Rows'!$Y$2:$Y$201,'Trial Rows'!Y16,'Trial Rows'!$G$2:$G$201,"B"),0)</x:f>
        <x:v>0</x:v>
      </x:c>
      <x:c r="E16" s="2" t="str">
        <x:f>IF(AND(C16=1,COUNTIFS('Trial Rows'!$B$2:$B$201,'Trial Rows'!B16,'Trial Rows'!$C$2:$C$201,'Trial Rows'!C16,'Trial Rows'!$F$2:$F$201,'Trial Rows'!F16,'Trial Rows'!$I$2:$I$201,'Trial Rows'!I16,'Trial Rows'!$Y$2:$Y$201,'Trial Rows'!Y16,'Trial Rows'!$G$2:$G$201,"A",'Trial Rows'!$K$2:$K$201,"&gt;=0",'Trial Rows'!$K$2:$K$201,"&lt;=4",'Trial Rows'!$K$2:$K$201,"&lt;&gt;")=1),SUMIFS('Trial Rows'!$K$2:$K$201,'Trial Rows'!$B$2:$B$201,'Trial Rows'!B16,'Trial Rows'!$C$2:$C$201,'Trial Rows'!C16,'Trial Rows'!$F$2:$F$201,'Trial Rows'!F16,'Trial Rows'!$I$2:$I$201,'Trial Rows'!I16,'Trial Rows'!$Y$2:$Y$201,'Trial Rows'!Y16,'Trial Rows'!$G$2:$G$201,"A"),"")</x:f>
      </x:c>
      <x:c r="F16" s="2" t="n">
        <x:f>IF(AND(B16=1,'Trial Rows'!G16="B",C16=1,D16=1,ISNUMBER(E16),ISNUMBER('Trial Rows'!M16),'Trial Rows'!M16&gt;=0,'Trial Rows'!M16&lt;=4,'Trial Rows'!Q16=0,'Trial Rows'!S16=0),1,0)</x:f>
        <x:v>0</x:v>
      </x:c>
      <x:c r="G16" s="2" t="n">
        <x:f>IF(F16=1,IF(E16='Trial Rows'!M16,1,0),0)</x:f>
        <x:v>0</x:v>
      </x:c>
      <x:c r="H16" s="2" t="n">
        <x:f>IF(AND(B16=1,'Trial Rows'!G16="B",C16=1,D16=1,ISNUMBER(E16),'Trial Rows'!R16=1,'Trial Rows'!Q16=0,'Trial Rows'!S16=0,ISNUMBER('Trial Rows'!L16),'Trial Rows'!L16&gt;=0,'Trial Rows'!L16&lt;=4),1,0)</x:f>
        <x:v>0</x:v>
      </x:c>
      <x:c r="I16" s="2" t="n">
        <x:f>IF(H16=1,IF(E16='Trial Rows'!L16,1,0),0)</x:f>
        <x:v>0</x:v>
      </x:c>
      <x:c r="J16" s="2" t="n">
        <x:f>IF(AND(B16=1,'Trial Rows'!G16="B",'Trial Rows'!P16&gt;0),1,0)</x:f>
        <x:v>0</x:v>
      </x:c>
      <x:c r="K16" s="2" t="n">
        <x:f>IF(AND(B16=1,'Trial Rows'!G16="B",'Trial Rows'!Q16=1),1,0)</x:f>
        <x:v>0</x:v>
      </x:c>
      <x:c r="L16" s="2" t="n">
        <x:f>IF(AND(B16=1,'Trial Rows'!G16="B",'Trial Rows'!R16=1,'Trial Rows'!Q16=0,'Trial Rows'!S16=0),1,0)</x:f>
        <x:v>0</x:v>
      </x:c>
      <x:c r="M16" s="2" t="n">
        <x:f>IF(AND(B16=1,'Trial Rows'!G16="B"),1,0)</x:f>
        <x:v>0</x:v>
      </x:c>
      <x:c r="N16" s="2" t="n">
        <x:f>IF(AND(B16=1,'Trial Rows'!I16=1,COUNTIFS('Trial Rows'!$B$2:$B$201,'Trial Rows'!B16,'Trial Rows'!$C$2:$C$201,'Trial Rows'!C16,'Trial Rows'!$F$2:$F$201,'Trial Rows'!F16,'Trial Rows'!$G$2:$G$201,'Trial Rows'!G16,'Trial Rows'!$Y$2:$Y$201,'Trial Rows'!Y16)=4,COUNTIFS('Trial Rows'!$B$2:$B$201,'Trial Rows'!B16,'Trial Rows'!$C$2:$C$201,'Trial Rows'!C16,'Trial Rows'!$F$2:$F$201,'Trial Rows'!F16,'Trial Rows'!$G$2:$G$201,'Trial Rows'!G16,'Trial Rows'!$Y$2:$Y$201,'Trial Rows'!Y16,'Trial Rows'!$I$2:$I$201,1)=1,COUNTIFS('Trial Rows'!$B$2:$B$201,'Trial Rows'!B16,'Trial Rows'!$C$2:$C$201,'Trial Rows'!C16,'Trial Rows'!$F$2:$F$201,'Trial Rows'!F16,'Trial Rows'!$G$2:$G$201,'Trial Rows'!G16,'Trial Rows'!$Y$2:$Y$201,'Trial Rows'!Y16,'Trial Rows'!$I$2:$I$201,2)=1,COUNTIFS('Trial Rows'!$B$2:$B$201,'Trial Rows'!B16,'Trial Rows'!$C$2:$C$201,'Trial Rows'!C16,'Trial Rows'!$F$2:$F$201,'Trial Rows'!F16,'Trial Rows'!$G$2:$G$201,'Trial Rows'!G16,'Trial Rows'!$Y$2:$Y$201,'Trial Rows'!Y16,'Trial Rows'!$I$2:$I$201,3)=1,COUNTIFS('Trial Rows'!$B$2:$B$201,'Trial Rows'!B16,'Trial Rows'!$C$2:$C$201,'Trial Rows'!C16,'Trial Rows'!$F$2:$F$201,'Trial Rows'!F16,'Trial Rows'!$G$2:$G$201,'Trial Rows'!G16,'Trial Rows'!$Y$2:$Y$201,'Trial Rows'!Y16,'Trial Rows'!$I$2:$I$201,4)=1,COUNTIFS('Trial Rows'!$B$2:$B$201,'Trial Rows'!B16,'Trial Rows'!$C$2:$C$201,'Trial Rows'!C16,'Trial Rows'!$F$2:$F$201,'Trial Rows'!F16,'Trial Rows'!$G$2:$G$201,'Trial Rows'!G16,'Trial Rows'!$Y$2:$Y$201,'Trial Rows'!Y16,'Trial Rows'!$W$2:$W$201,"&lt;&gt;")=4,ISNUMBER('Trial Rows'!U16),COUNTIFS('Trial Rows'!$B$2:$B$201,'Trial Rows'!B16,'Trial Rows'!$C$2:$C$201,'Trial Rows'!C16,'Trial Rows'!$F$2:$F$201,'Trial Rows'!F16,'Trial Rows'!$G$2:$G$201,'Trial Rows'!G16,'Trial Rows'!$Y$2:$Y$201,'Trial Rows'!Y16,'Trial Rows'!$U$2:$U$201,'Trial Rows'!U16)=4,'Trial Rows'!U16&gt;=0),1,0)</x:f>
        <x:v>0</x:v>
      </x:c>
      <x:c r="O16" s="2" t="str">
        <x:f>IF(N16=1,'Trial Rows'!U16/1000,"")</x:f>
      </x:c>
      <x:c r="P16" s="2" t="str">
        <x:f>IF(AND(N16=1,'Trial Rows'!G16="A"),O16,"")</x:f>
      </x:c>
      <x:c r="Q16" s="2" t="str">
        <x:f>IF(AND(N16=1,'Trial Rows'!G16="B"),O16,"")</x:f>
      </x:c>
      <x:c r="R16" s="2" t="str">
        <x:f>IF(AND(N16=1,COUNTIFS('Trial Rows'!$B$2:$B$201,'Trial Rows'!B16,'Trial Rows'!$C$2:$C$201,'Trial Rows'!C16,'Trial Rows'!$F$2:$F$201,'Trial Rows'!F16,'Trial Rows'!$G$2:$G$201,'Trial Rows'!G16,'Trial Rows'!$Y$2:$Y$201,'Trial Rows'!Y16,'Trial Rows'!$N$2:$N$201,"&gt;=0",'Trial Rows'!$N$2:$N$201,"&lt;=4",'Trial Rows'!$N$2:$N$201,"&lt;&gt;")=4),SUMIFS('Trial Rows'!$N$2:$N$201,'Trial Rows'!$B$2:$B$201,'Trial Rows'!B16,'Trial Rows'!$C$2:$C$201,'Trial Rows'!C16,'Trial Rows'!$F$2:$F$201,'Trial Rows'!F16,'Trial Rows'!$G$2:$G$201,'Trial Rows'!G16,'Trial Rows'!$Y$2:$Y$201,'Trial Rows'!Y16,'Trial Rows'!$I$2:$I$201,1)+4-SUMIFS('Trial Rows'!$N$2:$N$201,'Trial Rows'!$B$2:$B$201,'Trial Rows'!B16,'Trial Rows'!$C$2:$C$201,'Trial Rows'!C16,'Trial Rows'!$F$2:$F$201,'Trial Rows'!F16,'Trial Rows'!$G$2:$G$201,'Trial Rows'!G16,'Trial Rows'!$Y$2:$Y$201,'Trial Rows'!Y16,'Trial Rows'!$I$2:$I$201,2)+4-SUMIFS('Trial Rows'!$N$2:$N$201,'Trial Rows'!$B$2:$B$201,'Trial Rows'!B16,'Trial Rows'!$C$2:$C$201,'Trial Rows'!C16,'Trial Rows'!$F$2:$F$201,'Trial Rows'!F16,'Trial Rows'!$G$2:$G$201,'Trial Rows'!G16,'Trial Rows'!$Y$2:$Y$201,'Trial Rows'!Y16,'Trial Rows'!$I$2:$I$201,3)+SUMIFS('Trial Rows'!$N$2:$N$201,'Trial Rows'!$B$2:$B$201,'Trial Rows'!B16,'Trial Rows'!$C$2:$C$201,'Trial Rows'!C16,'Trial Rows'!$F$2:$F$201,'Trial Rows'!F16,'Trial Rows'!$G$2:$G$201,'Trial Rows'!G16,'Trial Rows'!$Y$2:$Y$201,'Trial Rows'!Y16,'Trial Rows'!$I$2:$I$201,4),"")</x:f>
      </x:c>
      <x:c r="S16" s="2" t="n">
        <x:f>IF(AND(B16=1,COUNTIFS('Trial Rows'!$C$2:C16,'Trial Rows'!C16,'Trial Rows'!$F$2:F16,Summary!$B$5,'Trial Rows'!$Y$2:Y16,Summary!$B$4)=1),1,0)</x:f>
        <x:v>0</x:v>
      </x:c>
      <x:c r="T16" s="2"/>
      <x:c r="U16" s="2"/>
      <x:c r="V16" s="2"/>
      <x:c r="W16" s="2"/>
      <x:c r="X16" s="2"/>
      <x:c r="Y16" s="2"/>
      <x:c r="Z16" s="2"/>
      <x:c r="AA16" s="2"/>
      <x:c r="AB16" s="2"/>
    </x:row>
    <x:row r="17">
      <x:c r="A17" s="2" t="str">
        <x:f>IF('Trial Rows'!A17="","",'Trial Rows'!F17&amp;"|"&amp;'Trial Rows'!B17&amp;"|"&amp;'Trial Rows'!C17&amp;"|"&amp;'Trial Rows'!I17)</x:f>
      </x:c>
      <x:c r="B17" s="2" t="n">
        <x:f>IF(AND('Trial Rows'!A17&lt;&gt;"",'Trial Rows'!Y17=Summary!$B$4,'Trial Rows'!F17=Summary!$B$5),1,0)</x:f>
        <x:v>0</x:v>
      </x:c>
      <x:c r="C17" s="2" t="n">
        <x:f>IF(B17=1,COUNTIFS('Trial Rows'!$B$2:$B$201,'Trial Rows'!B17,'Trial Rows'!$C$2:$C$201,'Trial Rows'!C17,'Trial Rows'!$F$2:$F$201,'Trial Rows'!F17,'Trial Rows'!$I$2:$I$201,'Trial Rows'!I17,'Trial Rows'!$Y$2:$Y$201,'Trial Rows'!Y17,'Trial Rows'!$G$2:$G$201,"A"),0)</x:f>
        <x:v>0</x:v>
      </x:c>
      <x:c r="D17" s="2" t="n">
        <x:f>IF(B17=1,COUNTIFS('Trial Rows'!$B$2:$B$201,'Trial Rows'!B17,'Trial Rows'!$C$2:$C$201,'Trial Rows'!C17,'Trial Rows'!$F$2:$F$201,'Trial Rows'!F17,'Trial Rows'!$I$2:$I$201,'Trial Rows'!I17,'Trial Rows'!$Y$2:$Y$201,'Trial Rows'!Y17,'Trial Rows'!$G$2:$G$201,"B"),0)</x:f>
        <x:v>0</x:v>
      </x:c>
      <x:c r="E17" s="2" t="str">
        <x:f>IF(AND(C17=1,COUNTIFS('Trial Rows'!$B$2:$B$201,'Trial Rows'!B17,'Trial Rows'!$C$2:$C$201,'Trial Rows'!C17,'Trial Rows'!$F$2:$F$201,'Trial Rows'!F17,'Trial Rows'!$I$2:$I$201,'Trial Rows'!I17,'Trial Rows'!$Y$2:$Y$201,'Trial Rows'!Y17,'Trial Rows'!$G$2:$G$201,"A",'Trial Rows'!$K$2:$K$201,"&gt;=0",'Trial Rows'!$K$2:$K$201,"&lt;=4",'Trial Rows'!$K$2:$K$201,"&lt;&gt;")=1),SUMIFS('Trial Rows'!$K$2:$K$201,'Trial Rows'!$B$2:$B$201,'Trial Rows'!B17,'Trial Rows'!$C$2:$C$201,'Trial Rows'!C17,'Trial Rows'!$F$2:$F$201,'Trial Rows'!F17,'Trial Rows'!$I$2:$I$201,'Trial Rows'!I17,'Trial Rows'!$Y$2:$Y$201,'Trial Rows'!Y17,'Trial Rows'!$G$2:$G$201,"A"),"")</x:f>
      </x:c>
      <x:c r="F17" s="2" t="n">
        <x:f>IF(AND(B17=1,'Trial Rows'!G17="B",C17=1,D17=1,ISNUMBER(E17),ISNUMBER('Trial Rows'!M17),'Trial Rows'!M17&gt;=0,'Trial Rows'!M17&lt;=4,'Trial Rows'!Q17=0,'Trial Rows'!S17=0),1,0)</x:f>
        <x:v>0</x:v>
      </x:c>
      <x:c r="G17" s="2" t="n">
        <x:f>IF(F17=1,IF(E17='Trial Rows'!M17,1,0),0)</x:f>
        <x:v>0</x:v>
      </x:c>
      <x:c r="H17" s="2" t="n">
        <x:f>IF(AND(B17=1,'Trial Rows'!G17="B",C17=1,D17=1,ISNUMBER(E17),'Trial Rows'!R17=1,'Trial Rows'!Q17=0,'Trial Rows'!S17=0,ISNUMBER('Trial Rows'!L17),'Trial Rows'!L17&gt;=0,'Trial Rows'!L17&lt;=4),1,0)</x:f>
        <x:v>0</x:v>
      </x:c>
      <x:c r="I17" s="2" t="n">
        <x:f>IF(H17=1,IF(E17='Trial Rows'!L17,1,0),0)</x:f>
        <x:v>0</x:v>
      </x:c>
      <x:c r="J17" s="2" t="n">
        <x:f>IF(AND(B17=1,'Trial Rows'!G17="B",'Trial Rows'!P17&gt;0),1,0)</x:f>
        <x:v>0</x:v>
      </x:c>
      <x:c r="K17" s="2" t="n">
        <x:f>IF(AND(B17=1,'Trial Rows'!G17="B",'Trial Rows'!Q17=1),1,0)</x:f>
        <x:v>0</x:v>
      </x:c>
      <x:c r="L17" s="2" t="n">
        <x:f>IF(AND(B17=1,'Trial Rows'!G17="B",'Trial Rows'!R17=1,'Trial Rows'!Q17=0,'Trial Rows'!S17=0),1,0)</x:f>
        <x:v>0</x:v>
      </x:c>
      <x:c r="M17" s="2" t="n">
        <x:f>IF(AND(B17=1,'Trial Rows'!G17="B"),1,0)</x:f>
        <x:v>0</x:v>
      </x:c>
      <x:c r="N17" s="2" t="n">
        <x:f>IF(AND(B17=1,'Trial Rows'!I17=1,COUNTIFS('Trial Rows'!$B$2:$B$201,'Trial Rows'!B17,'Trial Rows'!$C$2:$C$201,'Trial Rows'!C17,'Trial Rows'!$F$2:$F$201,'Trial Rows'!F17,'Trial Rows'!$G$2:$G$201,'Trial Rows'!G17,'Trial Rows'!$Y$2:$Y$201,'Trial Rows'!Y17)=4,COUNTIFS('Trial Rows'!$B$2:$B$201,'Trial Rows'!B17,'Trial Rows'!$C$2:$C$201,'Trial Rows'!C17,'Trial Rows'!$F$2:$F$201,'Trial Rows'!F17,'Trial Rows'!$G$2:$G$201,'Trial Rows'!G17,'Trial Rows'!$Y$2:$Y$201,'Trial Rows'!Y17,'Trial Rows'!$I$2:$I$201,1)=1,COUNTIFS('Trial Rows'!$B$2:$B$201,'Trial Rows'!B17,'Trial Rows'!$C$2:$C$201,'Trial Rows'!C17,'Trial Rows'!$F$2:$F$201,'Trial Rows'!F17,'Trial Rows'!$G$2:$G$201,'Trial Rows'!G17,'Trial Rows'!$Y$2:$Y$201,'Trial Rows'!Y17,'Trial Rows'!$I$2:$I$201,2)=1,COUNTIFS('Trial Rows'!$B$2:$B$201,'Trial Rows'!B17,'Trial Rows'!$C$2:$C$201,'Trial Rows'!C17,'Trial Rows'!$F$2:$F$201,'Trial Rows'!F17,'Trial Rows'!$G$2:$G$201,'Trial Rows'!G17,'Trial Rows'!$Y$2:$Y$201,'Trial Rows'!Y17,'Trial Rows'!$I$2:$I$201,3)=1,COUNTIFS('Trial Rows'!$B$2:$B$201,'Trial Rows'!B17,'Trial Rows'!$C$2:$C$201,'Trial Rows'!C17,'Trial Rows'!$F$2:$F$201,'Trial Rows'!F17,'Trial Rows'!$G$2:$G$201,'Trial Rows'!G17,'Trial Rows'!$Y$2:$Y$201,'Trial Rows'!Y17,'Trial Rows'!$I$2:$I$201,4)=1,COUNTIFS('Trial Rows'!$B$2:$B$201,'Trial Rows'!B17,'Trial Rows'!$C$2:$C$201,'Trial Rows'!C17,'Trial Rows'!$F$2:$F$201,'Trial Rows'!F17,'Trial Rows'!$G$2:$G$201,'Trial Rows'!G17,'Trial Rows'!$Y$2:$Y$201,'Trial Rows'!Y17,'Trial Rows'!$W$2:$W$201,"&lt;&gt;")=4,ISNUMBER('Trial Rows'!U17),COUNTIFS('Trial Rows'!$B$2:$B$201,'Trial Rows'!B17,'Trial Rows'!$C$2:$C$201,'Trial Rows'!C17,'Trial Rows'!$F$2:$F$201,'Trial Rows'!F17,'Trial Rows'!$G$2:$G$201,'Trial Rows'!G17,'Trial Rows'!$Y$2:$Y$201,'Trial Rows'!Y17,'Trial Rows'!$U$2:$U$201,'Trial Rows'!U17)=4,'Trial Rows'!U17&gt;=0),1,0)</x:f>
        <x:v>0</x:v>
      </x:c>
      <x:c r="O17" s="2" t="str">
        <x:f>IF(N17=1,'Trial Rows'!U17/1000,"")</x:f>
      </x:c>
      <x:c r="P17" s="2" t="str">
        <x:f>IF(AND(N17=1,'Trial Rows'!G17="A"),O17,"")</x:f>
      </x:c>
      <x:c r="Q17" s="2" t="str">
        <x:f>IF(AND(N17=1,'Trial Rows'!G17="B"),O17,"")</x:f>
      </x:c>
      <x:c r="R17" s="2" t="str">
        <x:f>IF(AND(N17=1,COUNTIFS('Trial Rows'!$B$2:$B$201,'Trial Rows'!B17,'Trial Rows'!$C$2:$C$201,'Trial Rows'!C17,'Trial Rows'!$F$2:$F$201,'Trial Rows'!F17,'Trial Rows'!$G$2:$G$201,'Trial Rows'!G17,'Trial Rows'!$Y$2:$Y$201,'Trial Rows'!Y17,'Trial Rows'!$N$2:$N$201,"&gt;=0",'Trial Rows'!$N$2:$N$201,"&lt;=4",'Trial Rows'!$N$2:$N$201,"&lt;&gt;")=4),SUMIFS('Trial Rows'!$N$2:$N$201,'Trial Rows'!$B$2:$B$201,'Trial Rows'!B17,'Trial Rows'!$C$2:$C$201,'Trial Rows'!C17,'Trial Rows'!$F$2:$F$201,'Trial Rows'!F17,'Trial Rows'!$G$2:$G$201,'Trial Rows'!G17,'Trial Rows'!$Y$2:$Y$201,'Trial Rows'!Y17,'Trial Rows'!$I$2:$I$201,1)+4-SUMIFS('Trial Rows'!$N$2:$N$201,'Trial Rows'!$B$2:$B$201,'Trial Rows'!B17,'Trial Rows'!$C$2:$C$201,'Trial Rows'!C17,'Trial Rows'!$F$2:$F$201,'Trial Rows'!F17,'Trial Rows'!$G$2:$G$201,'Trial Rows'!G17,'Trial Rows'!$Y$2:$Y$201,'Trial Rows'!Y17,'Trial Rows'!$I$2:$I$201,2)+4-SUMIFS('Trial Rows'!$N$2:$N$201,'Trial Rows'!$B$2:$B$201,'Trial Rows'!B17,'Trial Rows'!$C$2:$C$201,'Trial Rows'!C17,'Trial Rows'!$F$2:$F$201,'Trial Rows'!F17,'Trial Rows'!$G$2:$G$201,'Trial Rows'!G17,'Trial Rows'!$Y$2:$Y$201,'Trial Rows'!Y17,'Trial Rows'!$I$2:$I$201,3)+SUMIFS('Trial Rows'!$N$2:$N$201,'Trial Rows'!$B$2:$B$201,'Trial Rows'!B17,'Trial Rows'!$C$2:$C$201,'Trial Rows'!C17,'Trial Rows'!$F$2:$F$201,'Trial Rows'!F17,'Trial Rows'!$G$2:$G$201,'Trial Rows'!G17,'Trial Rows'!$Y$2:$Y$201,'Trial Rows'!Y17,'Trial Rows'!$I$2:$I$201,4),"")</x:f>
      </x:c>
      <x:c r="S17" s="2" t="n">
        <x:f>IF(AND(B17=1,COUNTIFS('Trial Rows'!$C$2:C17,'Trial Rows'!C17,'Trial Rows'!$F$2:F17,Summary!$B$5,'Trial Rows'!$Y$2:Y17,Summary!$B$4)=1),1,0)</x:f>
        <x:v>0</x:v>
      </x:c>
      <x:c r="T17" s="2"/>
      <x:c r="U17" s="2"/>
      <x:c r="V17" s="2"/>
      <x:c r="W17" s="2"/>
      <x:c r="X17" s="2"/>
      <x:c r="Y17" s="2"/>
      <x:c r="Z17" s="2"/>
      <x:c r="AA17" s="2"/>
      <x:c r="AB17" s="2"/>
    </x:row>
    <x:row r="18">
      <x:c r="A18" s="2" t="str">
        <x:f>IF('Trial Rows'!A18="","",'Trial Rows'!F18&amp;"|"&amp;'Trial Rows'!B18&amp;"|"&amp;'Trial Rows'!C18&amp;"|"&amp;'Trial Rows'!I18)</x:f>
      </x:c>
      <x:c r="B18" s="2" t="n">
        <x:f>IF(AND('Trial Rows'!A18&lt;&gt;"",'Trial Rows'!Y18=Summary!$B$4,'Trial Rows'!F18=Summary!$B$5),1,0)</x:f>
        <x:v>0</x:v>
      </x:c>
      <x:c r="C18" s="2" t="n">
        <x:f>IF(B18=1,COUNTIFS('Trial Rows'!$B$2:$B$201,'Trial Rows'!B18,'Trial Rows'!$C$2:$C$201,'Trial Rows'!C18,'Trial Rows'!$F$2:$F$201,'Trial Rows'!F18,'Trial Rows'!$I$2:$I$201,'Trial Rows'!I18,'Trial Rows'!$Y$2:$Y$201,'Trial Rows'!Y18,'Trial Rows'!$G$2:$G$201,"A"),0)</x:f>
        <x:v>0</x:v>
      </x:c>
      <x:c r="D18" s="2" t="n">
        <x:f>IF(B18=1,COUNTIFS('Trial Rows'!$B$2:$B$201,'Trial Rows'!B18,'Trial Rows'!$C$2:$C$201,'Trial Rows'!C18,'Trial Rows'!$F$2:$F$201,'Trial Rows'!F18,'Trial Rows'!$I$2:$I$201,'Trial Rows'!I18,'Trial Rows'!$Y$2:$Y$201,'Trial Rows'!Y18,'Trial Rows'!$G$2:$G$201,"B"),0)</x:f>
        <x:v>0</x:v>
      </x:c>
      <x:c r="E18" s="2" t="str">
        <x:f>IF(AND(C18=1,COUNTIFS('Trial Rows'!$B$2:$B$201,'Trial Rows'!B18,'Trial Rows'!$C$2:$C$201,'Trial Rows'!C18,'Trial Rows'!$F$2:$F$201,'Trial Rows'!F18,'Trial Rows'!$I$2:$I$201,'Trial Rows'!I18,'Trial Rows'!$Y$2:$Y$201,'Trial Rows'!Y18,'Trial Rows'!$G$2:$G$201,"A",'Trial Rows'!$K$2:$K$201,"&gt;=0",'Trial Rows'!$K$2:$K$201,"&lt;=4",'Trial Rows'!$K$2:$K$201,"&lt;&gt;")=1),SUMIFS('Trial Rows'!$K$2:$K$201,'Trial Rows'!$B$2:$B$201,'Trial Rows'!B18,'Trial Rows'!$C$2:$C$201,'Trial Rows'!C18,'Trial Rows'!$F$2:$F$201,'Trial Rows'!F18,'Trial Rows'!$I$2:$I$201,'Trial Rows'!I18,'Trial Rows'!$Y$2:$Y$201,'Trial Rows'!Y18,'Trial Rows'!$G$2:$G$201,"A"),"")</x:f>
      </x:c>
      <x:c r="F18" s="2" t="n">
        <x:f>IF(AND(B18=1,'Trial Rows'!G18="B",C18=1,D18=1,ISNUMBER(E18),ISNUMBER('Trial Rows'!M18),'Trial Rows'!M18&gt;=0,'Trial Rows'!M18&lt;=4,'Trial Rows'!Q18=0,'Trial Rows'!S18=0),1,0)</x:f>
        <x:v>0</x:v>
      </x:c>
      <x:c r="G18" s="2" t="n">
        <x:f>IF(F18=1,IF(E18='Trial Rows'!M18,1,0),0)</x:f>
        <x:v>0</x:v>
      </x:c>
      <x:c r="H18" s="2" t="n">
        <x:f>IF(AND(B18=1,'Trial Rows'!G18="B",C18=1,D18=1,ISNUMBER(E18),'Trial Rows'!R18=1,'Trial Rows'!Q18=0,'Trial Rows'!S18=0,ISNUMBER('Trial Rows'!L18),'Trial Rows'!L18&gt;=0,'Trial Rows'!L18&lt;=4),1,0)</x:f>
        <x:v>0</x:v>
      </x:c>
      <x:c r="I18" s="2" t="n">
        <x:f>IF(H18=1,IF(E18='Trial Rows'!L18,1,0),0)</x:f>
        <x:v>0</x:v>
      </x:c>
      <x:c r="J18" s="2" t="n">
        <x:f>IF(AND(B18=1,'Trial Rows'!G18="B",'Trial Rows'!P18&gt;0),1,0)</x:f>
        <x:v>0</x:v>
      </x:c>
      <x:c r="K18" s="2" t="n">
        <x:f>IF(AND(B18=1,'Trial Rows'!G18="B",'Trial Rows'!Q18=1),1,0)</x:f>
        <x:v>0</x:v>
      </x:c>
      <x:c r="L18" s="2" t="n">
        <x:f>IF(AND(B18=1,'Trial Rows'!G18="B",'Trial Rows'!R18=1,'Trial Rows'!Q18=0,'Trial Rows'!S18=0),1,0)</x:f>
        <x:v>0</x:v>
      </x:c>
      <x:c r="M18" s="2" t="n">
        <x:f>IF(AND(B18=1,'Trial Rows'!G18="B"),1,0)</x:f>
        <x:v>0</x:v>
      </x:c>
      <x:c r="N18" s="2" t="n">
        <x:f>IF(AND(B18=1,'Trial Rows'!I18=1,COUNTIFS('Trial Rows'!$B$2:$B$201,'Trial Rows'!B18,'Trial Rows'!$C$2:$C$201,'Trial Rows'!C18,'Trial Rows'!$F$2:$F$201,'Trial Rows'!F18,'Trial Rows'!$G$2:$G$201,'Trial Rows'!G18,'Trial Rows'!$Y$2:$Y$201,'Trial Rows'!Y18)=4,COUNTIFS('Trial Rows'!$B$2:$B$201,'Trial Rows'!B18,'Trial Rows'!$C$2:$C$201,'Trial Rows'!C18,'Trial Rows'!$F$2:$F$201,'Trial Rows'!F18,'Trial Rows'!$G$2:$G$201,'Trial Rows'!G18,'Trial Rows'!$Y$2:$Y$201,'Trial Rows'!Y18,'Trial Rows'!$I$2:$I$201,1)=1,COUNTIFS('Trial Rows'!$B$2:$B$201,'Trial Rows'!B18,'Trial Rows'!$C$2:$C$201,'Trial Rows'!C18,'Trial Rows'!$F$2:$F$201,'Trial Rows'!F18,'Trial Rows'!$G$2:$G$201,'Trial Rows'!G18,'Trial Rows'!$Y$2:$Y$201,'Trial Rows'!Y18,'Trial Rows'!$I$2:$I$201,2)=1,COUNTIFS('Trial Rows'!$B$2:$B$201,'Trial Rows'!B18,'Trial Rows'!$C$2:$C$201,'Trial Rows'!C18,'Trial Rows'!$F$2:$F$201,'Trial Rows'!F18,'Trial Rows'!$G$2:$G$201,'Trial Rows'!G18,'Trial Rows'!$Y$2:$Y$201,'Trial Rows'!Y18,'Trial Rows'!$I$2:$I$201,3)=1,COUNTIFS('Trial Rows'!$B$2:$B$201,'Trial Rows'!B18,'Trial Rows'!$C$2:$C$201,'Trial Rows'!C18,'Trial Rows'!$F$2:$F$201,'Trial Rows'!F18,'Trial Rows'!$G$2:$G$201,'Trial Rows'!G18,'Trial Rows'!$Y$2:$Y$201,'Trial Rows'!Y18,'Trial Rows'!$I$2:$I$201,4)=1,COUNTIFS('Trial Rows'!$B$2:$B$201,'Trial Rows'!B18,'Trial Rows'!$C$2:$C$201,'Trial Rows'!C18,'Trial Rows'!$F$2:$F$201,'Trial Rows'!F18,'Trial Rows'!$G$2:$G$201,'Trial Rows'!G18,'Trial Rows'!$Y$2:$Y$201,'Trial Rows'!Y18,'Trial Rows'!$W$2:$W$201,"&lt;&gt;")=4,ISNUMBER('Trial Rows'!U18),COUNTIFS('Trial Rows'!$B$2:$B$201,'Trial Rows'!B18,'Trial Rows'!$C$2:$C$201,'Trial Rows'!C18,'Trial Rows'!$F$2:$F$201,'Trial Rows'!F18,'Trial Rows'!$G$2:$G$201,'Trial Rows'!G18,'Trial Rows'!$Y$2:$Y$201,'Trial Rows'!Y18,'Trial Rows'!$U$2:$U$201,'Trial Rows'!U18)=4,'Trial Rows'!U18&gt;=0),1,0)</x:f>
        <x:v>0</x:v>
      </x:c>
      <x:c r="O18" s="2" t="str">
        <x:f>IF(N18=1,'Trial Rows'!U18/1000,"")</x:f>
      </x:c>
      <x:c r="P18" s="2" t="str">
        <x:f>IF(AND(N18=1,'Trial Rows'!G18="A"),O18,"")</x:f>
      </x:c>
      <x:c r="Q18" s="2" t="str">
        <x:f>IF(AND(N18=1,'Trial Rows'!G18="B"),O18,"")</x:f>
      </x:c>
      <x:c r="R18" s="2" t="str">
        <x:f>IF(AND(N18=1,COUNTIFS('Trial Rows'!$B$2:$B$201,'Trial Rows'!B18,'Trial Rows'!$C$2:$C$201,'Trial Rows'!C18,'Trial Rows'!$F$2:$F$201,'Trial Rows'!F18,'Trial Rows'!$G$2:$G$201,'Trial Rows'!G18,'Trial Rows'!$Y$2:$Y$201,'Trial Rows'!Y18,'Trial Rows'!$N$2:$N$201,"&gt;=0",'Trial Rows'!$N$2:$N$201,"&lt;=4",'Trial Rows'!$N$2:$N$201,"&lt;&gt;")=4),SUMIFS('Trial Rows'!$N$2:$N$201,'Trial Rows'!$B$2:$B$201,'Trial Rows'!B18,'Trial Rows'!$C$2:$C$201,'Trial Rows'!C18,'Trial Rows'!$F$2:$F$201,'Trial Rows'!F18,'Trial Rows'!$G$2:$G$201,'Trial Rows'!G18,'Trial Rows'!$Y$2:$Y$201,'Trial Rows'!Y18,'Trial Rows'!$I$2:$I$201,1)+4-SUMIFS('Trial Rows'!$N$2:$N$201,'Trial Rows'!$B$2:$B$201,'Trial Rows'!B18,'Trial Rows'!$C$2:$C$201,'Trial Rows'!C18,'Trial Rows'!$F$2:$F$201,'Trial Rows'!F18,'Trial Rows'!$G$2:$G$201,'Trial Rows'!G18,'Trial Rows'!$Y$2:$Y$201,'Trial Rows'!Y18,'Trial Rows'!$I$2:$I$201,2)+4-SUMIFS('Trial Rows'!$N$2:$N$201,'Trial Rows'!$B$2:$B$201,'Trial Rows'!B18,'Trial Rows'!$C$2:$C$201,'Trial Rows'!C18,'Trial Rows'!$F$2:$F$201,'Trial Rows'!F18,'Trial Rows'!$G$2:$G$201,'Trial Rows'!G18,'Trial Rows'!$Y$2:$Y$201,'Trial Rows'!Y18,'Trial Rows'!$I$2:$I$201,3)+SUMIFS('Trial Rows'!$N$2:$N$201,'Trial Rows'!$B$2:$B$201,'Trial Rows'!B18,'Trial Rows'!$C$2:$C$201,'Trial Rows'!C18,'Trial Rows'!$F$2:$F$201,'Trial Rows'!F18,'Trial Rows'!$G$2:$G$201,'Trial Rows'!G18,'Trial Rows'!$Y$2:$Y$201,'Trial Rows'!Y18,'Trial Rows'!$I$2:$I$201,4),"")</x:f>
      </x:c>
      <x:c r="S18" s="2" t="n">
        <x:f>IF(AND(B18=1,COUNTIFS('Trial Rows'!$C$2:C18,'Trial Rows'!C18,'Trial Rows'!$F$2:F18,Summary!$B$5,'Trial Rows'!$Y$2:Y18,Summary!$B$4)=1),1,0)</x:f>
        <x:v>0</x:v>
      </x:c>
      <x:c r="T18" s="2"/>
      <x:c r="U18" s="2"/>
      <x:c r="V18" s="2"/>
      <x:c r="W18" s="2"/>
      <x:c r="X18" s="2"/>
      <x:c r="Y18" s="2"/>
      <x:c r="Z18" s="2"/>
      <x:c r="AA18" s="2"/>
      <x:c r="AB18" s="2"/>
    </x:row>
    <x:row r="19">
      <x:c r="A19" s="2" t="str">
        <x:f>IF('Trial Rows'!A19="","",'Trial Rows'!F19&amp;"|"&amp;'Trial Rows'!B19&amp;"|"&amp;'Trial Rows'!C19&amp;"|"&amp;'Trial Rows'!I19)</x:f>
      </x:c>
      <x:c r="B19" s="2" t="n">
        <x:f>IF(AND('Trial Rows'!A19&lt;&gt;"",'Trial Rows'!Y19=Summary!$B$4,'Trial Rows'!F19=Summary!$B$5),1,0)</x:f>
        <x:v>0</x:v>
      </x:c>
      <x:c r="C19" s="2" t="n">
        <x:f>IF(B19=1,COUNTIFS('Trial Rows'!$B$2:$B$201,'Trial Rows'!B19,'Trial Rows'!$C$2:$C$201,'Trial Rows'!C19,'Trial Rows'!$F$2:$F$201,'Trial Rows'!F19,'Trial Rows'!$I$2:$I$201,'Trial Rows'!I19,'Trial Rows'!$Y$2:$Y$201,'Trial Rows'!Y19,'Trial Rows'!$G$2:$G$201,"A"),0)</x:f>
        <x:v>0</x:v>
      </x:c>
      <x:c r="D19" s="2" t="n">
        <x:f>IF(B19=1,COUNTIFS('Trial Rows'!$B$2:$B$201,'Trial Rows'!B19,'Trial Rows'!$C$2:$C$201,'Trial Rows'!C19,'Trial Rows'!$F$2:$F$201,'Trial Rows'!F19,'Trial Rows'!$I$2:$I$201,'Trial Rows'!I19,'Trial Rows'!$Y$2:$Y$201,'Trial Rows'!Y19,'Trial Rows'!$G$2:$G$201,"B"),0)</x:f>
        <x:v>0</x:v>
      </x:c>
      <x:c r="E19" s="2" t="str">
        <x:f>IF(AND(C19=1,COUNTIFS('Trial Rows'!$B$2:$B$201,'Trial Rows'!B19,'Trial Rows'!$C$2:$C$201,'Trial Rows'!C19,'Trial Rows'!$F$2:$F$201,'Trial Rows'!F19,'Trial Rows'!$I$2:$I$201,'Trial Rows'!I19,'Trial Rows'!$Y$2:$Y$201,'Trial Rows'!Y19,'Trial Rows'!$G$2:$G$201,"A",'Trial Rows'!$K$2:$K$201,"&gt;=0",'Trial Rows'!$K$2:$K$201,"&lt;=4",'Trial Rows'!$K$2:$K$201,"&lt;&gt;")=1),SUMIFS('Trial Rows'!$K$2:$K$201,'Trial Rows'!$B$2:$B$201,'Trial Rows'!B19,'Trial Rows'!$C$2:$C$201,'Trial Rows'!C19,'Trial Rows'!$F$2:$F$201,'Trial Rows'!F19,'Trial Rows'!$I$2:$I$201,'Trial Rows'!I19,'Trial Rows'!$Y$2:$Y$201,'Trial Rows'!Y19,'Trial Rows'!$G$2:$G$201,"A"),"")</x:f>
      </x:c>
      <x:c r="F19" s="2" t="n">
        <x:f>IF(AND(B19=1,'Trial Rows'!G19="B",C19=1,D19=1,ISNUMBER(E19),ISNUMBER('Trial Rows'!M19),'Trial Rows'!M19&gt;=0,'Trial Rows'!M19&lt;=4,'Trial Rows'!Q19=0,'Trial Rows'!S19=0),1,0)</x:f>
        <x:v>0</x:v>
      </x:c>
      <x:c r="G19" s="2" t="n">
        <x:f>IF(F19=1,IF(E19='Trial Rows'!M19,1,0),0)</x:f>
        <x:v>0</x:v>
      </x:c>
      <x:c r="H19" s="2" t="n">
        <x:f>IF(AND(B19=1,'Trial Rows'!G19="B",C19=1,D19=1,ISNUMBER(E19),'Trial Rows'!R19=1,'Trial Rows'!Q19=0,'Trial Rows'!S19=0,ISNUMBER('Trial Rows'!L19),'Trial Rows'!L19&gt;=0,'Trial Rows'!L19&lt;=4),1,0)</x:f>
        <x:v>0</x:v>
      </x:c>
      <x:c r="I19" s="2" t="n">
        <x:f>IF(H19=1,IF(E19='Trial Rows'!L19,1,0),0)</x:f>
        <x:v>0</x:v>
      </x:c>
      <x:c r="J19" s="2" t="n">
        <x:f>IF(AND(B19=1,'Trial Rows'!G19="B",'Trial Rows'!P19&gt;0),1,0)</x:f>
        <x:v>0</x:v>
      </x:c>
      <x:c r="K19" s="2" t="n">
        <x:f>IF(AND(B19=1,'Trial Rows'!G19="B",'Trial Rows'!Q19=1),1,0)</x:f>
        <x:v>0</x:v>
      </x:c>
      <x:c r="L19" s="2" t="n">
        <x:f>IF(AND(B19=1,'Trial Rows'!G19="B",'Trial Rows'!R19=1,'Trial Rows'!Q19=0,'Trial Rows'!S19=0),1,0)</x:f>
        <x:v>0</x:v>
      </x:c>
      <x:c r="M19" s="2" t="n">
        <x:f>IF(AND(B19=1,'Trial Rows'!G19="B"),1,0)</x:f>
        <x:v>0</x:v>
      </x:c>
      <x:c r="N19" s="2" t="n">
        <x:f>IF(AND(B19=1,'Trial Rows'!I19=1,COUNTIFS('Trial Rows'!$B$2:$B$201,'Trial Rows'!B19,'Trial Rows'!$C$2:$C$201,'Trial Rows'!C19,'Trial Rows'!$F$2:$F$201,'Trial Rows'!F19,'Trial Rows'!$G$2:$G$201,'Trial Rows'!G19,'Trial Rows'!$Y$2:$Y$201,'Trial Rows'!Y19)=4,COUNTIFS('Trial Rows'!$B$2:$B$201,'Trial Rows'!B19,'Trial Rows'!$C$2:$C$201,'Trial Rows'!C19,'Trial Rows'!$F$2:$F$201,'Trial Rows'!F19,'Trial Rows'!$G$2:$G$201,'Trial Rows'!G19,'Trial Rows'!$Y$2:$Y$201,'Trial Rows'!Y19,'Trial Rows'!$I$2:$I$201,1)=1,COUNTIFS('Trial Rows'!$B$2:$B$201,'Trial Rows'!B19,'Trial Rows'!$C$2:$C$201,'Trial Rows'!C19,'Trial Rows'!$F$2:$F$201,'Trial Rows'!F19,'Trial Rows'!$G$2:$G$201,'Trial Rows'!G19,'Trial Rows'!$Y$2:$Y$201,'Trial Rows'!Y19,'Trial Rows'!$I$2:$I$201,2)=1,COUNTIFS('Trial Rows'!$B$2:$B$201,'Trial Rows'!B19,'Trial Rows'!$C$2:$C$201,'Trial Rows'!C19,'Trial Rows'!$F$2:$F$201,'Trial Rows'!F19,'Trial Rows'!$G$2:$G$201,'Trial Rows'!G19,'Trial Rows'!$Y$2:$Y$201,'Trial Rows'!Y19,'Trial Rows'!$I$2:$I$201,3)=1,COUNTIFS('Trial Rows'!$B$2:$B$201,'Trial Rows'!B19,'Trial Rows'!$C$2:$C$201,'Trial Rows'!C19,'Trial Rows'!$F$2:$F$201,'Trial Rows'!F19,'Trial Rows'!$G$2:$G$201,'Trial Rows'!G19,'Trial Rows'!$Y$2:$Y$201,'Trial Rows'!Y19,'Trial Rows'!$I$2:$I$201,4)=1,COUNTIFS('Trial Rows'!$B$2:$B$201,'Trial Rows'!B19,'Trial Rows'!$C$2:$C$201,'Trial Rows'!C19,'Trial Rows'!$F$2:$F$201,'Trial Rows'!F19,'Trial Rows'!$G$2:$G$201,'Trial Rows'!G19,'Trial Rows'!$Y$2:$Y$201,'Trial Rows'!Y19,'Trial Rows'!$W$2:$W$201,"&lt;&gt;")=4,ISNUMBER('Trial Rows'!U19),COUNTIFS('Trial Rows'!$B$2:$B$201,'Trial Rows'!B19,'Trial Rows'!$C$2:$C$201,'Trial Rows'!C19,'Trial Rows'!$F$2:$F$201,'Trial Rows'!F19,'Trial Rows'!$G$2:$G$201,'Trial Rows'!G19,'Trial Rows'!$Y$2:$Y$201,'Trial Rows'!Y19,'Trial Rows'!$U$2:$U$201,'Trial Rows'!U19)=4,'Trial Rows'!U19&gt;=0),1,0)</x:f>
        <x:v>0</x:v>
      </x:c>
      <x:c r="O19" s="2" t="str">
        <x:f>IF(N19=1,'Trial Rows'!U19/1000,"")</x:f>
      </x:c>
      <x:c r="P19" s="2" t="str">
        <x:f>IF(AND(N19=1,'Trial Rows'!G19="A"),O19,"")</x:f>
      </x:c>
      <x:c r="Q19" s="2" t="str">
        <x:f>IF(AND(N19=1,'Trial Rows'!G19="B"),O19,"")</x:f>
      </x:c>
      <x:c r="R19" s="2" t="str">
        <x:f>IF(AND(N19=1,COUNTIFS('Trial Rows'!$B$2:$B$201,'Trial Rows'!B19,'Trial Rows'!$C$2:$C$201,'Trial Rows'!C19,'Trial Rows'!$F$2:$F$201,'Trial Rows'!F19,'Trial Rows'!$G$2:$G$201,'Trial Rows'!G19,'Trial Rows'!$Y$2:$Y$201,'Trial Rows'!Y19,'Trial Rows'!$N$2:$N$201,"&gt;=0",'Trial Rows'!$N$2:$N$201,"&lt;=4",'Trial Rows'!$N$2:$N$201,"&lt;&gt;")=4),SUMIFS('Trial Rows'!$N$2:$N$201,'Trial Rows'!$B$2:$B$201,'Trial Rows'!B19,'Trial Rows'!$C$2:$C$201,'Trial Rows'!C19,'Trial Rows'!$F$2:$F$201,'Trial Rows'!F19,'Trial Rows'!$G$2:$G$201,'Trial Rows'!G19,'Trial Rows'!$Y$2:$Y$201,'Trial Rows'!Y19,'Trial Rows'!$I$2:$I$201,1)+4-SUMIFS('Trial Rows'!$N$2:$N$201,'Trial Rows'!$B$2:$B$201,'Trial Rows'!B19,'Trial Rows'!$C$2:$C$201,'Trial Rows'!C19,'Trial Rows'!$F$2:$F$201,'Trial Rows'!F19,'Trial Rows'!$G$2:$G$201,'Trial Rows'!G19,'Trial Rows'!$Y$2:$Y$201,'Trial Rows'!Y19,'Trial Rows'!$I$2:$I$201,2)+4-SUMIFS('Trial Rows'!$N$2:$N$201,'Trial Rows'!$B$2:$B$201,'Trial Rows'!B19,'Trial Rows'!$C$2:$C$201,'Trial Rows'!C19,'Trial Rows'!$F$2:$F$201,'Trial Rows'!F19,'Trial Rows'!$G$2:$G$201,'Trial Rows'!G19,'Trial Rows'!$Y$2:$Y$201,'Trial Rows'!Y19,'Trial Rows'!$I$2:$I$201,3)+SUMIFS('Trial Rows'!$N$2:$N$201,'Trial Rows'!$B$2:$B$201,'Trial Rows'!B19,'Trial Rows'!$C$2:$C$201,'Trial Rows'!C19,'Trial Rows'!$F$2:$F$201,'Trial Rows'!F19,'Trial Rows'!$G$2:$G$201,'Trial Rows'!G19,'Trial Rows'!$Y$2:$Y$201,'Trial Rows'!Y19,'Trial Rows'!$I$2:$I$201,4),"")</x:f>
      </x:c>
      <x:c r="S19" s="2" t="n">
        <x:f>IF(AND(B19=1,COUNTIFS('Trial Rows'!$C$2:C19,'Trial Rows'!C19,'Trial Rows'!$F$2:F19,Summary!$B$5,'Trial Rows'!$Y$2:Y19,Summary!$B$4)=1),1,0)</x:f>
        <x:v>0</x:v>
      </x:c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A20" s="2" t="str">
        <x:f>IF('Trial Rows'!A20="","",'Trial Rows'!F20&amp;"|"&amp;'Trial Rows'!B20&amp;"|"&amp;'Trial Rows'!C20&amp;"|"&amp;'Trial Rows'!I20)</x:f>
      </x:c>
      <x:c r="B20" s="2" t="n">
        <x:f>IF(AND('Trial Rows'!A20&lt;&gt;"",'Trial Rows'!Y20=Summary!$B$4,'Trial Rows'!F20=Summary!$B$5),1,0)</x:f>
        <x:v>0</x:v>
      </x:c>
      <x:c r="C20" s="2" t="n">
        <x:f>IF(B20=1,COUNTIFS('Trial Rows'!$B$2:$B$201,'Trial Rows'!B20,'Trial Rows'!$C$2:$C$201,'Trial Rows'!C20,'Trial Rows'!$F$2:$F$201,'Trial Rows'!F20,'Trial Rows'!$I$2:$I$201,'Trial Rows'!I20,'Trial Rows'!$Y$2:$Y$201,'Trial Rows'!Y20,'Trial Rows'!$G$2:$G$201,"A"),0)</x:f>
        <x:v>0</x:v>
      </x:c>
      <x:c r="D20" s="2" t="n">
        <x:f>IF(B20=1,COUNTIFS('Trial Rows'!$B$2:$B$201,'Trial Rows'!B20,'Trial Rows'!$C$2:$C$201,'Trial Rows'!C20,'Trial Rows'!$F$2:$F$201,'Trial Rows'!F20,'Trial Rows'!$I$2:$I$201,'Trial Rows'!I20,'Trial Rows'!$Y$2:$Y$201,'Trial Rows'!Y20,'Trial Rows'!$G$2:$G$201,"B"),0)</x:f>
        <x:v>0</x:v>
      </x:c>
      <x:c r="E20" s="2" t="str">
        <x:f>IF(AND(C20=1,COUNTIFS('Trial Rows'!$B$2:$B$201,'Trial Rows'!B20,'Trial Rows'!$C$2:$C$201,'Trial Rows'!C20,'Trial Rows'!$F$2:$F$201,'Trial Rows'!F20,'Trial Rows'!$I$2:$I$201,'Trial Rows'!I20,'Trial Rows'!$Y$2:$Y$201,'Trial Rows'!Y20,'Trial Rows'!$G$2:$G$201,"A",'Trial Rows'!$K$2:$K$201,"&gt;=0",'Trial Rows'!$K$2:$K$201,"&lt;=4",'Trial Rows'!$K$2:$K$201,"&lt;&gt;")=1),SUMIFS('Trial Rows'!$K$2:$K$201,'Trial Rows'!$B$2:$B$201,'Trial Rows'!B20,'Trial Rows'!$C$2:$C$201,'Trial Rows'!C20,'Trial Rows'!$F$2:$F$201,'Trial Rows'!F20,'Trial Rows'!$I$2:$I$201,'Trial Rows'!I20,'Trial Rows'!$Y$2:$Y$201,'Trial Rows'!Y20,'Trial Rows'!$G$2:$G$201,"A"),"")</x:f>
      </x:c>
      <x:c r="F20" s="2" t="n">
        <x:f>IF(AND(B20=1,'Trial Rows'!G20="B",C20=1,D20=1,ISNUMBER(E20),ISNUMBER('Trial Rows'!M20),'Trial Rows'!M20&gt;=0,'Trial Rows'!M20&lt;=4,'Trial Rows'!Q20=0,'Trial Rows'!S20=0),1,0)</x:f>
        <x:v>0</x:v>
      </x:c>
      <x:c r="G20" s="2" t="n">
        <x:f>IF(F20=1,IF(E20='Trial Rows'!M20,1,0),0)</x:f>
        <x:v>0</x:v>
      </x:c>
      <x:c r="H20" s="2" t="n">
        <x:f>IF(AND(B20=1,'Trial Rows'!G20="B",C20=1,D20=1,ISNUMBER(E20),'Trial Rows'!R20=1,'Trial Rows'!Q20=0,'Trial Rows'!S20=0,ISNUMBER('Trial Rows'!L20),'Trial Rows'!L20&gt;=0,'Trial Rows'!L20&lt;=4),1,0)</x:f>
        <x:v>0</x:v>
      </x:c>
      <x:c r="I20" s="2" t="n">
        <x:f>IF(H20=1,IF(E20='Trial Rows'!L20,1,0),0)</x:f>
        <x:v>0</x:v>
      </x:c>
      <x:c r="J20" s="2" t="n">
        <x:f>IF(AND(B20=1,'Trial Rows'!G20="B",'Trial Rows'!P20&gt;0),1,0)</x:f>
        <x:v>0</x:v>
      </x:c>
      <x:c r="K20" s="2" t="n">
        <x:f>IF(AND(B20=1,'Trial Rows'!G20="B",'Trial Rows'!Q20=1),1,0)</x:f>
        <x:v>0</x:v>
      </x:c>
      <x:c r="L20" s="2" t="n">
        <x:f>IF(AND(B20=1,'Trial Rows'!G20="B",'Trial Rows'!R20=1,'Trial Rows'!Q20=0,'Trial Rows'!S20=0),1,0)</x:f>
        <x:v>0</x:v>
      </x:c>
      <x:c r="M20" s="2" t="n">
        <x:f>IF(AND(B20=1,'Trial Rows'!G20="B"),1,0)</x:f>
        <x:v>0</x:v>
      </x:c>
      <x:c r="N20" s="2" t="n">
        <x:f>IF(AND(B20=1,'Trial Rows'!I20=1,COUNTIFS('Trial Rows'!$B$2:$B$201,'Trial Rows'!B20,'Trial Rows'!$C$2:$C$201,'Trial Rows'!C20,'Trial Rows'!$F$2:$F$201,'Trial Rows'!F20,'Trial Rows'!$G$2:$G$201,'Trial Rows'!G20,'Trial Rows'!$Y$2:$Y$201,'Trial Rows'!Y20)=4,COUNTIFS('Trial Rows'!$B$2:$B$201,'Trial Rows'!B20,'Trial Rows'!$C$2:$C$201,'Trial Rows'!C20,'Trial Rows'!$F$2:$F$201,'Trial Rows'!F20,'Trial Rows'!$G$2:$G$201,'Trial Rows'!G20,'Trial Rows'!$Y$2:$Y$201,'Trial Rows'!Y20,'Trial Rows'!$I$2:$I$201,1)=1,COUNTIFS('Trial Rows'!$B$2:$B$201,'Trial Rows'!B20,'Trial Rows'!$C$2:$C$201,'Trial Rows'!C20,'Trial Rows'!$F$2:$F$201,'Trial Rows'!F20,'Trial Rows'!$G$2:$G$201,'Trial Rows'!G20,'Trial Rows'!$Y$2:$Y$201,'Trial Rows'!Y20,'Trial Rows'!$I$2:$I$201,2)=1,COUNTIFS('Trial Rows'!$B$2:$B$201,'Trial Rows'!B20,'Trial Rows'!$C$2:$C$201,'Trial Rows'!C20,'Trial Rows'!$F$2:$F$201,'Trial Rows'!F20,'Trial Rows'!$G$2:$G$201,'Trial Rows'!G20,'Trial Rows'!$Y$2:$Y$201,'Trial Rows'!Y20,'Trial Rows'!$I$2:$I$201,3)=1,COUNTIFS('Trial Rows'!$B$2:$B$201,'Trial Rows'!B20,'Trial Rows'!$C$2:$C$201,'Trial Rows'!C20,'Trial Rows'!$F$2:$F$201,'Trial Rows'!F20,'Trial Rows'!$G$2:$G$201,'Trial Rows'!G20,'Trial Rows'!$Y$2:$Y$201,'Trial Rows'!Y20,'Trial Rows'!$I$2:$I$201,4)=1,COUNTIFS('Trial Rows'!$B$2:$B$201,'Trial Rows'!B20,'Trial Rows'!$C$2:$C$201,'Trial Rows'!C20,'Trial Rows'!$F$2:$F$201,'Trial Rows'!F20,'Trial Rows'!$G$2:$G$201,'Trial Rows'!G20,'Trial Rows'!$Y$2:$Y$201,'Trial Rows'!Y20,'Trial Rows'!$W$2:$W$201,"&lt;&gt;")=4,ISNUMBER('Trial Rows'!U20),COUNTIFS('Trial Rows'!$B$2:$B$201,'Trial Rows'!B20,'Trial Rows'!$C$2:$C$201,'Trial Rows'!C20,'Trial Rows'!$F$2:$F$201,'Trial Rows'!F20,'Trial Rows'!$G$2:$G$201,'Trial Rows'!G20,'Trial Rows'!$Y$2:$Y$201,'Trial Rows'!Y20,'Trial Rows'!$U$2:$U$201,'Trial Rows'!U20)=4,'Trial Rows'!U20&gt;=0),1,0)</x:f>
        <x:v>0</x:v>
      </x:c>
      <x:c r="O20" s="2" t="str">
        <x:f>IF(N20=1,'Trial Rows'!U20/1000,"")</x:f>
      </x:c>
      <x:c r="P20" s="2" t="str">
        <x:f>IF(AND(N20=1,'Trial Rows'!G20="A"),O20,"")</x:f>
      </x:c>
      <x:c r="Q20" s="2" t="str">
        <x:f>IF(AND(N20=1,'Trial Rows'!G20="B"),O20,"")</x:f>
      </x:c>
      <x:c r="R20" s="2" t="str">
        <x:f>IF(AND(N20=1,COUNTIFS('Trial Rows'!$B$2:$B$201,'Trial Rows'!B20,'Trial Rows'!$C$2:$C$201,'Trial Rows'!C20,'Trial Rows'!$F$2:$F$201,'Trial Rows'!F20,'Trial Rows'!$G$2:$G$201,'Trial Rows'!G20,'Trial Rows'!$Y$2:$Y$201,'Trial Rows'!Y20,'Trial Rows'!$N$2:$N$201,"&gt;=0",'Trial Rows'!$N$2:$N$201,"&lt;=4",'Trial Rows'!$N$2:$N$201,"&lt;&gt;")=4),SUMIFS('Trial Rows'!$N$2:$N$201,'Trial Rows'!$B$2:$B$201,'Trial Rows'!B20,'Trial Rows'!$C$2:$C$201,'Trial Rows'!C20,'Trial Rows'!$F$2:$F$201,'Trial Rows'!F20,'Trial Rows'!$G$2:$G$201,'Trial Rows'!G20,'Trial Rows'!$Y$2:$Y$201,'Trial Rows'!Y20,'Trial Rows'!$I$2:$I$201,1)+4-SUMIFS('Trial Rows'!$N$2:$N$201,'Trial Rows'!$B$2:$B$201,'Trial Rows'!B20,'Trial Rows'!$C$2:$C$201,'Trial Rows'!C20,'Trial Rows'!$F$2:$F$201,'Trial Rows'!F20,'Trial Rows'!$G$2:$G$201,'Trial Rows'!G20,'Trial Rows'!$Y$2:$Y$201,'Trial Rows'!Y20,'Trial Rows'!$I$2:$I$201,2)+4-SUMIFS('Trial Rows'!$N$2:$N$201,'Trial Rows'!$B$2:$B$201,'Trial Rows'!B20,'Trial Rows'!$C$2:$C$201,'Trial Rows'!C20,'Trial Rows'!$F$2:$F$201,'Trial Rows'!F20,'Trial Rows'!$G$2:$G$201,'Trial Rows'!G20,'Trial Rows'!$Y$2:$Y$201,'Trial Rows'!Y20,'Trial Rows'!$I$2:$I$201,3)+SUMIFS('Trial Rows'!$N$2:$N$201,'Trial Rows'!$B$2:$B$201,'Trial Rows'!B20,'Trial Rows'!$C$2:$C$201,'Trial Rows'!C20,'Trial Rows'!$F$2:$F$201,'Trial Rows'!F20,'Trial Rows'!$G$2:$G$201,'Trial Rows'!G20,'Trial Rows'!$Y$2:$Y$201,'Trial Rows'!Y20,'Trial Rows'!$I$2:$I$201,4),"")</x:f>
      </x:c>
      <x:c r="S20" s="2" t="n">
        <x:f>IF(AND(B20=1,COUNTIFS('Trial Rows'!$C$2:C20,'Trial Rows'!C20,'Trial Rows'!$F$2:F20,Summary!$B$5,'Trial Rows'!$Y$2:Y20,Summary!$B$4)=1),1,0)</x:f>
        <x:v>0</x:v>
      </x:c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 t="str">
        <x:f>IF('Trial Rows'!A21="","",'Trial Rows'!F21&amp;"|"&amp;'Trial Rows'!B21&amp;"|"&amp;'Trial Rows'!C21&amp;"|"&amp;'Trial Rows'!I21)</x:f>
      </x:c>
      <x:c r="B21" s="2" t="n">
        <x:f>IF(AND('Trial Rows'!A21&lt;&gt;"",'Trial Rows'!Y21=Summary!$B$4,'Trial Rows'!F21=Summary!$B$5),1,0)</x:f>
        <x:v>0</x:v>
      </x:c>
      <x:c r="C21" s="2" t="n">
        <x:f>IF(B21=1,COUNTIFS('Trial Rows'!$B$2:$B$201,'Trial Rows'!B21,'Trial Rows'!$C$2:$C$201,'Trial Rows'!C21,'Trial Rows'!$F$2:$F$201,'Trial Rows'!F21,'Trial Rows'!$I$2:$I$201,'Trial Rows'!I21,'Trial Rows'!$Y$2:$Y$201,'Trial Rows'!Y21,'Trial Rows'!$G$2:$G$201,"A"),0)</x:f>
        <x:v>0</x:v>
      </x:c>
      <x:c r="D21" s="2" t="n">
        <x:f>IF(B21=1,COUNTIFS('Trial Rows'!$B$2:$B$201,'Trial Rows'!B21,'Trial Rows'!$C$2:$C$201,'Trial Rows'!C21,'Trial Rows'!$F$2:$F$201,'Trial Rows'!F21,'Trial Rows'!$I$2:$I$201,'Trial Rows'!I21,'Trial Rows'!$Y$2:$Y$201,'Trial Rows'!Y21,'Trial Rows'!$G$2:$G$201,"B"),0)</x:f>
        <x:v>0</x:v>
      </x:c>
      <x:c r="E21" s="2" t="str">
        <x:f>IF(AND(C21=1,COUNTIFS('Trial Rows'!$B$2:$B$201,'Trial Rows'!B21,'Trial Rows'!$C$2:$C$201,'Trial Rows'!C21,'Trial Rows'!$F$2:$F$201,'Trial Rows'!F21,'Trial Rows'!$I$2:$I$201,'Trial Rows'!I21,'Trial Rows'!$Y$2:$Y$201,'Trial Rows'!Y21,'Trial Rows'!$G$2:$G$201,"A",'Trial Rows'!$K$2:$K$201,"&gt;=0",'Trial Rows'!$K$2:$K$201,"&lt;=4",'Trial Rows'!$K$2:$K$201,"&lt;&gt;")=1),SUMIFS('Trial Rows'!$K$2:$K$201,'Trial Rows'!$B$2:$B$201,'Trial Rows'!B21,'Trial Rows'!$C$2:$C$201,'Trial Rows'!C21,'Trial Rows'!$F$2:$F$201,'Trial Rows'!F21,'Trial Rows'!$I$2:$I$201,'Trial Rows'!I21,'Trial Rows'!$Y$2:$Y$201,'Trial Rows'!Y21,'Trial Rows'!$G$2:$G$201,"A"),"")</x:f>
      </x:c>
      <x:c r="F21" s="2" t="n">
        <x:f>IF(AND(B21=1,'Trial Rows'!G21="B",C21=1,D21=1,ISNUMBER(E21),ISNUMBER('Trial Rows'!M21),'Trial Rows'!M21&gt;=0,'Trial Rows'!M21&lt;=4,'Trial Rows'!Q21=0,'Trial Rows'!S21=0),1,0)</x:f>
        <x:v>0</x:v>
      </x:c>
      <x:c r="G21" s="2" t="n">
        <x:f>IF(F21=1,IF(E21='Trial Rows'!M21,1,0),0)</x:f>
        <x:v>0</x:v>
      </x:c>
      <x:c r="H21" s="2" t="n">
        <x:f>IF(AND(B21=1,'Trial Rows'!G21="B",C21=1,D21=1,ISNUMBER(E21),'Trial Rows'!R21=1,'Trial Rows'!Q21=0,'Trial Rows'!S21=0,ISNUMBER('Trial Rows'!L21),'Trial Rows'!L21&gt;=0,'Trial Rows'!L21&lt;=4),1,0)</x:f>
        <x:v>0</x:v>
      </x:c>
      <x:c r="I21" s="2" t="n">
        <x:f>IF(H21=1,IF(E21='Trial Rows'!L21,1,0),0)</x:f>
        <x:v>0</x:v>
      </x:c>
      <x:c r="J21" s="2" t="n">
        <x:f>IF(AND(B21=1,'Trial Rows'!G21="B",'Trial Rows'!P21&gt;0),1,0)</x:f>
        <x:v>0</x:v>
      </x:c>
      <x:c r="K21" s="2" t="n">
        <x:f>IF(AND(B21=1,'Trial Rows'!G21="B",'Trial Rows'!Q21=1),1,0)</x:f>
        <x:v>0</x:v>
      </x:c>
      <x:c r="L21" s="2" t="n">
        <x:f>IF(AND(B21=1,'Trial Rows'!G21="B",'Trial Rows'!R21=1,'Trial Rows'!Q21=0,'Trial Rows'!S21=0),1,0)</x:f>
        <x:v>0</x:v>
      </x:c>
      <x:c r="M21" s="2" t="n">
        <x:f>IF(AND(B21=1,'Trial Rows'!G21="B"),1,0)</x:f>
        <x:v>0</x:v>
      </x:c>
      <x:c r="N21" s="2" t="n">
        <x:f>IF(AND(B21=1,'Trial Rows'!I21=1,COUNTIFS('Trial Rows'!$B$2:$B$201,'Trial Rows'!B21,'Trial Rows'!$C$2:$C$201,'Trial Rows'!C21,'Trial Rows'!$F$2:$F$201,'Trial Rows'!F21,'Trial Rows'!$G$2:$G$201,'Trial Rows'!G21,'Trial Rows'!$Y$2:$Y$201,'Trial Rows'!Y21)=4,COUNTIFS('Trial Rows'!$B$2:$B$201,'Trial Rows'!B21,'Trial Rows'!$C$2:$C$201,'Trial Rows'!C21,'Trial Rows'!$F$2:$F$201,'Trial Rows'!F21,'Trial Rows'!$G$2:$G$201,'Trial Rows'!G21,'Trial Rows'!$Y$2:$Y$201,'Trial Rows'!Y21,'Trial Rows'!$I$2:$I$201,1)=1,COUNTIFS('Trial Rows'!$B$2:$B$201,'Trial Rows'!B21,'Trial Rows'!$C$2:$C$201,'Trial Rows'!C21,'Trial Rows'!$F$2:$F$201,'Trial Rows'!F21,'Trial Rows'!$G$2:$G$201,'Trial Rows'!G21,'Trial Rows'!$Y$2:$Y$201,'Trial Rows'!Y21,'Trial Rows'!$I$2:$I$201,2)=1,COUNTIFS('Trial Rows'!$B$2:$B$201,'Trial Rows'!B21,'Trial Rows'!$C$2:$C$201,'Trial Rows'!C21,'Trial Rows'!$F$2:$F$201,'Trial Rows'!F21,'Trial Rows'!$G$2:$G$201,'Trial Rows'!G21,'Trial Rows'!$Y$2:$Y$201,'Trial Rows'!Y21,'Trial Rows'!$I$2:$I$201,3)=1,COUNTIFS('Trial Rows'!$B$2:$B$201,'Trial Rows'!B21,'Trial Rows'!$C$2:$C$201,'Trial Rows'!C21,'Trial Rows'!$F$2:$F$201,'Trial Rows'!F21,'Trial Rows'!$G$2:$G$201,'Trial Rows'!G21,'Trial Rows'!$Y$2:$Y$201,'Trial Rows'!Y21,'Trial Rows'!$I$2:$I$201,4)=1,COUNTIFS('Trial Rows'!$B$2:$B$201,'Trial Rows'!B21,'Trial Rows'!$C$2:$C$201,'Trial Rows'!C21,'Trial Rows'!$F$2:$F$201,'Trial Rows'!F21,'Trial Rows'!$G$2:$G$201,'Trial Rows'!G21,'Trial Rows'!$Y$2:$Y$201,'Trial Rows'!Y21,'Trial Rows'!$W$2:$W$201,"&lt;&gt;")=4,ISNUMBER('Trial Rows'!U21),COUNTIFS('Trial Rows'!$B$2:$B$201,'Trial Rows'!B21,'Trial Rows'!$C$2:$C$201,'Trial Rows'!C21,'Trial Rows'!$F$2:$F$201,'Trial Rows'!F21,'Trial Rows'!$G$2:$G$201,'Trial Rows'!G21,'Trial Rows'!$Y$2:$Y$201,'Trial Rows'!Y21,'Trial Rows'!$U$2:$U$201,'Trial Rows'!U21)=4,'Trial Rows'!U21&gt;=0),1,0)</x:f>
        <x:v>0</x:v>
      </x:c>
      <x:c r="O21" s="2" t="str">
        <x:f>IF(N21=1,'Trial Rows'!U21/1000,"")</x:f>
      </x:c>
      <x:c r="P21" s="2" t="str">
        <x:f>IF(AND(N21=1,'Trial Rows'!G21="A"),O21,"")</x:f>
      </x:c>
      <x:c r="Q21" s="2" t="str">
        <x:f>IF(AND(N21=1,'Trial Rows'!G21="B"),O21,"")</x:f>
      </x:c>
      <x:c r="R21" s="2" t="str">
        <x:f>IF(AND(N21=1,COUNTIFS('Trial Rows'!$B$2:$B$201,'Trial Rows'!B21,'Trial Rows'!$C$2:$C$201,'Trial Rows'!C21,'Trial Rows'!$F$2:$F$201,'Trial Rows'!F21,'Trial Rows'!$G$2:$G$201,'Trial Rows'!G21,'Trial Rows'!$Y$2:$Y$201,'Trial Rows'!Y21,'Trial Rows'!$N$2:$N$201,"&gt;=0",'Trial Rows'!$N$2:$N$201,"&lt;=4",'Trial Rows'!$N$2:$N$201,"&lt;&gt;")=4),SUMIFS('Trial Rows'!$N$2:$N$201,'Trial Rows'!$B$2:$B$201,'Trial Rows'!B21,'Trial Rows'!$C$2:$C$201,'Trial Rows'!C21,'Trial Rows'!$F$2:$F$201,'Trial Rows'!F21,'Trial Rows'!$G$2:$G$201,'Trial Rows'!G21,'Trial Rows'!$Y$2:$Y$201,'Trial Rows'!Y21,'Trial Rows'!$I$2:$I$201,1)+4-SUMIFS('Trial Rows'!$N$2:$N$201,'Trial Rows'!$B$2:$B$201,'Trial Rows'!B21,'Trial Rows'!$C$2:$C$201,'Trial Rows'!C21,'Trial Rows'!$F$2:$F$201,'Trial Rows'!F21,'Trial Rows'!$G$2:$G$201,'Trial Rows'!G21,'Trial Rows'!$Y$2:$Y$201,'Trial Rows'!Y21,'Trial Rows'!$I$2:$I$201,2)+4-SUMIFS('Trial Rows'!$N$2:$N$201,'Trial Rows'!$B$2:$B$201,'Trial Rows'!B21,'Trial Rows'!$C$2:$C$201,'Trial Rows'!C21,'Trial Rows'!$F$2:$F$201,'Trial Rows'!F21,'Trial Rows'!$G$2:$G$201,'Trial Rows'!G21,'Trial Rows'!$Y$2:$Y$201,'Trial Rows'!Y21,'Trial Rows'!$I$2:$I$201,3)+SUMIFS('Trial Rows'!$N$2:$N$201,'Trial Rows'!$B$2:$B$201,'Trial Rows'!B21,'Trial Rows'!$C$2:$C$201,'Trial Rows'!C21,'Trial Rows'!$F$2:$F$201,'Trial Rows'!F21,'Trial Rows'!$G$2:$G$201,'Trial Rows'!G21,'Trial Rows'!$Y$2:$Y$201,'Trial Rows'!Y21,'Trial Rows'!$I$2:$I$201,4),"")</x:f>
      </x:c>
      <x:c r="S21" s="2" t="n">
        <x:f>IF(AND(B21=1,COUNTIFS('Trial Rows'!$C$2:C21,'Trial Rows'!C21,'Trial Rows'!$F$2:F21,Summary!$B$5,'Trial Rows'!$Y$2:Y21,Summary!$B$4)=1),1,0)</x:f>
        <x:v>0</x:v>
      </x:c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 t="str">
        <x:f>IF('Trial Rows'!A22="","",'Trial Rows'!F22&amp;"|"&amp;'Trial Rows'!B22&amp;"|"&amp;'Trial Rows'!C22&amp;"|"&amp;'Trial Rows'!I22)</x:f>
      </x:c>
      <x:c r="B22" s="2" t="n">
        <x:f>IF(AND('Trial Rows'!A22&lt;&gt;"",'Trial Rows'!Y22=Summary!$B$4,'Trial Rows'!F22=Summary!$B$5),1,0)</x:f>
        <x:v>0</x:v>
      </x:c>
      <x:c r="C22" s="2" t="n">
        <x:f>IF(B22=1,COUNTIFS('Trial Rows'!$B$2:$B$201,'Trial Rows'!B22,'Trial Rows'!$C$2:$C$201,'Trial Rows'!C22,'Trial Rows'!$F$2:$F$201,'Trial Rows'!F22,'Trial Rows'!$I$2:$I$201,'Trial Rows'!I22,'Trial Rows'!$Y$2:$Y$201,'Trial Rows'!Y22,'Trial Rows'!$G$2:$G$201,"A"),0)</x:f>
        <x:v>0</x:v>
      </x:c>
      <x:c r="D22" s="2" t="n">
        <x:f>IF(B22=1,COUNTIFS('Trial Rows'!$B$2:$B$201,'Trial Rows'!B22,'Trial Rows'!$C$2:$C$201,'Trial Rows'!C22,'Trial Rows'!$F$2:$F$201,'Trial Rows'!F22,'Trial Rows'!$I$2:$I$201,'Trial Rows'!I22,'Trial Rows'!$Y$2:$Y$201,'Trial Rows'!Y22,'Trial Rows'!$G$2:$G$201,"B"),0)</x:f>
        <x:v>0</x:v>
      </x:c>
      <x:c r="E22" s="2" t="str">
        <x:f>IF(AND(C22=1,COUNTIFS('Trial Rows'!$B$2:$B$201,'Trial Rows'!B22,'Trial Rows'!$C$2:$C$201,'Trial Rows'!C22,'Trial Rows'!$F$2:$F$201,'Trial Rows'!F22,'Trial Rows'!$I$2:$I$201,'Trial Rows'!I22,'Trial Rows'!$Y$2:$Y$201,'Trial Rows'!Y22,'Trial Rows'!$G$2:$G$201,"A",'Trial Rows'!$K$2:$K$201,"&gt;=0",'Trial Rows'!$K$2:$K$201,"&lt;=4",'Trial Rows'!$K$2:$K$201,"&lt;&gt;")=1),SUMIFS('Trial Rows'!$K$2:$K$201,'Trial Rows'!$B$2:$B$201,'Trial Rows'!B22,'Trial Rows'!$C$2:$C$201,'Trial Rows'!C22,'Trial Rows'!$F$2:$F$201,'Trial Rows'!F22,'Trial Rows'!$I$2:$I$201,'Trial Rows'!I22,'Trial Rows'!$Y$2:$Y$201,'Trial Rows'!Y22,'Trial Rows'!$G$2:$G$201,"A"),"")</x:f>
      </x:c>
      <x:c r="F22" s="2" t="n">
        <x:f>IF(AND(B22=1,'Trial Rows'!G22="B",C22=1,D22=1,ISNUMBER(E22),ISNUMBER('Trial Rows'!M22),'Trial Rows'!M22&gt;=0,'Trial Rows'!M22&lt;=4,'Trial Rows'!Q22=0,'Trial Rows'!S22=0),1,0)</x:f>
        <x:v>0</x:v>
      </x:c>
      <x:c r="G22" s="2" t="n">
        <x:f>IF(F22=1,IF(E22='Trial Rows'!M22,1,0),0)</x:f>
        <x:v>0</x:v>
      </x:c>
      <x:c r="H22" s="2" t="n">
        <x:f>IF(AND(B22=1,'Trial Rows'!G22="B",C22=1,D22=1,ISNUMBER(E22),'Trial Rows'!R22=1,'Trial Rows'!Q22=0,'Trial Rows'!S22=0,ISNUMBER('Trial Rows'!L22),'Trial Rows'!L22&gt;=0,'Trial Rows'!L22&lt;=4),1,0)</x:f>
        <x:v>0</x:v>
      </x:c>
      <x:c r="I22" s="2" t="n">
        <x:f>IF(H22=1,IF(E22='Trial Rows'!L22,1,0),0)</x:f>
        <x:v>0</x:v>
      </x:c>
      <x:c r="J22" s="2" t="n">
        <x:f>IF(AND(B22=1,'Trial Rows'!G22="B",'Trial Rows'!P22&gt;0),1,0)</x:f>
        <x:v>0</x:v>
      </x:c>
      <x:c r="K22" s="2" t="n">
        <x:f>IF(AND(B22=1,'Trial Rows'!G22="B",'Trial Rows'!Q22=1),1,0)</x:f>
        <x:v>0</x:v>
      </x:c>
      <x:c r="L22" s="2" t="n">
        <x:f>IF(AND(B22=1,'Trial Rows'!G22="B",'Trial Rows'!R22=1,'Trial Rows'!Q22=0,'Trial Rows'!S22=0),1,0)</x:f>
        <x:v>0</x:v>
      </x:c>
      <x:c r="M22" s="2" t="n">
        <x:f>IF(AND(B22=1,'Trial Rows'!G22="B"),1,0)</x:f>
        <x:v>0</x:v>
      </x:c>
      <x:c r="N22" s="2" t="n">
        <x:f>IF(AND(B22=1,'Trial Rows'!I22=1,COUNTIFS('Trial Rows'!$B$2:$B$201,'Trial Rows'!B22,'Trial Rows'!$C$2:$C$201,'Trial Rows'!C22,'Trial Rows'!$F$2:$F$201,'Trial Rows'!F22,'Trial Rows'!$G$2:$G$201,'Trial Rows'!G22,'Trial Rows'!$Y$2:$Y$201,'Trial Rows'!Y22)=4,COUNTIFS('Trial Rows'!$B$2:$B$201,'Trial Rows'!B22,'Trial Rows'!$C$2:$C$201,'Trial Rows'!C22,'Trial Rows'!$F$2:$F$201,'Trial Rows'!F22,'Trial Rows'!$G$2:$G$201,'Trial Rows'!G22,'Trial Rows'!$Y$2:$Y$201,'Trial Rows'!Y22,'Trial Rows'!$I$2:$I$201,1)=1,COUNTIFS('Trial Rows'!$B$2:$B$201,'Trial Rows'!B22,'Trial Rows'!$C$2:$C$201,'Trial Rows'!C22,'Trial Rows'!$F$2:$F$201,'Trial Rows'!F22,'Trial Rows'!$G$2:$G$201,'Trial Rows'!G22,'Trial Rows'!$Y$2:$Y$201,'Trial Rows'!Y22,'Trial Rows'!$I$2:$I$201,2)=1,COUNTIFS('Trial Rows'!$B$2:$B$201,'Trial Rows'!B22,'Trial Rows'!$C$2:$C$201,'Trial Rows'!C22,'Trial Rows'!$F$2:$F$201,'Trial Rows'!F22,'Trial Rows'!$G$2:$G$201,'Trial Rows'!G22,'Trial Rows'!$Y$2:$Y$201,'Trial Rows'!Y22,'Trial Rows'!$I$2:$I$201,3)=1,COUNTIFS('Trial Rows'!$B$2:$B$201,'Trial Rows'!B22,'Trial Rows'!$C$2:$C$201,'Trial Rows'!C22,'Trial Rows'!$F$2:$F$201,'Trial Rows'!F22,'Trial Rows'!$G$2:$G$201,'Trial Rows'!G22,'Trial Rows'!$Y$2:$Y$201,'Trial Rows'!Y22,'Trial Rows'!$I$2:$I$201,4)=1,COUNTIFS('Trial Rows'!$B$2:$B$201,'Trial Rows'!B22,'Trial Rows'!$C$2:$C$201,'Trial Rows'!C22,'Trial Rows'!$F$2:$F$201,'Trial Rows'!F22,'Trial Rows'!$G$2:$G$201,'Trial Rows'!G22,'Trial Rows'!$Y$2:$Y$201,'Trial Rows'!Y22,'Trial Rows'!$W$2:$W$201,"&lt;&gt;")=4,ISNUMBER('Trial Rows'!U22),COUNTIFS('Trial Rows'!$B$2:$B$201,'Trial Rows'!B22,'Trial Rows'!$C$2:$C$201,'Trial Rows'!C22,'Trial Rows'!$F$2:$F$201,'Trial Rows'!F22,'Trial Rows'!$G$2:$G$201,'Trial Rows'!G22,'Trial Rows'!$Y$2:$Y$201,'Trial Rows'!Y22,'Trial Rows'!$U$2:$U$201,'Trial Rows'!U22)=4,'Trial Rows'!U22&gt;=0),1,0)</x:f>
        <x:v>0</x:v>
      </x:c>
      <x:c r="O22" s="2" t="str">
        <x:f>IF(N22=1,'Trial Rows'!U22/1000,"")</x:f>
      </x:c>
      <x:c r="P22" s="2" t="str">
        <x:f>IF(AND(N22=1,'Trial Rows'!G22="A"),O22,"")</x:f>
      </x:c>
      <x:c r="Q22" s="2" t="str">
        <x:f>IF(AND(N22=1,'Trial Rows'!G22="B"),O22,"")</x:f>
      </x:c>
      <x:c r="R22" s="2" t="str">
        <x:f>IF(AND(N22=1,COUNTIFS('Trial Rows'!$B$2:$B$201,'Trial Rows'!B22,'Trial Rows'!$C$2:$C$201,'Trial Rows'!C22,'Trial Rows'!$F$2:$F$201,'Trial Rows'!F22,'Trial Rows'!$G$2:$G$201,'Trial Rows'!G22,'Trial Rows'!$Y$2:$Y$201,'Trial Rows'!Y22,'Trial Rows'!$N$2:$N$201,"&gt;=0",'Trial Rows'!$N$2:$N$201,"&lt;=4",'Trial Rows'!$N$2:$N$201,"&lt;&gt;")=4),SUMIFS('Trial Rows'!$N$2:$N$201,'Trial Rows'!$B$2:$B$201,'Trial Rows'!B22,'Trial Rows'!$C$2:$C$201,'Trial Rows'!C22,'Trial Rows'!$F$2:$F$201,'Trial Rows'!F22,'Trial Rows'!$G$2:$G$201,'Trial Rows'!G22,'Trial Rows'!$Y$2:$Y$201,'Trial Rows'!Y22,'Trial Rows'!$I$2:$I$201,1)+4-SUMIFS('Trial Rows'!$N$2:$N$201,'Trial Rows'!$B$2:$B$201,'Trial Rows'!B22,'Trial Rows'!$C$2:$C$201,'Trial Rows'!C22,'Trial Rows'!$F$2:$F$201,'Trial Rows'!F22,'Trial Rows'!$G$2:$G$201,'Trial Rows'!G22,'Trial Rows'!$Y$2:$Y$201,'Trial Rows'!Y22,'Trial Rows'!$I$2:$I$201,2)+4-SUMIFS('Trial Rows'!$N$2:$N$201,'Trial Rows'!$B$2:$B$201,'Trial Rows'!B22,'Trial Rows'!$C$2:$C$201,'Trial Rows'!C22,'Trial Rows'!$F$2:$F$201,'Trial Rows'!F22,'Trial Rows'!$G$2:$G$201,'Trial Rows'!G22,'Trial Rows'!$Y$2:$Y$201,'Trial Rows'!Y22,'Trial Rows'!$I$2:$I$201,3)+SUMIFS('Trial Rows'!$N$2:$N$201,'Trial Rows'!$B$2:$B$201,'Trial Rows'!B22,'Trial Rows'!$C$2:$C$201,'Trial Rows'!C22,'Trial Rows'!$F$2:$F$201,'Trial Rows'!F22,'Trial Rows'!$G$2:$G$201,'Trial Rows'!G22,'Trial Rows'!$Y$2:$Y$201,'Trial Rows'!Y22,'Trial Rows'!$I$2:$I$201,4),"")</x:f>
      </x:c>
      <x:c r="S22" s="2" t="n">
        <x:f>IF(AND(B22=1,COUNTIFS('Trial Rows'!$C$2:C22,'Trial Rows'!C22,'Trial Rows'!$F$2:F22,Summary!$B$5,'Trial Rows'!$Y$2:Y22,Summary!$B$4)=1),1,0)</x:f>
        <x:v>0</x:v>
      </x:c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2" t="str">
        <x:f>IF('Trial Rows'!A23="","",'Trial Rows'!F23&amp;"|"&amp;'Trial Rows'!B23&amp;"|"&amp;'Trial Rows'!C23&amp;"|"&amp;'Trial Rows'!I23)</x:f>
      </x:c>
      <x:c r="B23" s="2" t="n">
        <x:f>IF(AND('Trial Rows'!A23&lt;&gt;"",'Trial Rows'!Y23=Summary!$B$4,'Trial Rows'!F23=Summary!$B$5),1,0)</x:f>
        <x:v>0</x:v>
      </x:c>
      <x:c r="C23" s="2" t="n">
        <x:f>IF(B23=1,COUNTIFS('Trial Rows'!$B$2:$B$201,'Trial Rows'!B23,'Trial Rows'!$C$2:$C$201,'Trial Rows'!C23,'Trial Rows'!$F$2:$F$201,'Trial Rows'!F23,'Trial Rows'!$I$2:$I$201,'Trial Rows'!I23,'Trial Rows'!$Y$2:$Y$201,'Trial Rows'!Y23,'Trial Rows'!$G$2:$G$201,"A"),0)</x:f>
        <x:v>0</x:v>
      </x:c>
      <x:c r="D23" s="2" t="n">
        <x:f>IF(B23=1,COUNTIFS('Trial Rows'!$B$2:$B$201,'Trial Rows'!B23,'Trial Rows'!$C$2:$C$201,'Trial Rows'!C23,'Trial Rows'!$F$2:$F$201,'Trial Rows'!F23,'Trial Rows'!$I$2:$I$201,'Trial Rows'!I23,'Trial Rows'!$Y$2:$Y$201,'Trial Rows'!Y23,'Trial Rows'!$G$2:$G$201,"B"),0)</x:f>
        <x:v>0</x:v>
      </x:c>
      <x:c r="E23" s="2" t="str">
        <x:f>IF(AND(C23=1,COUNTIFS('Trial Rows'!$B$2:$B$201,'Trial Rows'!B23,'Trial Rows'!$C$2:$C$201,'Trial Rows'!C23,'Trial Rows'!$F$2:$F$201,'Trial Rows'!F23,'Trial Rows'!$I$2:$I$201,'Trial Rows'!I23,'Trial Rows'!$Y$2:$Y$201,'Trial Rows'!Y23,'Trial Rows'!$G$2:$G$201,"A",'Trial Rows'!$K$2:$K$201,"&gt;=0",'Trial Rows'!$K$2:$K$201,"&lt;=4",'Trial Rows'!$K$2:$K$201,"&lt;&gt;")=1),SUMIFS('Trial Rows'!$K$2:$K$201,'Trial Rows'!$B$2:$B$201,'Trial Rows'!B23,'Trial Rows'!$C$2:$C$201,'Trial Rows'!C23,'Trial Rows'!$F$2:$F$201,'Trial Rows'!F23,'Trial Rows'!$I$2:$I$201,'Trial Rows'!I23,'Trial Rows'!$Y$2:$Y$201,'Trial Rows'!Y23,'Trial Rows'!$G$2:$G$201,"A"),"")</x:f>
      </x:c>
      <x:c r="F23" s="2" t="n">
        <x:f>IF(AND(B23=1,'Trial Rows'!G23="B",C23=1,D23=1,ISNUMBER(E23),ISNUMBER('Trial Rows'!M23),'Trial Rows'!M23&gt;=0,'Trial Rows'!M23&lt;=4,'Trial Rows'!Q23=0,'Trial Rows'!S23=0),1,0)</x:f>
        <x:v>0</x:v>
      </x:c>
      <x:c r="G23" s="2" t="n">
        <x:f>IF(F23=1,IF(E23='Trial Rows'!M23,1,0),0)</x:f>
        <x:v>0</x:v>
      </x:c>
      <x:c r="H23" s="2" t="n">
        <x:f>IF(AND(B23=1,'Trial Rows'!G23="B",C23=1,D23=1,ISNUMBER(E23),'Trial Rows'!R23=1,'Trial Rows'!Q23=0,'Trial Rows'!S23=0,ISNUMBER('Trial Rows'!L23),'Trial Rows'!L23&gt;=0,'Trial Rows'!L23&lt;=4),1,0)</x:f>
        <x:v>0</x:v>
      </x:c>
      <x:c r="I23" s="2" t="n">
        <x:f>IF(H23=1,IF(E23='Trial Rows'!L23,1,0),0)</x:f>
        <x:v>0</x:v>
      </x:c>
      <x:c r="J23" s="2" t="n">
        <x:f>IF(AND(B23=1,'Trial Rows'!G23="B",'Trial Rows'!P23&gt;0),1,0)</x:f>
        <x:v>0</x:v>
      </x:c>
      <x:c r="K23" s="2" t="n">
        <x:f>IF(AND(B23=1,'Trial Rows'!G23="B",'Trial Rows'!Q23=1),1,0)</x:f>
        <x:v>0</x:v>
      </x:c>
      <x:c r="L23" s="2" t="n">
        <x:f>IF(AND(B23=1,'Trial Rows'!G23="B",'Trial Rows'!R23=1,'Trial Rows'!Q23=0,'Trial Rows'!S23=0),1,0)</x:f>
        <x:v>0</x:v>
      </x:c>
      <x:c r="M23" s="2" t="n">
        <x:f>IF(AND(B23=1,'Trial Rows'!G23="B"),1,0)</x:f>
        <x:v>0</x:v>
      </x:c>
      <x:c r="N23" s="2" t="n">
        <x:f>IF(AND(B23=1,'Trial Rows'!I23=1,COUNTIFS('Trial Rows'!$B$2:$B$201,'Trial Rows'!B23,'Trial Rows'!$C$2:$C$201,'Trial Rows'!C23,'Trial Rows'!$F$2:$F$201,'Trial Rows'!F23,'Trial Rows'!$G$2:$G$201,'Trial Rows'!G23,'Trial Rows'!$Y$2:$Y$201,'Trial Rows'!Y23)=4,COUNTIFS('Trial Rows'!$B$2:$B$201,'Trial Rows'!B23,'Trial Rows'!$C$2:$C$201,'Trial Rows'!C23,'Trial Rows'!$F$2:$F$201,'Trial Rows'!F23,'Trial Rows'!$G$2:$G$201,'Trial Rows'!G23,'Trial Rows'!$Y$2:$Y$201,'Trial Rows'!Y23,'Trial Rows'!$I$2:$I$201,1)=1,COUNTIFS('Trial Rows'!$B$2:$B$201,'Trial Rows'!B23,'Trial Rows'!$C$2:$C$201,'Trial Rows'!C23,'Trial Rows'!$F$2:$F$201,'Trial Rows'!F23,'Trial Rows'!$G$2:$G$201,'Trial Rows'!G23,'Trial Rows'!$Y$2:$Y$201,'Trial Rows'!Y23,'Trial Rows'!$I$2:$I$201,2)=1,COUNTIFS('Trial Rows'!$B$2:$B$201,'Trial Rows'!B23,'Trial Rows'!$C$2:$C$201,'Trial Rows'!C23,'Trial Rows'!$F$2:$F$201,'Trial Rows'!F23,'Trial Rows'!$G$2:$G$201,'Trial Rows'!G23,'Trial Rows'!$Y$2:$Y$201,'Trial Rows'!Y23,'Trial Rows'!$I$2:$I$201,3)=1,COUNTIFS('Trial Rows'!$B$2:$B$201,'Trial Rows'!B23,'Trial Rows'!$C$2:$C$201,'Trial Rows'!C23,'Trial Rows'!$F$2:$F$201,'Trial Rows'!F23,'Trial Rows'!$G$2:$G$201,'Trial Rows'!G23,'Trial Rows'!$Y$2:$Y$201,'Trial Rows'!Y23,'Trial Rows'!$I$2:$I$201,4)=1,COUNTIFS('Trial Rows'!$B$2:$B$201,'Trial Rows'!B23,'Trial Rows'!$C$2:$C$201,'Trial Rows'!C23,'Trial Rows'!$F$2:$F$201,'Trial Rows'!F23,'Trial Rows'!$G$2:$G$201,'Trial Rows'!G23,'Trial Rows'!$Y$2:$Y$201,'Trial Rows'!Y23,'Trial Rows'!$W$2:$W$201,"&lt;&gt;")=4,ISNUMBER('Trial Rows'!U23),COUNTIFS('Trial Rows'!$B$2:$B$201,'Trial Rows'!B23,'Trial Rows'!$C$2:$C$201,'Trial Rows'!C23,'Trial Rows'!$F$2:$F$201,'Trial Rows'!F23,'Trial Rows'!$G$2:$G$201,'Trial Rows'!G23,'Trial Rows'!$Y$2:$Y$201,'Trial Rows'!Y23,'Trial Rows'!$U$2:$U$201,'Trial Rows'!U23)=4,'Trial Rows'!U23&gt;=0),1,0)</x:f>
        <x:v>0</x:v>
      </x:c>
      <x:c r="O23" s="2" t="str">
        <x:f>IF(N23=1,'Trial Rows'!U23/1000,"")</x:f>
      </x:c>
      <x:c r="P23" s="2" t="str">
        <x:f>IF(AND(N23=1,'Trial Rows'!G23="A"),O23,"")</x:f>
      </x:c>
      <x:c r="Q23" s="2" t="str">
        <x:f>IF(AND(N23=1,'Trial Rows'!G23="B"),O23,"")</x:f>
      </x:c>
      <x:c r="R23" s="2" t="str">
        <x:f>IF(AND(N23=1,COUNTIFS('Trial Rows'!$B$2:$B$201,'Trial Rows'!B23,'Trial Rows'!$C$2:$C$201,'Trial Rows'!C23,'Trial Rows'!$F$2:$F$201,'Trial Rows'!F23,'Trial Rows'!$G$2:$G$201,'Trial Rows'!G23,'Trial Rows'!$Y$2:$Y$201,'Trial Rows'!Y23,'Trial Rows'!$N$2:$N$201,"&gt;=0",'Trial Rows'!$N$2:$N$201,"&lt;=4",'Trial Rows'!$N$2:$N$201,"&lt;&gt;")=4),SUMIFS('Trial Rows'!$N$2:$N$201,'Trial Rows'!$B$2:$B$201,'Trial Rows'!B23,'Trial Rows'!$C$2:$C$201,'Trial Rows'!C23,'Trial Rows'!$F$2:$F$201,'Trial Rows'!F23,'Trial Rows'!$G$2:$G$201,'Trial Rows'!G23,'Trial Rows'!$Y$2:$Y$201,'Trial Rows'!Y23,'Trial Rows'!$I$2:$I$201,1)+4-SUMIFS('Trial Rows'!$N$2:$N$201,'Trial Rows'!$B$2:$B$201,'Trial Rows'!B23,'Trial Rows'!$C$2:$C$201,'Trial Rows'!C23,'Trial Rows'!$F$2:$F$201,'Trial Rows'!F23,'Trial Rows'!$G$2:$G$201,'Trial Rows'!G23,'Trial Rows'!$Y$2:$Y$201,'Trial Rows'!Y23,'Trial Rows'!$I$2:$I$201,2)+4-SUMIFS('Trial Rows'!$N$2:$N$201,'Trial Rows'!$B$2:$B$201,'Trial Rows'!B23,'Trial Rows'!$C$2:$C$201,'Trial Rows'!C23,'Trial Rows'!$F$2:$F$201,'Trial Rows'!F23,'Trial Rows'!$G$2:$G$201,'Trial Rows'!G23,'Trial Rows'!$Y$2:$Y$201,'Trial Rows'!Y23,'Trial Rows'!$I$2:$I$201,3)+SUMIFS('Trial Rows'!$N$2:$N$201,'Trial Rows'!$B$2:$B$201,'Trial Rows'!B23,'Trial Rows'!$C$2:$C$201,'Trial Rows'!C23,'Trial Rows'!$F$2:$F$201,'Trial Rows'!F23,'Trial Rows'!$G$2:$G$201,'Trial Rows'!G23,'Trial Rows'!$Y$2:$Y$201,'Trial Rows'!Y23,'Trial Rows'!$I$2:$I$201,4),"")</x:f>
      </x:c>
      <x:c r="S23" s="2" t="n">
        <x:f>IF(AND(B23=1,COUNTIFS('Trial Rows'!$C$2:C23,'Trial Rows'!C23,'Trial Rows'!$F$2:F23,Summary!$B$5,'Trial Rows'!$Y$2:Y23,Summary!$B$4)=1),1,0)</x:f>
        <x:v>0</x:v>
      </x:c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A24" s="2" t="str">
        <x:f>IF('Trial Rows'!A24="","",'Trial Rows'!F24&amp;"|"&amp;'Trial Rows'!B24&amp;"|"&amp;'Trial Rows'!C24&amp;"|"&amp;'Trial Rows'!I24)</x:f>
      </x:c>
      <x:c r="B24" s="2" t="n">
        <x:f>IF(AND('Trial Rows'!A24&lt;&gt;"",'Trial Rows'!Y24=Summary!$B$4,'Trial Rows'!F24=Summary!$B$5),1,0)</x:f>
        <x:v>0</x:v>
      </x:c>
      <x:c r="C24" s="2" t="n">
        <x:f>IF(B24=1,COUNTIFS('Trial Rows'!$B$2:$B$201,'Trial Rows'!B24,'Trial Rows'!$C$2:$C$201,'Trial Rows'!C24,'Trial Rows'!$F$2:$F$201,'Trial Rows'!F24,'Trial Rows'!$I$2:$I$201,'Trial Rows'!I24,'Trial Rows'!$Y$2:$Y$201,'Trial Rows'!Y24,'Trial Rows'!$G$2:$G$201,"A"),0)</x:f>
        <x:v>0</x:v>
      </x:c>
      <x:c r="D24" s="2" t="n">
        <x:f>IF(B24=1,COUNTIFS('Trial Rows'!$B$2:$B$201,'Trial Rows'!B24,'Trial Rows'!$C$2:$C$201,'Trial Rows'!C24,'Trial Rows'!$F$2:$F$201,'Trial Rows'!F24,'Trial Rows'!$I$2:$I$201,'Trial Rows'!I24,'Trial Rows'!$Y$2:$Y$201,'Trial Rows'!Y24,'Trial Rows'!$G$2:$G$201,"B"),0)</x:f>
        <x:v>0</x:v>
      </x:c>
      <x:c r="E24" s="2" t="str">
        <x:f>IF(AND(C24=1,COUNTIFS('Trial Rows'!$B$2:$B$201,'Trial Rows'!B24,'Trial Rows'!$C$2:$C$201,'Trial Rows'!C24,'Trial Rows'!$F$2:$F$201,'Trial Rows'!F24,'Trial Rows'!$I$2:$I$201,'Trial Rows'!I24,'Trial Rows'!$Y$2:$Y$201,'Trial Rows'!Y24,'Trial Rows'!$G$2:$G$201,"A",'Trial Rows'!$K$2:$K$201,"&gt;=0",'Trial Rows'!$K$2:$K$201,"&lt;=4",'Trial Rows'!$K$2:$K$201,"&lt;&gt;")=1),SUMIFS('Trial Rows'!$K$2:$K$201,'Trial Rows'!$B$2:$B$201,'Trial Rows'!B24,'Trial Rows'!$C$2:$C$201,'Trial Rows'!C24,'Trial Rows'!$F$2:$F$201,'Trial Rows'!F24,'Trial Rows'!$I$2:$I$201,'Trial Rows'!I24,'Trial Rows'!$Y$2:$Y$201,'Trial Rows'!Y24,'Trial Rows'!$G$2:$G$201,"A"),"")</x:f>
      </x:c>
      <x:c r="F24" s="2" t="n">
        <x:f>IF(AND(B24=1,'Trial Rows'!G24="B",C24=1,D24=1,ISNUMBER(E24),ISNUMBER('Trial Rows'!M24),'Trial Rows'!M24&gt;=0,'Trial Rows'!M24&lt;=4,'Trial Rows'!Q24=0,'Trial Rows'!S24=0),1,0)</x:f>
        <x:v>0</x:v>
      </x:c>
      <x:c r="G24" s="2" t="n">
        <x:f>IF(F24=1,IF(E24='Trial Rows'!M24,1,0),0)</x:f>
        <x:v>0</x:v>
      </x:c>
      <x:c r="H24" s="2" t="n">
        <x:f>IF(AND(B24=1,'Trial Rows'!G24="B",C24=1,D24=1,ISNUMBER(E24),'Trial Rows'!R24=1,'Trial Rows'!Q24=0,'Trial Rows'!S24=0,ISNUMBER('Trial Rows'!L24),'Trial Rows'!L24&gt;=0,'Trial Rows'!L24&lt;=4),1,0)</x:f>
        <x:v>0</x:v>
      </x:c>
      <x:c r="I24" s="2" t="n">
        <x:f>IF(H24=1,IF(E24='Trial Rows'!L24,1,0),0)</x:f>
        <x:v>0</x:v>
      </x:c>
      <x:c r="J24" s="2" t="n">
        <x:f>IF(AND(B24=1,'Trial Rows'!G24="B",'Trial Rows'!P24&gt;0),1,0)</x:f>
        <x:v>0</x:v>
      </x:c>
      <x:c r="K24" s="2" t="n">
        <x:f>IF(AND(B24=1,'Trial Rows'!G24="B",'Trial Rows'!Q24=1),1,0)</x:f>
        <x:v>0</x:v>
      </x:c>
      <x:c r="L24" s="2" t="n">
        <x:f>IF(AND(B24=1,'Trial Rows'!G24="B",'Trial Rows'!R24=1,'Trial Rows'!Q24=0,'Trial Rows'!S24=0),1,0)</x:f>
        <x:v>0</x:v>
      </x:c>
      <x:c r="M24" s="2" t="n">
        <x:f>IF(AND(B24=1,'Trial Rows'!G24="B"),1,0)</x:f>
        <x:v>0</x:v>
      </x:c>
      <x:c r="N24" s="2" t="n">
        <x:f>IF(AND(B24=1,'Trial Rows'!I24=1,COUNTIFS('Trial Rows'!$B$2:$B$201,'Trial Rows'!B24,'Trial Rows'!$C$2:$C$201,'Trial Rows'!C24,'Trial Rows'!$F$2:$F$201,'Trial Rows'!F24,'Trial Rows'!$G$2:$G$201,'Trial Rows'!G24,'Trial Rows'!$Y$2:$Y$201,'Trial Rows'!Y24)=4,COUNTIFS('Trial Rows'!$B$2:$B$201,'Trial Rows'!B24,'Trial Rows'!$C$2:$C$201,'Trial Rows'!C24,'Trial Rows'!$F$2:$F$201,'Trial Rows'!F24,'Trial Rows'!$G$2:$G$201,'Trial Rows'!G24,'Trial Rows'!$Y$2:$Y$201,'Trial Rows'!Y24,'Trial Rows'!$I$2:$I$201,1)=1,COUNTIFS('Trial Rows'!$B$2:$B$201,'Trial Rows'!B24,'Trial Rows'!$C$2:$C$201,'Trial Rows'!C24,'Trial Rows'!$F$2:$F$201,'Trial Rows'!F24,'Trial Rows'!$G$2:$G$201,'Trial Rows'!G24,'Trial Rows'!$Y$2:$Y$201,'Trial Rows'!Y24,'Trial Rows'!$I$2:$I$201,2)=1,COUNTIFS('Trial Rows'!$B$2:$B$201,'Trial Rows'!B24,'Trial Rows'!$C$2:$C$201,'Trial Rows'!C24,'Trial Rows'!$F$2:$F$201,'Trial Rows'!F24,'Trial Rows'!$G$2:$G$201,'Trial Rows'!G24,'Trial Rows'!$Y$2:$Y$201,'Trial Rows'!Y24,'Trial Rows'!$I$2:$I$201,3)=1,COUNTIFS('Trial Rows'!$B$2:$B$201,'Trial Rows'!B24,'Trial Rows'!$C$2:$C$201,'Trial Rows'!C24,'Trial Rows'!$F$2:$F$201,'Trial Rows'!F24,'Trial Rows'!$G$2:$G$201,'Trial Rows'!G24,'Trial Rows'!$Y$2:$Y$201,'Trial Rows'!Y24,'Trial Rows'!$I$2:$I$201,4)=1,COUNTIFS('Trial Rows'!$B$2:$B$201,'Trial Rows'!B24,'Trial Rows'!$C$2:$C$201,'Trial Rows'!C24,'Trial Rows'!$F$2:$F$201,'Trial Rows'!F24,'Trial Rows'!$G$2:$G$201,'Trial Rows'!G24,'Trial Rows'!$Y$2:$Y$201,'Trial Rows'!Y24,'Trial Rows'!$W$2:$W$201,"&lt;&gt;")=4,ISNUMBER('Trial Rows'!U24),COUNTIFS('Trial Rows'!$B$2:$B$201,'Trial Rows'!B24,'Trial Rows'!$C$2:$C$201,'Trial Rows'!C24,'Trial Rows'!$F$2:$F$201,'Trial Rows'!F24,'Trial Rows'!$G$2:$G$201,'Trial Rows'!G24,'Trial Rows'!$Y$2:$Y$201,'Trial Rows'!Y24,'Trial Rows'!$U$2:$U$201,'Trial Rows'!U24)=4,'Trial Rows'!U24&gt;=0),1,0)</x:f>
        <x:v>0</x:v>
      </x:c>
      <x:c r="O24" s="2" t="str">
        <x:f>IF(N24=1,'Trial Rows'!U24/1000,"")</x:f>
      </x:c>
      <x:c r="P24" s="2" t="str">
        <x:f>IF(AND(N24=1,'Trial Rows'!G24="A"),O24,"")</x:f>
      </x:c>
      <x:c r="Q24" s="2" t="str">
        <x:f>IF(AND(N24=1,'Trial Rows'!G24="B"),O24,"")</x:f>
      </x:c>
      <x:c r="R24" s="2" t="str">
        <x:f>IF(AND(N24=1,COUNTIFS('Trial Rows'!$B$2:$B$201,'Trial Rows'!B24,'Trial Rows'!$C$2:$C$201,'Trial Rows'!C24,'Trial Rows'!$F$2:$F$201,'Trial Rows'!F24,'Trial Rows'!$G$2:$G$201,'Trial Rows'!G24,'Trial Rows'!$Y$2:$Y$201,'Trial Rows'!Y24,'Trial Rows'!$N$2:$N$201,"&gt;=0",'Trial Rows'!$N$2:$N$201,"&lt;=4",'Trial Rows'!$N$2:$N$201,"&lt;&gt;")=4),SUMIFS('Trial Rows'!$N$2:$N$201,'Trial Rows'!$B$2:$B$201,'Trial Rows'!B24,'Trial Rows'!$C$2:$C$201,'Trial Rows'!C24,'Trial Rows'!$F$2:$F$201,'Trial Rows'!F24,'Trial Rows'!$G$2:$G$201,'Trial Rows'!G24,'Trial Rows'!$Y$2:$Y$201,'Trial Rows'!Y24,'Trial Rows'!$I$2:$I$201,1)+4-SUMIFS('Trial Rows'!$N$2:$N$201,'Trial Rows'!$B$2:$B$201,'Trial Rows'!B24,'Trial Rows'!$C$2:$C$201,'Trial Rows'!C24,'Trial Rows'!$F$2:$F$201,'Trial Rows'!F24,'Trial Rows'!$G$2:$G$201,'Trial Rows'!G24,'Trial Rows'!$Y$2:$Y$201,'Trial Rows'!Y24,'Trial Rows'!$I$2:$I$201,2)+4-SUMIFS('Trial Rows'!$N$2:$N$201,'Trial Rows'!$B$2:$B$201,'Trial Rows'!B24,'Trial Rows'!$C$2:$C$201,'Trial Rows'!C24,'Trial Rows'!$F$2:$F$201,'Trial Rows'!F24,'Trial Rows'!$G$2:$G$201,'Trial Rows'!G24,'Trial Rows'!$Y$2:$Y$201,'Trial Rows'!Y24,'Trial Rows'!$I$2:$I$201,3)+SUMIFS('Trial Rows'!$N$2:$N$201,'Trial Rows'!$B$2:$B$201,'Trial Rows'!B24,'Trial Rows'!$C$2:$C$201,'Trial Rows'!C24,'Trial Rows'!$F$2:$F$201,'Trial Rows'!F24,'Trial Rows'!$G$2:$G$201,'Trial Rows'!G24,'Trial Rows'!$Y$2:$Y$201,'Trial Rows'!Y24,'Trial Rows'!$I$2:$I$201,4),"")</x:f>
      </x:c>
      <x:c r="S24" s="2" t="n">
        <x:f>IF(AND(B24=1,COUNTIFS('Trial Rows'!$C$2:C24,'Trial Rows'!C24,'Trial Rows'!$F$2:F24,Summary!$B$5,'Trial Rows'!$Y$2:Y24,Summary!$B$4)=1),1,0)</x:f>
        <x:v>0</x:v>
      </x:c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A25" s="2" t="str">
        <x:f>IF('Trial Rows'!A25="","",'Trial Rows'!F25&amp;"|"&amp;'Trial Rows'!B25&amp;"|"&amp;'Trial Rows'!C25&amp;"|"&amp;'Trial Rows'!I25)</x:f>
      </x:c>
      <x:c r="B25" s="2" t="n">
        <x:f>IF(AND('Trial Rows'!A25&lt;&gt;"",'Trial Rows'!Y25=Summary!$B$4,'Trial Rows'!F25=Summary!$B$5),1,0)</x:f>
        <x:v>0</x:v>
      </x:c>
      <x:c r="C25" s="2" t="n">
        <x:f>IF(B25=1,COUNTIFS('Trial Rows'!$B$2:$B$201,'Trial Rows'!B25,'Trial Rows'!$C$2:$C$201,'Trial Rows'!C25,'Trial Rows'!$F$2:$F$201,'Trial Rows'!F25,'Trial Rows'!$I$2:$I$201,'Trial Rows'!I25,'Trial Rows'!$Y$2:$Y$201,'Trial Rows'!Y25,'Trial Rows'!$G$2:$G$201,"A"),0)</x:f>
        <x:v>0</x:v>
      </x:c>
      <x:c r="D25" s="2" t="n">
        <x:f>IF(B25=1,COUNTIFS('Trial Rows'!$B$2:$B$201,'Trial Rows'!B25,'Trial Rows'!$C$2:$C$201,'Trial Rows'!C25,'Trial Rows'!$F$2:$F$201,'Trial Rows'!F25,'Trial Rows'!$I$2:$I$201,'Trial Rows'!I25,'Trial Rows'!$Y$2:$Y$201,'Trial Rows'!Y25,'Trial Rows'!$G$2:$G$201,"B"),0)</x:f>
        <x:v>0</x:v>
      </x:c>
      <x:c r="E25" s="2" t="str">
        <x:f>IF(AND(C25=1,COUNTIFS('Trial Rows'!$B$2:$B$201,'Trial Rows'!B25,'Trial Rows'!$C$2:$C$201,'Trial Rows'!C25,'Trial Rows'!$F$2:$F$201,'Trial Rows'!F25,'Trial Rows'!$I$2:$I$201,'Trial Rows'!I25,'Trial Rows'!$Y$2:$Y$201,'Trial Rows'!Y25,'Trial Rows'!$G$2:$G$201,"A",'Trial Rows'!$K$2:$K$201,"&gt;=0",'Trial Rows'!$K$2:$K$201,"&lt;=4",'Trial Rows'!$K$2:$K$201,"&lt;&gt;")=1),SUMIFS('Trial Rows'!$K$2:$K$201,'Trial Rows'!$B$2:$B$201,'Trial Rows'!B25,'Trial Rows'!$C$2:$C$201,'Trial Rows'!C25,'Trial Rows'!$F$2:$F$201,'Trial Rows'!F25,'Trial Rows'!$I$2:$I$201,'Trial Rows'!I25,'Trial Rows'!$Y$2:$Y$201,'Trial Rows'!Y25,'Trial Rows'!$G$2:$G$201,"A"),"")</x:f>
      </x:c>
      <x:c r="F25" s="2" t="n">
        <x:f>IF(AND(B25=1,'Trial Rows'!G25="B",C25=1,D25=1,ISNUMBER(E25),ISNUMBER('Trial Rows'!M25),'Trial Rows'!M25&gt;=0,'Trial Rows'!M25&lt;=4,'Trial Rows'!Q25=0,'Trial Rows'!S25=0),1,0)</x:f>
        <x:v>0</x:v>
      </x:c>
      <x:c r="G25" s="2" t="n">
        <x:f>IF(F25=1,IF(E25='Trial Rows'!M25,1,0),0)</x:f>
        <x:v>0</x:v>
      </x:c>
      <x:c r="H25" s="2" t="n">
        <x:f>IF(AND(B25=1,'Trial Rows'!G25="B",C25=1,D25=1,ISNUMBER(E25),'Trial Rows'!R25=1,'Trial Rows'!Q25=0,'Trial Rows'!S25=0,ISNUMBER('Trial Rows'!L25),'Trial Rows'!L25&gt;=0,'Trial Rows'!L25&lt;=4),1,0)</x:f>
        <x:v>0</x:v>
      </x:c>
      <x:c r="I25" s="2" t="n">
        <x:f>IF(H25=1,IF(E25='Trial Rows'!L25,1,0),0)</x:f>
        <x:v>0</x:v>
      </x:c>
      <x:c r="J25" s="2" t="n">
        <x:f>IF(AND(B25=1,'Trial Rows'!G25="B",'Trial Rows'!P25&gt;0),1,0)</x:f>
        <x:v>0</x:v>
      </x:c>
      <x:c r="K25" s="2" t="n">
        <x:f>IF(AND(B25=1,'Trial Rows'!G25="B",'Trial Rows'!Q25=1),1,0)</x:f>
        <x:v>0</x:v>
      </x:c>
      <x:c r="L25" s="2" t="n">
        <x:f>IF(AND(B25=1,'Trial Rows'!G25="B",'Trial Rows'!R25=1,'Trial Rows'!Q25=0,'Trial Rows'!S25=0),1,0)</x:f>
        <x:v>0</x:v>
      </x:c>
      <x:c r="M25" s="2" t="n">
        <x:f>IF(AND(B25=1,'Trial Rows'!G25="B"),1,0)</x:f>
        <x:v>0</x:v>
      </x:c>
      <x:c r="N25" s="2" t="n">
        <x:f>IF(AND(B25=1,'Trial Rows'!I25=1,COUNTIFS('Trial Rows'!$B$2:$B$201,'Trial Rows'!B25,'Trial Rows'!$C$2:$C$201,'Trial Rows'!C25,'Trial Rows'!$F$2:$F$201,'Trial Rows'!F25,'Trial Rows'!$G$2:$G$201,'Trial Rows'!G25,'Trial Rows'!$Y$2:$Y$201,'Trial Rows'!Y25)=4,COUNTIFS('Trial Rows'!$B$2:$B$201,'Trial Rows'!B25,'Trial Rows'!$C$2:$C$201,'Trial Rows'!C25,'Trial Rows'!$F$2:$F$201,'Trial Rows'!F25,'Trial Rows'!$G$2:$G$201,'Trial Rows'!G25,'Trial Rows'!$Y$2:$Y$201,'Trial Rows'!Y25,'Trial Rows'!$I$2:$I$201,1)=1,COUNTIFS('Trial Rows'!$B$2:$B$201,'Trial Rows'!B25,'Trial Rows'!$C$2:$C$201,'Trial Rows'!C25,'Trial Rows'!$F$2:$F$201,'Trial Rows'!F25,'Trial Rows'!$G$2:$G$201,'Trial Rows'!G25,'Trial Rows'!$Y$2:$Y$201,'Trial Rows'!Y25,'Trial Rows'!$I$2:$I$201,2)=1,COUNTIFS('Trial Rows'!$B$2:$B$201,'Trial Rows'!B25,'Trial Rows'!$C$2:$C$201,'Trial Rows'!C25,'Trial Rows'!$F$2:$F$201,'Trial Rows'!F25,'Trial Rows'!$G$2:$G$201,'Trial Rows'!G25,'Trial Rows'!$Y$2:$Y$201,'Trial Rows'!Y25,'Trial Rows'!$I$2:$I$201,3)=1,COUNTIFS('Trial Rows'!$B$2:$B$201,'Trial Rows'!B25,'Trial Rows'!$C$2:$C$201,'Trial Rows'!C25,'Trial Rows'!$F$2:$F$201,'Trial Rows'!F25,'Trial Rows'!$G$2:$G$201,'Trial Rows'!G25,'Trial Rows'!$Y$2:$Y$201,'Trial Rows'!Y25,'Trial Rows'!$I$2:$I$201,4)=1,COUNTIFS('Trial Rows'!$B$2:$B$201,'Trial Rows'!B25,'Trial Rows'!$C$2:$C$201,'Trial Rows'!C25,'Trial Rows'!$F$2:$F$201,'Trial Rows'!F25,'Trial Rows'!$G$2:$G$201,'Trial Rows'!G25,'Trial Rows'!$Y$2:$Y$201,'Trial Rows'!Y25,'Trial Rows'!$W$2:$W$201,"&lt;&gt;")=4,ISNUMBER('Trial Rows'!U25),COUNTIFS('Trial Rows'!$B$2:$B$201,'Trial Rows'!B25,'Trial Rows'!$C$2:$C$201,'Trial Rows'!C25,'Trial Rows'!$F$2:$F$201,'Trial Rows'!F25,'Trial Rows'!$G$2:$G$201,'Trial Rows'!G25,'Trial Rows'!$Y$2:$Y$201,'Trial Rows'!Y25,'Trial Rows'!$U$2:$U$201,'Trial Rows'!U25)=4,'Trial Rows'!U25&gt;=0),1,0)</x:f>
        <x:v>0</x:v>
      </x:c>
      <x:c r="O25" s="2" t="str">
        <x:f>IF(N25=1,'Trial Rows'!U25/1000,"")</x:f>
      </x:c>
      <x:c r="P25" s="2" t="str">
        <x:f>IF(AND(N25=1,'Trial Rows'!G25="A"),O25,"")</x:f>
      </x:c>
      <x:c r="Q25" s="2" t="str">
        <x:f>IF(AND(N25=1,'Trial Rows'!G25="B"),O25,"")</x:f>
      </x:c>
      <x:c r="R25" s="2" t="str">
        <x:f>IF(AND(N25=1,COUNTIFS('Trial Rows'!$B$2:$B$201,'Trial Rows'!B25,'Trial Rows'!$C$2:$C$201,'Trial Rows'!C25,'Trial Rows'!$F$2:$F$201,'Trial Rows'!F25,'Trial Rows'!$G$2:$G$201,'Trial Rows'!G25,'Trial Rows'!$Y$2:$Y$201,'Trial Rows'!Y25,'Trial Rows'!$N$2:$N$201,"&gt;=0",'Trial Rows'!$N$2:$N$201,"&lt;=4",'Trial Rows'!$N$2:$N$201,"&lt;&gt;")=4),SUMIFS('Trial Rows'!$N$2:$N$201,'Trial Rows'!$B$2:$B$201,'Trial Rows'!B25,'Trial Rows'!$C$2:$C$201,'Trial Rows'!C25,'Trial Rows'!$F$2:$F$201,'Trial Rows'!F25,'Trial Rows'!$G$2:$G$201,'Trial Rows'!G25,'Trial Rows'!$Y$2:$Y$201,'Trial Rows'!Y25,'Trial Rows'!$I$2:$I$201,1)+4-SUMIFS('Trial Rows'!$N$2:$N$201,'Trial Rows'!$B$2:$B$201,'Trial Rows'!B25,'Trial Rows'!$C$2:$C$201,'Trial Rows'!C25,'Trial Rows'!$F$2:$F$201,'Trial Rows'!F25,'Trial Rows'!$G$2:$G$201,'Trial Rows'!G25,'Trial Rows'!$Y$2:$Y$201,'Trial Rows'!Y25,'Trial Rows'!$I$2:$I$201,2)+4-SUMIFS('Trial Rows'!$N$2:$N$201,'Trial Rows'!$B$2:$B$201,'Trial Rows'!B25,'Trial Rows'!$C$2:$C$201,'Trial Rows'!C25,'Trial Rows'!$F$2:$F$201,'Trial Rows'!F25,'Trial Rows'!$G$2:$G$201,'Trial Rows'!G25,'Trial Rows'!$Y$2:$Y$201,'Trial Rows'!Y25,'Trial Rows'!$I$2:$I$201,3)+SUMIFS('Trial Rows'!$N$2:$N$201,'Trial Rows'!$B$2:$B$201,'Trial Rows'!B25,'Trial Rows'!$C$2:$C$201,'Trial Rows'!C25,'Trial Rows'!$F$2:$F$201,'Trial Rows'!F25,'Trial Rows'!$G$2:$G$201,'Trial Rows'!G25,'Trial Rows'!$Y$2:$Y$201,'Trial Rows'!Y25,'Trial Rows'!$I$2:$I$201,4),"")</x:f>
      </x:c>
      <x:c r="S25" s="2" t="n">
        <x:f>IF(AND(B25=1,COUNTIFS('Trial Rows'!$C$2:C25,'Trial Rows'!C25,'Trial Rows'!$F$2:F25,Summary!$B$5,'Trial Rows'!$Y$2:Y25,Summary!$B$4)=1),1,0)</x:f>
        <x:v>0</x:v>
      </x:c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A26" s="2" t="str">
        <x:f>IF('Trial Rows'!A26="","",'Trial Rows'!F26&amp;"|"&amp;'Trial Rows'!B26&amp;"|"&amp;'Trial Rows'!C26&amp;"|"&amp;'Trial Rows'!I26)</x:f>
      </x:c>
      <x:c r="B26" s="2" t="n">
        <x:f>IF(AND('Trial Rows'!A26&lt;&gt;"",'Trial Rows'!Y26=Summary!$B$4,'Trial Rows'!F26=Summary!$B$5),1,0)</x:f>
        <x:v>0</x:v>
      </x:c>
      <x:c r="C26" s="2" t="n">
        <x:f>IF(B26=1,COUNTIFS('Trial Rows'!$B$2:$B$201,'Trial Rows'!B26,'Trial Rows'!$C$2:$C$201,'Trial Rows'!C26,'Trial Rows'!$F$2:$F$201,'Trial Rows'!F26,'Trial Rows'!$I$2:$I$201,'Trial Rows'!I26,'Trial Rows'!$Y$2:$Y$201,'Trial Rows'!Y26,'Trial Rows'!$G$2:$G$201,"A"),0)</x:f>
        <x:v>0</x:v>
      </x:c>
      <x:c r="D26" s="2" t="n">
        <x:f>IF(B26=1,COUNTIFS('Trial Rows'!$B$2:$B$201,'Trial Rows'!B26,'Trial Rows'!$C$2:$C$201,'Trial Rows'!C26,'Trial Rows'!$F$2:$F$201,'Trial Rows'!F26,'Trial Rows'!$I$2:$I$201,'Trial Rows'!I26,'Trial Rows'!$Y$2:$Y$201,'Trial Rows'!Y26,'Trial Rows'!$G$2:$G$201,"B"),0)</x:f>
        <x:v>0</x:v>
      </x:c>
      <x:c r="E26" s="2" t="str">
        <x:f>IF(AND(C26=1,COUNTIFS('Trial Rows'!$B$2:$B$201,'Trial Rows'!B26,'Trial Rows'!$C$2:$C$201,'Trial Rows'!C26,'Trial Rows'!$F$2:$F$201,'Trial Rows'!F26,'Trial Rows'!$I$2:$I$201,'Trial Rows'!I26,'Trial Rows'!$Y$2:$Y$201,'Trial Rows'!Y26,'Trial Rows'!$G$2:$G$201,"A",'Trial Rows'!$K$2:$K$201,"&gt;=0",'Trial Rows'!$K$2:$K$201,"&lt;=4",'Trial Rows'!$K$2:$K$201,"&lt;&gt;")=1),SUMIFS('Trial Rows'!$K$2:$K$201,'Trial Rows'!$B$2:$B$201,'Trial Rows'!B26,'Trial Rows'!$C$2:$C$201,'Trial Rows'!C26,'Trial Rows'!$F$2:$F$201,'Trial Rows'!F26,'Trial Rows'!$I$2:$I$201,'Trial Rows'!I26,'Trial Rows'!$Y$2:$Y$201,'Trial Rows'!Y26,'Trial Rows'!$G$2:$G$201,"A"),"")</x:f>
      </x:c>
      <x:c r="F26" s="2" t="n">
        <x:f>IF(AND(B26=1,'Trial Rows'!G26="B",C26=1,D26=1,ISNUMBER(E26),ISNUMBER('Trial Rows'!M26),'Trial Rows'!M26&gt;=0,'Trial Rows'!M26&lt;=4,'Trial Rows'!Q26=0,'Trial Rows'!S26=0),1,0)</x:f>
        <x:v>0</x:v>
      </x:c>
      <x:c r="G26" s="2" t="n">
        <x:f>IF(F26=1,IF(E26='Trial Rows'!M26,1,0),0)</x:f>
        <x:v>0</x:v>
      </x:c>
      <x:c r="H26" s="2" t="n">
        <x:f>IF(AND(B26=1,'Trial Rows'!G26="B",C26=1,D26=1,ISNUMBER(E26),'Trial Rows'!R26=1,'Trial Rows'!Q26=0,'Trial Rows'!S26=0,ISNUMBER('Trial Rows'!L26),'Trial Rows'!L26&gt;=0,'Trial Rows'!L26&lt;=4),1,0)</x:f>
        <x:v>0</x:v>
      </x:c>
      <x:c r="I26" s="2" t="n">
        <x:f>IF(H26=1,IF(E26='Trial Rows'!L26,1,0),0)</x:f>
        <x:v>0</x:v>
      </x:c>
      <x:c r="J26" s="2" t="n">
        <x:f>IF(AND(B26=1,'Trial Rows'!G26="B",'Trial Rows'!P26&gt;0),1,0)</x:f>
        <x:v>0</x:v>
      </x:c>
      <x:c r="K26" s="2" t="n">
        <x:f>IF(AND(B26=1,'Trial Rows'!G26="B",'Trial Rows'!Q26=1),1,0)</x:f>
        <x:v>0</x:v>
      </x:c>
      <x:c r="L26" s="2" t="n">
        <x:f>IF(AND(B26=1,'Trial Rows'!G26="B",'Trial Rows'!R26=1,'Trial Rows'!Q26=0,'Trial Rows'!S26=0),1,0)</x:f>
        <x:v>0</x:v>
      </x:c>
      <x:c r="M26" s="2" t="n">
        <x:f>IF(AND(B26=1,'Trial Rows'!G26="B"),1,0)</x:f>
        <x:v>0</x:v>
      </x:c>
      <x:c r="N26" s="2" t="n">
        <x:f>IF(AND(B26=1,'Trial Rows'!I26=1,COUNTIFS('Trial Rows'!$B$2:$B$201,'Trial Rows'!B26,'Trial Rows'!$C$2:$C$201,'Trial Rows'!C26,'Trial Rows'!$F$2:$F$201,'Trial Rows'!F26,'Trial Rows'!$G$2:$G$201,'Trial Rows'!G26,'Trial Rows'!$Y$2:$Y$201,'Trial Rows'!Y26)=4,COUNTIFS('Trial Rows'!$B$2:$B$201,'Trial Rows'!B26,'Trial Rows'!$C$2:$C$201,'Trial Rows'!C26,'Trial Rows'!$F$2:$F$201,'Trial Rows'!F26,'Trial Rows'!$G$2:$G$201,'Trial Rows'!G26,'Trial Rows'!$Y$2:$Y$201,'Trial Rows'!Y26,'Trial Rows'!$I$2:$I$201,1)=1,COUNTIFS('Trial Rows'!$B$2:$B$201,'Trial Rows'!B26,'Trial Rows'!$C$2:$C$201,'Trial Rows'!C26,'Trial Rows'!$F$2:$F$201,'Trial Rows'!F26,'Trial Rows'!$G$2:$G$201,'Trial Rows'!G26,'Trial Rows'!$Y$2:$Y$201,'Trial Rows'!Y26,'Trial Rows'!$I$2:$I$201,2)=1,COUNTIFS('Trial Rows'!$B$2:$B$201,'Trial Rows'!B26,'Trial Rows'!$C$2:$C$201,'Trial Rows'!C26,'Trial Rows'!$F$2:$F$201,'Trial Rows'!F26,'Trial Rows'!$G$2:$G$201,'Trial Rows'!G26,'Trial Rows'!$Y$2:$Y$201,'Trial Rows'!Y26,'Trial Rows'!$I$2:$I$201,3)=1,COUNTIFS('Trial Rows'!$B$2:$B$201,'Trial Rows'!B26,'Trial Rows'!$C$2:$C$201,'Trial Rows'!C26,'Trial Rows'!$F$2:$F$201,'Trial Rows'!F26,'Trial Rows'!$G$2:$G$201,'Trial Rows'!G26,'Trial Rows'!$Y$2:$Y$201,'Trial Rows'!Y26,'Trial Rows'!$I$2:$I$201,4)=1,COUNTIFS('Trial Rows'!$B$2:$B$201,'Trial Rows'!B26,'Trial Rows'!$C$2:$C$201,'Trial Rows'!C26,'Trial Rows'!$F$2:$F$201,'Trial Rows'!F26,'Trial Rows'!$G$2:$G$201,'Trial Rows'!G26,'Trial Rows'!$Y$2:$Y$201,'Trial Rows'!Y26,'Trial Rows'!$W$2:$W$201,"&lt;&gt;")=4,ISNUMBER('Trial Rows'!U26),COUNTIFS('Trial Rows'!$B$2:$B$201,'Trial Rows'!B26,'Trial Rows'!$C$2:$C$201,'Trial Rows'!C26,'Trial Rows'!$F$2:$F$201,'Trial Rows'!F26,'Trial Rows'!$G$2:$G$201,'Trial Rows'!G26,'Trial Rows'!$Y$2:$Y$201,'Trial Rows'!Y26,'Trial Rows'!$U$2:$U$201,'Trial Rows'!U26)=4,'Trial Rows'!U26&gt;=0),1,0)</x:f>
        <x:v>0</x:v>
      </x:c>
      <x:c r="O26" s="2" t="str">
        <x:f>IF(N26=1,'Trial Rows'!U26/1000,"")</x:f>
      </x:c>
      <x:c r="P26" s="2" t="str">
        <x:f>IF(AND(N26=1,'Trial Rows'!G26="A"),O26,"")</x:f>
      </x:c>
      <x:c r="Q26" s="2" t="str">
        <x:f>IF(AND(N26=1,'Trial Rows'!G26="B"),O26,"")</x:f>
      </x:c>
      <x:c r="R26" s="2" t="str">
        <x:f>IF(AND(N26=1,COUNTIFS('Trial Rows'!$B$2:$B$201,'Trial Rows'!B26,'Trial Rows'!$C$2:$C$201,'Trial Rows'!C26,'Trial Rows'!$F$2:$F$201,'Trial Rows'!F26,'Trial Rows'!$G$2:$G$201,'Trial Rows'!G26,'Trial Rows'!$Y$2:$Y$201,'Trial Rows'!Y26,'Trial Rows'!$N$2:$N$201,"&gt;=0",'Trial Rows'!$N$2:$N$201,"&lt;=4",'Trial Rows'!$N$2:$N$201,"&lt;&gt;")=4),SUMIFS('Trial Rows'!$N$2:$N$201,'Trial Rows'!$B$2:$B$201,'Trial Rows'!B26,'Trial Rows'!$C$2:$C$201,'Trial Rows'!C26,'Trial Rows'!$F$2:$F$201,'Trial Rows'!F26,'Trial Rows'!$G$2:$G$201,'Trial Rows'!G26,'Trial Rows'!$Y$2:$Y$201,'Trial Rows'!Y26,'Trial Rows'!$I$2:$I$201,1)+4-SUMIFS('Trial Rows'!$N$2:$N$201,'Trial Rows'!$B$2:$B$201,'Trial Rows'!B26,'Trial Rows'!$C$2:$C$201,'Trial Rows'!C26,'Trial Rows'!$F$2:$F$201,'Trial Rows'!F26,'Trial Rows'!$G$2:$G$201,'Trial Rows'!G26,'Trial Rows'!$Y$2:$Y$201,'Trial Rows'!Y26,'Trial Rows'!$I$2:$I$201,2)+4-SUMIFS('Trial Rows'!$N$2:$N$201,'Trial Rows'!$B$2:$B$201,'Trial Rows'!B26,'Trial Rows'!$C$2:$C$201,'Trial Rows'!C26,'Trial Rows'!$F$2:$F$201,'Trial Rows'!F26,'Trial Rows'!$G$2:$G$201,'Trial Rows'!G26,'Trial Rows'!$Y$2:$Y$201,'Trial Rows'!Y26,'Trial Rows'!$I$2:$I$201,3)+SUMIFS('Trial Rows'!$N$2:$N$201,'Trial Rows'!$B$2:$B$201,'Trial Rows'!B26,'Trial Rows'!$C$2:$C$201,'Trial Rows'!C26,'Trial Rows'!$F$2:$F$201,'Trial Rows'!F26,'Trial Rows'!$G$2:$G$201,'Trial Rows'!G26,'Trial Rows'!$Y$2:$Y$201,'Trial Rows'!Y26,'Trial Rows'!$I$2:$I$201,4),"")</x:f>
      </x:c>
      <x:c r="S26" s="2" t="n">
        <x:f>IF(AND(B26=1,COUNTIFS('Trial Rows'!$C$2:C26,'Trial Rows'!C26,'Trial Rows'!$F$2:F26,Summary!$B$5,'Trial Rows'!$Y$2:Y26,Summary!$B$4)=1),1,0)</x:f>
        <x:v>0</x:v>
      </x:c>
      <x:c r="T26" s="2"/>
      <x:c r="U26" s="2"/>
      <x:c r="V26" s="2"/>
      <x:c r="W26" s="2"/>
      <x:c r="X26" s="2"/>
      <x:c r="Y26" s="2"/>
      <x:c r="Z26" s="2"/>
      <x:c r="AA26" s="2"/>
      <x:c r="AB26" s="2"/>
    </x:row>
    <x:row r="27">
      <x:c r="A27" s="2" t="str">
        <x:f>IF('Trial Rows'!A27="","",'Trial Rows'!F27&amp;"|"&amp;'Trial Rows'!B27&amp;"|"&amp;'Trial Rows'!C27&amp;"|"&amp;'Trial Rows'!I27)</x:f>
      </x:c>
      <x:c r="B27" s="2" t="n">
        <x:f>IF(AND('Trial Rows'!A27&lt;&gt;"",'Trial Rows'!Y27=Summary!$B$4,'Trial Rows'!F27=Summary!$B$5),1,0)</x:f>
        <x:v>0</x:v>
      </x:c>
      <x:c r="C27" s="2" t="n">
        <x:f>IF(B27=1,COUNTIFS('Trial Rows'!$B$2:$B$201,'Trial Rows'!B27,'Trial Rows'!$C$2:$C$201,'Trial Rows'!C27,'Trial Rows'!$F$2:$F$201,'Trial Rows'!F27,'Trial Rows'!$I$2:$I$201,'Trial Rows'!I27,'Trial Rows'!$Y$2:$Y$201,'Trial Rows'!Y27,'Trial Rows'!$G$2:$G$201,"A"),0)</x:f>
        <x:v>0</x:v>
      </x:c>
      <x:c r="D27" s="2" t="n">
        <x:f>IF(B27=1,COUNTIFS('Trial Rows'!$B$2:$B$201,'Trial Rows'!B27,'Trial Rows'!$C$2:$C$201,'Trial Rows'!C27,'Trial Rows'!$F$2:$F$201,'Trial Rows'!F27,'Trial Rows'!$I$2:$I$201,'Trial Rows'!I27,'Trial Rows'!$Y$2:$Y$201,'Trial Rows'!Y27,'Trial Rows'!$G$2:$G$201,"B"),0)</x:f>
        <x:v>0</x:v>
      </x:c>
      <x:c r="E27" s="2" t="str">
        <x:f>IF(AND(C27=1,COUNTIFS('Trial Rows'!$B$2:$B$201,'Trial Rows'!B27,'Trial Rows'!$C$2:$C$201,'Trial Rows'!C27,'Trial Rows'!$F$2:$F$201,'Trial Rows'!F27,'Trial Rows'!$I$2:$I$201,'Trial Rows'!I27,'Trial Rows'!$Y$2:$Y$201,'Trial Rows'!Y27,'Trial Rows'!$G$2:$G$201,"A",'Trial Rows'!$K$2:$K$201,"&gt;=0",'Trial Rows'!$K$2:$K$201,"&lt;=4",'Trial Rows'!$K$2:$K$201,"&lt;&gt;")=1),SUMIFS('Trial Rows'!$K$2:$K$201,'Trial Rows'!$B$2:$B$201,'Trial Rows'!B27,'Trial Rows'!$C$2:$C$201,'Trial Rows'!C27,'Trial Rows'!$F$2:$F$201,'Trial Rows'!F27,'Trial Rows'!$I$2:$I$201,'Trial Rows'!I27,'Trial Rows'!$Y$2:$Y$201,'Trial Rows'!Y27,'Trial Rows'!$G$2:$G$201,"A"),"")</x:f>
      </x:c>
      <x:c r="F27" s="2" t="n">
        <x:f>IF(AND(B27=1,'Trial Rows'!G27="B",C27=1,D27=1,ISNUMBER(E27),ISNUMBER('Trial Rows'!M27),'Trial Rows'!M27&gt;=0,'Trial Rows'!M27&lt;=4,'Trial Rows'!Q27=0,'Trial Rows'!S27=0),1,0)</x:f>
        <x:v>0</x:v>
      </x:c>
      <x:c r="G27" s="2" t="n">
        <x:f>IF(F27=1,IF(E27='Trial Rows'!M27,1,0),0)</x:f>
        <x:v>0</x:v>
      </x:c>
      <x:c r="H27" s="2" t="n">
        <x:f>IF(AND(B27=1,'Trial Rows'!G27="B",C27=1,D27=1,ISNUMBER(E27),'Trial Rows'!R27=1,'Trial Rows'!Q27=0,'Trial Rows'!S27=0,ISNUMBER('Trial Rows'!L27),'Trial Rows'!L27&gt;=0,'Trial Rows'!L27&lt;=4),1,0)</x:f>
        <x:v>0</x:v>
      </x:c>
      <x:c r="I27" s="2" t="n">
        <x:f>IF(H27=1,IF(E27='Trial Rows'!L27,1,0),0)</x:f>
        <x:v>0</x:v>
      </x:c>
      <x:c r="J27" s="2" t="n">
        <x:f>IF(AND(B27=1,'Trial Rows'!G27="B",'Trial Rows'!P27&gt;0),1,0)</x:f>
        <x:v>0</x:v>
      </x:c>
      <x:c r="K27" s="2" t="n">
        <x:f>IF(AND(B27=1,'Trial Rows'!G27="B",'Trial Rows'!Q27=1),1,0)</x:f>
        <x:v>0</x:v>
      </x:c>
      <x:c r="L27" s="2" t="n">
        <x:f>IF(AND(B27=1,'Trial Rows'!G27="B",'Trial Rows'!R27=1,'Trial Rows'!Q27=0,'Trial Rows'!S27=0),1,0)</x:f>
        <x:v>0</x:v>
      </x:c>
      <x:c r="M27" s="2" t="n">
        <x:f>IF(AND(B27=1,'Trial Rows'!G27="B"),1,0)</x:f>
        <x:v>0</x:v>
      </x:c>
      <x:c r="N27" s="2" t="n">
        <x:f>IF(AND(B27=1,'Trial Rows'!I27=1,COUNTIFS('Trial Rows'!$B$2:$B$201,'Trial Rows'!B27,'Trial Rows'!$C$2:$C$201,'Trial Rows'!C27,'Trial Rows'!$F$2:$F$201,'Trial Rows'!F27,'Trial Rows'!$G$2:$G$201,'Trial Rows'!G27,'Trial Rows'!$Y$2:$Y$201,'Trial Rows'!Y27)=4,COUNTIFS('Trial Rows'!$B$2:$B$201,'Trial Rows'!B27,'Trial Rows'!$C$2:$C$201,'Trial Rows'!C27,'Trial Rows'!$F$2:$F$201,'Trial Rows'!F27,'Trial Rows'!$G$2:$G$201,'Trial Rows'!G27,'Trial Rows'!$Y$2:$Y$201,'Trial Rows'!Y27,'Trial Rows'!$I$2:$I$201,1)=1,COUNTIFS('Trial Rows'!$B$2:$B$201,'Trial Rows'!B27,'Trial Rows'!$C$2:$C$201,'Trial Rows'!C27,'Trial Rows'!$F$2:$F$201,'Trial Rows'!F27,'Trial Rows'!$G$2:$G$201,'Trial Rows'!G27,'Trial Rows'!$Y$2:$Y$201,'Trial Rows'!Y27,'Trial Rows'!$I$2:$I$201,2)=1,COUNTIFS('Trial Rows'!$B$2:$B$201,'Trial Rows'!B27,'Trial Rows'!$C$2:$C$201,'Trial Rows'!C27,'Trial Rows'!$F$2:$F$201,'Trial Rows'!F27,'Trial Rows'!$G$2:$G$201,'Trial Rows'!G27,'Trial Rows'!$Y$2:$Y$201,'Trial Rows'!Y27,'Trial Rows'!$I$2:$I$201,3)=1,COUNTIFS('Trial Rows'!$B$2:$B$201,'Trial Rows'!B27,'Trial Rows'!$C$2:$C$201,'Trial Rows'!C27,'Trial Rows'!$F$2:$F$201,'Trial Rows'!F27,'Trial Rows'!$G$2:$G$201,'Trial Rows'!G27,'Trial Rows'!$Y$2:$Y$201,'Trial Rows'!Y27,'Trial Rows'!$I$2:$I$201,4)=1,COUNTIFS('Trial Rows'!$B$2:$B$201,'Trial Rows'!B27,'Trial Rows'!$C$2:$C$201,'Trial Rows'!C27,'Trial Rows'!$F$2:$F$201,'Trial Rows'!F27,'Trial Rows'!$G$2:$G$201,'Trial Rows'!G27,'Trial Rows'!$Y$2:$Y$201,'Trial Rows'!Y27,'Trial Rows'!$W$2:$W$201,"&lt;&gt;")=4,ISNUMBER('Trial Rows'!U27),COUNTIFS('Trial Rows'!$B$2:$B$201,'Trial Rows'!B27,'Trial Rows'!$C$2:$C$201,'Trial Rows'!C27,'Trial Rows'!$F$2:$F$201,'Trial Rows'!F27,'Trial Rows'!$G$2:$G$201,'Trial Rows'!G27,'Trial Rows'!$Y$2:$Y$201,'Trial Rows'!Y27,'Trial Rows'!$U$2:$U$201,'Trial Rows'!U27)=4,'Trial Rows'!U27&gt;=0),1,0)</x:f>
        <x:v>0</x:v>
      </x:c>
      <x:c r="O27" s="2" t="str">
        <x:f>IF(N27=1,'Trial Rows'!U27/1000,"")</x:f>
      </x:c>
      <x:c r="P27" s="2" t="str">
        <x:f>IF(AND(N27=1,'Trial Rows'!G27="A"),O27,"")</x:f>
      </x:c>
      <x:c r="Q27" s="2" t="str">
        <x:f>IF(AND(N27=1,'Trial Rows'!G27="B"),O27,"")</x:f>
      </x:c>
      <x:c r="R27" s="2" t="str">
        <x:f>IF(AND(N27=1,COUNTIFS('Trial Rows'!$B$2:$B$201,'Trial Rows'!B27,'Trial Rows'!$C$2:$C$201,'Trial Rows'!C27,'Trial Rows'!$F$2:$F$201,'Trial Rows'!F27,'Trial Rows'!$G$2:$G$201,'Trial Rows'!G27,'Trial Rows'!$Y$2:$Y$201,'Trial Rows'!Y27,'Trial Rows'!$N$2:$N$201,"&gt;=0",'Trial Rows'!$N$2:$N$201,"&lt;=4",'Trial Rows'!$N$2:$N$201,"&lt;&gt;")=4),SUMIFS('Trial Rows'!$N$2:$N$201,'Trial Rows'!$B$2:$B$201,'Trial Rows'!B27,'Trial Rows'!$C$2:$C$201,'Trial Rows'!C27,'Trial Rows'!$F$2:$F$201,'Trial Rows'!F27,'Trial Rows'!$G$2:$G$201,'Trial Rows'!G27,'Trial Rows'!$Y$2:$Y$201,'Trial Rows'!Y27,'Trial Rows'!$I$2:$I$201,1)+4-SUMIFS('Trial Rows'!$N$2:$N$201,'Trial Rows'!$B$2:$B$201,'Trial Rows'!B27,'Trial Rows'!$C$2:$C$201,'Trial Rows'!C27,'Trial Rows'!$F$2:$F$201,'Trial Rows'!F27,'Trial Rows'!$G$2:$G$201,'Trial Rows'!G27,'Trial Rows'!$Y$2:$Y$201,'Trial Rows'!Y27,'Trial Rows'!$I$2:$I$201,2)+4-SUMIFS('Trial Rows'!$N$2:$N$201,'Trial Rows'!$B$2:$B$201,'Trial Rows'!B27,'Trial Rows'!$C$2:$C$201,'Trial Rows'!C27,'Trial Rows'!$F$2:$F$201,'Trial Rows'!F27,'Trial Rows'!$G$2:$G$201,'Trial Rows'!G27,'Trial Rows'!$Y$2:$Y$201,'Trial Rows'!Y27,'Trial Rows'!$I$2:$I$201,3)+SUMIFS('Trial Rows'!$N$2:$N$201,'Trial Rows'!$B$2:$B$201,'Trial Rows'!B27,'Trial Rows'!$C$2:$C$201,'Trial Rows'!C27,'Trial Rows'!$F$2:$F$201,'Trial Rows'!F27,'Trial Rows'!$G$2:$G$201,'Trial Rows'!G27,'Trial Rows'!$Y$2:$Y$201,'Trial Rows'!Y27,'Trial Rows'!$I$2:$I$201,4),"")</x:f>
      </x:c>
      <x:c r="S27" s="2" t="n">
        <x:f>IF(AND(B27=1,COUNTIFS('Trial Rows'!$C$2:C27,'Trial Rows'!C27,'Trial Rows'!$F$2:F27,Summary!$B$5,'Trial Rows'!$Y$2:Y27,Summary!$B$4)=1),1,0)</x:f>
        <x:v>0</x:v>
      </x:c>
      <x:c r="T27" s="2"/>
      <x:c r="U27" s="2"/>
      <x:c r="V27" s="2"/>
      <x:c r="W27" s="2"/>
      <x:c r="X27" s="2"/>
      <x:c r="Y27" s="2"/>
      <x:c r="Z27" s="2"/>
      <x:c r="AA27" s="2"/>
      <x:c r="AB27" s="2"/>
    </x:row>
    <x:row r="28">
      <x:c r="A28" s="2" t="str">
        <x:f>IF('Trial Rows'!A28="","",'Trial Rows'!F28&amp;"|"&amp;'Trial Rows'!B28&amp;"|"&amp;'Trial Rows'!C28&amp;"|"&amp;'Trial Rows'!I28)</x:f>
      </x:c>
      <x:c r="B28" s="2" t="n">
        <x:f>IF(AND('Trial Rows'!A28&lt;&gt;"",'Trial Rows'!Y28=Summary!$B$4,'Trial Rows'!F28=Summary!$B$5),1,0)</x:f>
        <x:v>0</x:v>
      </x:c>
      <x:c r="C28" s="2" t="n">
        <x:f>IF(B28=1,COUNTIFS('Trial Rows'!$B$2:$B$201,'Trial Rows'!B28,'Trial Rows'!$C$2:$C$201,'Trial Rows'!C28,'Trial Rows'!$F$2:$F$201,'Trial Rows'!F28,'Trial Rows'!$I$2:$I$201,'Trial Rows'!I28,'Trial Rows'!$Y$2:$Y$201,'Trial Rows'!Y28,'Trial Rows'!$G$2:$G$201,"A"),0)</x:f>
        <x:v>0</x:v>
      </x:c>
      <x:c r="D28" s="2" t="n">
        <x:f>IF(B28=1,COUNTIFS('Trial Rows'!$B$2:$B$201,'Trial Rows'!B28,'Trial Rows'!$C$2:$C$201,'Trial Rows'!C28,'Trial Rows'!$F$2:$F$201,'Trial Rows'!F28,'Trial Rows'!$I$2:$I$201,'Trial Rows'!I28,'Trial Rows'!$Y$2:$Y$201,'Trial Rows'!Y28,'Trial Rows'!$G$2:$G$201,"B"),0)</x:f>
        <x:v>0</x:v>
      </x:c>
      <x:c r="E28" s="2" t="str">
        <x:f>IF(AND(C28=1,COUNTIFS('Trial Rows'!$B$2:$B$201,'Trial Rows'!B28,'Trial Rows'!$C$2:$C$201,'Trial Rows'!C28,'Trial Rows'!$F$2:$F$201,'Trial Rows'!F28,'Trial Rows'!$I$2:$I$201,'Trial Rows'!I28,'Trial Rows'!$Y$2:$Y$201,'Trial Rows'!Y28,'Trial Rows'!$G$2:$G$201,"A",'Trial Rows'!$K$2:$K$201,"&gt;=0",'Trial Rows'!$K$2:$K$201,"&lt;=4",'Trial Rows'!$K$2:$K$201,"&lt;&gt;")=1),SUMIFS('Trial Rows'!$K$2:$K$201,'Trial Rows'!$B$2:$B$201,'Trial Rows'!B28,'Trial Rows'!$C$2:$C$201,'Trial Rows'!C28,'Trial Rows'!$F$2:$F$201,'Trial Rows'!F28,'Trial Rows'!$I$2:$I$201,'Trial Rows'!I28,'Trial Rows'!$Y$2:$Y$201,'Trial Rows'!Y28,'Trial Rows'!$G$2:$G$201,"A"),"")</x:f>
      </x:c>
      <x:c r="F28" s="2" t="n">
        <x:f>IF(AND(B28=1,'Trial Rows'!G28="B",C28=1,D28=1,ISNUMBER(E28),ISNUMBER('Trial Rows'!M28),'Trial Rows'!M28&gt;=0,'Trial Rows'!M28&lt;=4,'Trial Rows'!Q28=0,'Trial Rows'!S28=0),1,0)</x:f>
        <x:v>0</x:v>
      </x:c>
      <x:c r="G28" s="2" t="n">
        <x:f>IF(F28=1,IF(E28='Trial Rows'!M28,1,0),0)</x:f>
        <x:v>0</x:v>
      </x:c>
      <x:c r="H28" s="2" t="n">
        <x:f>IF(AND(B28=1,'Trial Rows'!G28="B",C28=1,D28=1,ISNUMBER(E28),'Trial Rows'!R28=1,'Trial Rows'!Q28=0,'Trial Rows'!S28=0,ISNUMBER('Trial Rows'!L28),'Trial Rows'!L28&gt;=0,'Trial Rows'!L28&lt;=4),1,0)</x:f>
        <x:v>0</x:v>
      </x:c>
      <x:c r="I28" s="2" t="n">
        <x:f>IF(H28=1,IF(E28='Trial Rows'!L28,1,0),0)</x:f>
        <x:v>0</x:v>
      </x:c>
      <x:c r="J28" s="2" t="n">
        <x:f>IF(AND(B28=1,'Trial Rows'!G28="B",'Trial Rows'!P28&gt;0),1,0)</x:f>
        <x:v>0</x:v>
      </x:c>
      <x:c r="K28" s="2" t="n">
        <x:f>IF(AND(B28=1,'Trial Rows'!G28="B",'Trial Rows'!Q28=1),1,0)</x:f>
        <x:v>0</x:v>
      </x:c>
      <x:c r="L28" s="2" t="n">
        <x:f>IF(AND(B28=1,'Trial Rows'!G28="B",'Trial Rows'!R28=1,'Trial Rows'!Q28=0,'Trial Rows'!S28=0),1,0)</x:f>
        <x:v>0</x:v>
      </x:c>
      <x:c r="M28" s="2" t="n">
        <x:f>IF(AND(B28=1,'Trial Rows'!G28="B"),1,0)</x:f>
        <x:v>0</x:v>
      </x:c>
      <x:c r="N28" s="2" t="n">
        <x:f>IF(AND(B28=1,'Trial Rows'!I28=1,COUNTIFS('Trial Rows'!$B$2:$B$201,'Trial Rows'!B28,'Trial Rows'!$C$2:$C$201,'Trial Rows'!C28,'Trial Rows'!$F$2:$F$201,'Trial Rows'!F28,'Trial Rows'!$G$2:$G$201,'Trial Rows'!G28,'Trial Rows'!$Y$2:$Y$201,'Trial Rows'!Y28)=4,COUNTIFS('Trial Rows'!$B$2:$B$201,'Trial Rows'!B28,'Trial Rows'!$C$2:$C$201,'Trial Rows'!C28,'Trial Rows'!$F$2:$F$201,'Trial Rows'!F28,'Trial Rows'!$G$2:$G$201,'Trial Rows'!G28,'Trial Rows'!$Y$2:$Y$201,'Trial Rows'!Y28,'Trial Rows'!$I$2:$I$201,1)=1,COUNTIFS('Trial Rows'!$B$2:$B$201,'Trial Rows'!B28,'Trial Rows'!$C$2:$C$201,'Trial Rows'!C28,'Trial Rows'!$F$2:$F$201,'Trial Rows'!F28,'Trial Rows'!$G$2:$G$201,'Trial Rows'!G28,'Trial Rows'!$Y$2:$Y$201,'Trial Rows'!Y28,'Trial Rows'!$I$2:$I$201,2)=1,COUNTIFS('Trial Rows'!$B$2:$B$201,'Trial Rows'!B28,'Trial Rows'!$C$2:$C$201,'Trial Rows'!C28,'Trial Rows'!$F$2:$F$201,'Trial Rows'!F28,'Trial Rows'!$G$2:$G$201,'Trial Rows'!G28,'Trial Rows'!$Y$2:$Y$201,'Trial Rows'!Y28,'Trial Rows'!$I$2:$I$201,3)=1,COUNTIFS('Trial Rows'!$B$2:$B$201,'Trial Rows'!B28,'Trial Rows'!$C$2:$C$201,'Trial Rows'!C28,'Trial Rows'!$F$2:$F$201,'Trial Rows'!F28,'Trial Rows'!$G$2:$G$201,'Trial Rows'!G28,'Trial Rows'!$Y$2:$Y$201,'Trial Rows'!Y28,'Trial Rows'!$I$2:$I$201,4)=1,COUNTIFS('Trial Rows'!$B$2:$B$201,'Trial Rows'!B28,'Trial Rows'!$C$2:$C$201,'Trial Rows'!C28,'Trial Rows'!$F$2:$F$201,'Trial Rows'!F28,'Trial Rows'!$G$2:$G$201,'Trial Rows'!G28,'Trial Rows'!$Y$2:$Y$201,'Trial Rows'!Y28,'Trial Rows'!$W$2:$W$201,"&lt;&gt;")=4,ISNUMBER('Trial Rows'!U28),COUNTIFS('Trial Rows'!$B$2:$B$201,'Trial Rows'!B28,'Trial Rows'!$C$2:$C$201,'Trial Rows'!C28,'Trial Rows'!$F$2:$F$201,'Trial Rows'!F28,'Trial Rows'!$G$2:$G$201,'Trial Rows'!G28,'Trial Rows'!$Y$2:$Y$201,'Trial Rows'!Y28,'Trial Rows'!$U$2:$U$201,'Trial Rows'!U28)=4,'Trial Rows'!U28&gt;=0),1,0)</x:f>
        <x:v>0</x:v>
      </x:c>
      <x:c r="O28" s="2" t="str">
        <x:f>IF(N28=1,'Trial Rows'!U28/1000,"")</x:f>
      </x:c>
      <x:c r="P28" s="2" t="str">
        <x:f>IF(AND(N28=1,'Trial Rows'!G28="A"),O28,"")</x:f>
      </x:c>
      <x:c r="Q28" s="2" t="str">
        <x:f>IF(AND(N28=1,'Trial Rows'!G28="B"),O28,"")</x:f>
      </x:c>
      <x:c r="R28" s="2" t="str">
        <x:f>IF(AND(N28=1,COUNTIFS('Trial Rows'!$B$2:$B$201,'Trial Rows'!B28,'Trial Rows'!$C$2:$C$201,'Trial Rows'!C28,'Trial Rows'!$F$2:$F$201,'Trial Rows'!F28,'Trial Rows'!$G$2:$G$201,'Trial Rows'!G28,'Trial Rows'!$Y$2:$Y$201,'Trial Rows'!Y28,'Trial Rows'!$N$2:$N$201,"&gt;=0",'Trial Rows'!$N$2:$N$201,"&lt;=4",'Trial Rows'!$N$2:$N$201,"&lt;&gt;")=4),SUMIFS('Trial Rows'!$N$2:$N$201,'Trial Rows'!$B$2:$B$201,'Trial Rows'!B28,'Trial Rows'!$C$2:$C$201,'Trial Rows'!C28,'Trial Rows'!$F$2:$F$201,'Trial Rows'!F28,'Trial Rows'!$G$2:$G$201,'Trial Rows'!G28,'Trial Rows'!$Y$2:$Y$201,'Trial Rows'!Y28,'Trial Rows'!$I$2:$I$201,1)+4-SUMIFS('Trial Rows'!$N$2:$N$201,'Trial Rows'!$B$2:$B$201,'Trial Rows'!B28,'Trial Rows'!$C$2:$C$201,'Trial Rows'!C28,'Trial Rows'!$F$2:$F$201,'Trial Rows'!F28,'Trial Rows'!$G$2:$G$201,'Trial Rows'!G28,'Trial Rows'!$Y$2:$Y$201,'Trial Rows'!Y28,'Trial Rows'!$I$2:$I$201,2)+4-SUMIFS('Trial Rows'!$N$2:$N$201,'Trial Rows'!$B$2:$B$201,'Trial Rows'!B28,'Trial Rows'!$C$2:$C$201,'Trial Rows'!C28,'Trial Rows'!$F$2:$F$201,'Trial Rows'!F28,'Trial Rows'!$G$2:$G$201,'Trial Rows'!G28,'Trial Rows'!$Y$2:$Y$201,'Trial Rows'!Y28,'Trial Rows'!$I$2:$I$201,3)+SUMIFS('Trial Rows'!$N$2:$N$201,'Trial Rows'!$B$2:$B$201,'Trial Rows'!B28,'Trial Rows'!$C$2:$C$201,'Trial Rows'!C28,'Trial Rows'!$F$2:$F$201,'Trial Rows'!F28,'Trial Rows'!$G$2:$G$201,'Trial Rows'!G28,'Trial Rows'!$Y$2:$Y$201,'Trial Rows'!Y28,'Trial Rows'!$I$2:$I$201,4),"")</x:f>
      </x:c>
      <x:c r="S28" s="2" t="n">
        <x:f>IF(AND(B28=1,COUNTIFS('Trial Rows'!$C$2:C28,'Trial Rows'!C28,'Trial Rows'!$F$2:F28,Summary!$B$5,'Trial Rows'!$Y$2:Y28,Summary!$B$4)=1),1,0)</x:f>
        <x:v>0</x:v>
      </x:c>
      <x:c r="T28" s="2"/>
      <x:c r="U28" s="2"/>
      <x:c r="V28" s="2"/>
      <x:c r="W28" s="2"/>
      <x:c r="X28" s="2"/>
      <x:c r="Y28" s="2"/>
      <x:c r="Z28" s="2"/>
      <x:c r="AA28" s="2"/>
      <x:c r="AB28" s="2"/>
    </x:row>
    <x:row r="29">
      <x:c r="A29" s="2" t="str">
        <x:f>IF('Trial Rows'!A29="","",'Trial Rows'!F29&amp;"|"&amp;'Trial Rows'!B29&amp;"|"&amp;'Trial Rows'!C29&amp;"|"&amp;'Trial Rows'!I29)</x:f>
      </x:c>
      <x:c r="B29" s="2" t="n">
        <x:f>IF(AND('Trial Rows'!A29&lt;&gt;"",'Trial Rows'!Y29=Summary!$B$4,'Trial Rows'!F29=Summary!$B$5),1,0)</x:f>
        <x:v>0</x:v>
      </x:c>
      <x:c r="C29" s="2" t="n">
        <x:f>IF(B29=1,COUNTIFS('Trial Rows'!$B$2:$B$201,'Trial Rows'!B29,'Trial Rows'!$C$2:$C$201,'Trial Rows'!C29,'Trial Rows'!$F$2:$F$201,'Trial Rows'!F29,'Trial Rows'!$I$2:$I$201,'Trial Rows'!I29,'Trial Rows'!$Y$2:$Y$201,'Trial Rows'!Y29,'Trial Rows'!$G$2:$G$201,"A"),0)</x:f>
        <x:v>0</x:v>
      </x:c>
      <x:c r="D29" s="2" t="n">
        <x:f>IF(B29=1,COUNTIFS('Trial Rows'!$B$2:$B$201,'Trial Rows'!B29,'Trial Rows'!$C$2:$C$201,'Trial Rows'!C29,'Trial Rows'!$F$2:$F$201,'Trial Rows'!F29,'Trial Rows'!$I$2:$I$201,'Trial Rows'!I29,'Trial Rows'!$Y$2:$Y$201,'Trial Rows'!Y29,'Trial Rows'!$G$2:$G$201,"B"),0)</x:f>
        <x:v>0</x:v>
      </x:c>
      <x:c r="E29" s="2" t="str">
        <x:f>IF(AND(C29=1,COUNTIFS('Trial Rows'!$B$2:$B$201,'Trial Rows'!B29,'Trial Rows'!$C$2:$C$201,'Trial Rows'!C29,'Trial Rows'!$F$2:$F$201,'Trial Rows'!F29,'Trial Rows'!$I$2:$I$201,'Trial Rows'!I29,'Trial Rows'!$Y$2:$Y$201,'Trial Rows'!Y29,'Trial Rows'!$G$2:$G$201,"A",'Trial Rows'!$K$2:$K$201,"&gt;=0",'Trial Rows'!$K$2:$K$201,"&lt;=4",'Trial Rows'!$K$2:$K$201,"&lt;&gt;")=1),SUMIFS('Trial Rows'!$K$2:$K$201,'Trial Rows'!$B$2:$B$201,'Trial Rows'!B29,'Trial Rows'!$C$2:$C$201,'Trial Rows'!C29,'Trial Rows'!$F$2:$F$201,'Trial Rows'!F29,'Trial Rows'!$I$2:$I$201,'Trial Rows'!I29,'Trial Rows'!$Y$2:$Y$201,'Trial Rows'!Y29,'Trial Rows'!$G$2:$G$201,"A"),"")</x:f>
      </x:c>
      <x:c r="F29" s="2" t="n">
        <x:f>IF(AND(B29=1,'Trial Rows'!G29="B",C29=1,D29=1,ISNUMBER(E29),ISNUMBER('Trial Rows'!M29),'Trial Rows'!M29&gt;=0,'Trial Rows'!M29&lt;=4,'Trial Rows'!Q29=0,'Trial Rows'!S29=0),1,0)</x:f>
        <x:v>0</x:v>
      </x:c>
      <x:c r="G29" s="2" t="n">
        <x:f>IF(F29=1,IF(E29='Trial Rows'!M29,1,0),0)</x:f>
        <x:v>0</x:v>
      </x:c>
      <x:c r="H29" s="2" t="n">
        <x:f>IF(AND(B29=1,'Trial Rows'!G29="B",C29=1,D29=1,ISNUMBER(E29),'Trial Rows'!R29=1,'Trial Rows'!Q29=0,'Trial Rows'!S29=0,ISNUMBER('Trial Rows'!L29),'Trial Rows'!L29&gt;=0,'Trial Rows'!L29&lt;=4),1,0)</x:f>
        <x:v>0</x:v>
      </x:c>
      <x:c r="I29" s="2" t="n">
        <x:f>IF(H29=1,IF(E29='Trial Rows'!L29,1,0),0)</x:f>
        <x:v>0</x:v>
      </x:c>
      <x:c r="J29" s="2" t="n">
        <x:f>IF(AND(B29=1,'Trial Rows'!G29="B",'Trial Rows'!P29&gt;0),1,0)</x:f>
        <x:v>0</x:v>
      </x:c>
      <x:c r="K29" s="2" t="n">
        <x:f>IF(AND(B29=1,'Trial Rows'!G29="B",'Trial Rows'!Q29=1),1,0)</x:f>
        <x:v>0</x:v>
      </x:c>
      <x:c r="L29" s="2" t="n">
        <x:f>IF(AND(B29=1,'Trial Rows'!G29="B",'Trial Rows'!R29=1,'Trial Rows'!Q29=0,'Trial Rows'!S29=0),1,0)</x:f>
        <x:v>0</x:v>
      </x:c>
      <x:c r="M29" s="2" t="n">
        <x:f>IF(AND(B29=1,'Trial Rows'!G29="B"),1,0)</x:f>
        <x:v>0</x:v>
      </x:c>
      <x:c r="N29" s="2" t="n">
        <x:f>IF(AND(B29=1,'Trial Rows'!I29=1,COUNTIFS('Trial Rows'!$B$2:$B$201,'Trial Rows'!B29,'Trial Rows'!$C$2:$C$201,'Trial Rows'!C29,'Trial Rows'!$F$2:$F$201,'Trial Rows'!F29,'Trial Rows'!$G$2:$G$201,'Trial Rows'!G29,'Trial Rows'!$Y$2:$Y$201,'Trial Rows'!Y29)=4,COUNTIFS('Trial Rows'!$B$2:$B$201,'Trial Rows'!B29,'Trial Rows'!$C$2:$C$201,'Trial Rows'!C29,'Trial Rows'!$F$2:$F$201,'Trial Rows'!F29,'Trial Rows'!$G$2:$G$201,'Trial Rows'!G29,'Trial Rows'!$Y$2:$Y$201,'Trial Rows'!Y29,'Trial Rows'!$I$2:$I$201,1)=1,COUNTIFS('Trial Rows'!$B$2:$B$201,'Trial Rows'!B29,'Trial Rows'!$C$2:$C$201,'Trial Rows'!C29,'Trial Rows'!$F$2:$F$201,'Trial Rows'!F29,'Trial Rows'!$G$2:$G$201,'Trial Rows'!G29,'Trial Rows'!$Y$2:$Y$201,'Trial Rows'!Y29,'Trial Rows'!$I$2:$I$201,2)=1,COUNTIFS('Trial Rows'!$B$2:$B$201,'Trial Rows'!B29,'Trial Rows'!$C$2:$C$201,'Trial Rows'!C29,'Trial Rows'!$F$2:$F$201,'Trial Rows'!F29,'Trial Rows'!$G$2:$G$201,'Trial Rows'!G29,'Trial Rows'!$Y$2:$Y$201,'Trial Rows'!Y29,'Trial Rows'!$I$2:$I$201,3)=1,COUNTIFS('Trial Rows'!$B$2:$B$201,'Trial Rows'!B29,'Trial Rows'!$C$2:$C$201,'Trial Rows'!C29,'Trial Rows'!$F$2:$F$201,'Trial Rows'!F29,'Trial Rows'!$G$2:$G$201,'Trial Rows'!G29,'Trial Rows'!$Y$2:$Y$201,'Trial Rows'!Y29,'Trial Rows'!$I$2:$I$201,4)=1,COUNTIFS('Trial Rows'!$B$2:$B$201,'Trial Rows'!B29,'Trial Rows'!$C$2:$C$201,'Trial Rows'!C29,'Trial Rows'!$F$2:$F$201,'Trial Rows'!F29,'Trial Rows'!$G$2:$G$201,'Trial Rows'!G29,'Trial Rows'!$Y$2:$Y$201,'Trial Rows'!Y29,'Trial Rows'!$W$2:$W$201,"&lt;&gt;")=4,ISNUMBER('Trial Rows'!U29),COUNTIFS('Trial Rows'!$B$2:$B$201,'Trial Rows'!B29,'Trial Rows'!$C$2:$C$201,'Trial Rows'!C29,'Trial Rows'!$F$2:$F$201,'Trial Rows'!F29,'Trial Rows'!$G$2:$G$201,'Trial Rows'!G29,'Trial Rows'!$Y$2:$Y$201,'Trial Rows'!Y29,'Trial Rows'!$U$2:$U$201,'Trial Rows'!U29)=4,'Trial Rows'!U29&gt;=0),1,0)</x:f>
        <x:v>0</x:v>
      </x:c>
      <x:c r="O29" s="2" t="str">
        <x:f>IF(N29=1,'Trial Rows'!U29/1000,"")</x:f>
      </x:c>
      <x:c r="P29" s="2" t="str">
        <x:f>IF(AND(N29=1,'Trial Rows'!G29="A"),O29,"")</x:f>
      </x:c>
      <x:c r="Q29" s="2" t="str">
        <x:f>IF(AND(N29=1,'Trial Rows'!G29="B"),O29,"")</x:f>
      </x:c>
      <x:c r="R29" s="2" t="str">
        <x:f>IF(AND(N29=1,COUNTIFS('Trial Rows'!$B$2:$B$201,'Trial Rows'!B29,'Trial Rows'!$C$2:$C$201,'Trial Rows'!C29,'Trial Rows'!$F$2:$F$201,'Trial Rows'!F29,'Trial Rows'!$G$2:$G$201,'Trial Rows'!G29,'Trial Rows'!$Y$2:$Y$201,'Trial Rows'!Y29,'Trial Rows'!$N$2:$N$201,"&gt;=0",'Trial Rows'!$N$2:$N$201,"&lt;=4",'Trial Rows'!$N$2:$N$201,"&lt;&gt;")=4),SUMIFS('Trial Rows'!$N$2:$N$201,'Trial Rows'!$B$2:$B$201,'Trial Rows'!B29,'Trial Rows'!$C$2:$C$201,'Trial Rows'!C29,'Trial Rows'!$F$2:$F$201,'Trial Rows'!F29,'Trial Rows'!$G$2:$G$201,'Trial Rows'!G29,'Trial Rows'!$Y$2:$Y$201,'Trial Rows'!Y29,'Trial Rows'!$I$2:$I$201,1)+4-SUMIFS('Trial Rows'!$N$2:$N$201,'Trial Rows'!$B$2:$B$201,'Trial Rows'!B29,'Trial Rows'!$C$2:$C$201,'Trial Rows'!C29,'Trial Rows'!$F$2:$F$201,'Trial Rows'!F29,'Trial Rows'!$G$2:$G$201,'Trial Rows'!G29,'Trial Rows'!$Y$2:$Y$201,'Trial Rows'!Y29,'Trial Rows'!$I$2:$I$201,2)+4-SUMIFS('Trial Rows'!$N$2:$N$201,'Trial Rows'!$B$2:$B$201,'Trial Rows'!B29,'Trial Rows'!$C$2:$C$201,'Trial Rows'!C29,'Trial Rows'!$F$2:$F$201,'Trial Rows'!F29,'Trial Rows'!$G$2:$G$201,'Trial Rows'!G29,'Trial Rows'!$Y$2:$Y$201,'Trial Rows'!Y29,'Trial Rows'!$I$2:$I$201,3)+SUMIFS('Trial Rows'!$N$2:$N$201,'Trial Rows'!$B$2:$B$201,'Trial Rows'!B29,'Trial Rows'!$C$2:$C$201,'Trial Rows'!C29,'Trial Rows'!$F$2:$F$201,'Trial Rows'!F29,'Trial Rows'!$G$2:$G$201,'Trial Rows'!G29,'Trial Rows'!$Y$2:$Y$201,'Trial Rows'!Y29,'Trial Rows'!$I$2:$I$201,4),"")</x:f>
      </x:c>
      <x:c r="S29" s="2" t="n">
        <x:f>IF(AND(B29=1,COUNTIFS('Trial Rows'!$C$2:C29,'Trial Rows'!C29,'Trial Rows'!$F$2:F29,Summary!$B$5,'Trial Rows'!$Y$2:Y29,Summary!$B$4)=1),1,0)</x:f>
        <x:v>0</x:v>
      </x:c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 t="str">
        <x:f>IF('Trial Rows'!A30="","",'Trial Rows'!F30&amp;"|"&amp;'Trial Rows'!B30&amp;"|"&amp;'Trial Rows'!C30&amp;"|"&amp;'Trial Rows'!I30)</x:f>
      </x:c>
      <x:c r="B30" s="2" t="n">
        <x:f>IF(AND('Trial Rows'!A30&lt;&gt;"",'Trial Rows'!Y30=Summary!$B$4,'Trial Rows'!F30=Summary!$B$5),1,0)</x:f>
        <x:v>0</x:v>
      </x:c>
      <x:c r="C30" s="2" t="n">
        <x:f>IF(B30=1,COUNTIFS('Trial Rows'!$B$2:$B$201,'Trial Rows'!B30,'Trial Rows'!$C$2:$C$201,'Trial Rows'!C30,'Trial Rows'!$F$2:$F$201,'Trial Rows'!F30,'Trial Rows'!$I$2:$I$201,'Trial Rows'!I30,'Trial Rows'!$Y$2:$Y$201,'Trial Rows'!Y30,'Trial Rows'!$G$2:$G$201,"A"),0)</x:f>
        <x:v>0</x:v>
      </x:c>
      <x:c r="D30" s="2" t="n">
        <x:f>IF(B30=1,COUNTIFS('Trial Rows'!$B$2:$B$201,'Trial Rows'!B30,'Trial Rows'!$C$2:$C$201,'Trial Rows'!C30,'Trial Rows'!$F$2:$F$201,'Trial Rows'!F30,'Trial Rows'!$I$2:$I$201,'Trial Rows'!I30,'Trial Rows'!$Y$2:$Y$201,'Trial Rows'!Y30,'Trial Rows'!$G$2:$G$201,"B"),0)</x:f>
        <x:v>0</x:v>
      </x:c>
      <x:c r="E30" s="2" t="str">
        <x:f>IF(AND(C30=1,COUNTIFS('Trial Rows'!$B$2:$B$201,'Trial Rows'!B30,'Trial Rows'!$C$2:$C$201,'Trial Rows'!C30,'Trial Rows'!$F$2:$F$201,'Trial Rows'!F30,'Trial Rows'!$I$2:$I$201,'Trial Rows'!I30,'Trial Rows'!$Y$2:$Y$201,'Trial Rows'!Y30,'Trial Rows'!$G$2:$G$201,"A",'Trial Rows'!$K$2:$K$201,"&gt;=0",'Trial Rows'!$K$2:$K$201,"&lt;=4",'Trial Rows'!$K$2:$K$201,"&lt;&gt;")=1),SUMIFS('Trial Rows'!$K$2:$K$201,'Trial Rows'!$B$2:$B$201,'Trial Rows'!B30,'Trial Rows'!$C$2:$C$201,'Trial Rows'!C30,'Trial Rows'!$F$2:$F$201,'Trial Rows'!F30,'Trial Rows'!$I$2:$I$201,'Trial Rows'!I30,'Trial Rows'!$Y$2:$Y$201,'Trial Rows'!Y30,'Trial Rows'!$G$2:$G$201,"A"),"")</x:f>
      </x:c>
      <x:c r="F30" s="2" t="n">
        <x:f>IF(AND(B30=1,'Trial Rows'!G30="B",C30=1,D30=1,ISNUMBER(E30),ISNUMBER('Trial Rows'!M30),'Trial Rows'!M30&gt;=0,'Trial Rows'!M30&lt;=4,'Trial Rows'!Q30=0,'Trial Rows'!S30=0),1,0)</x:f>
        <x:v>0</x:v>
      </x:c>
      <x:c r="G30" s="2" t="n">
        <x:f>IF(F30=1,IF(E30='Trial Rows'!M30,1,0),0)</x:f>
        <x:v>0</x:v>
      </x:c>
      <x:c r="H30" s="2" t="n">
        <x:f>IF(AND(B30=1,'Trial Rows'!G30="B",C30=1,D30=1,ISNUMBER(E30),'Trial Rows'!R30=1,'Trial Rows'!Q30=0,'Trial Rows'!S30=0,ISNUMBER('Trial Rows'!L30),'Trial Rows'!L30&gt;=0,'Trial Rows'!L30&lt;=4),1,0)</x:f>
        <x:v>0</x:v>
      </x:c>
      <x:c r="I30" s="2" t="n">
        <x:f>IF(H30=1,IF(E30='Trial Rows'!L30,1,0),0)</x:f>
        <x:v>0</x:v>
      </x:c>
      <x:c r="J30" s="2" t="n">
        <x:f>IF(AND(B30=1,'Trial Rows'!G30="B",'Trial Rows'!P30&gt;0),1,0)</x:f>
        <x:v>0</x:v>
      </x:c>
      <x:c r="K30" s="2" t="n">
        <x:f>IF(AND(B30=1,'Trial Rows'!G30="B",'Trial Rows'!Q30=1),1,0)</x:f>
        <x:v>0</x:v>
      </x:c>
      <x:c r="L30" s="2" t="n">
        <x:f>IF(AND(B30=1,'Trial Rows'!G30="B",'Trial Rows'!R30=1,'Trial Rows'!Q30=0,'Trial Rows'!S30=0),1,0)</x:f>
        <x:v>0</x:v>
      </x:c>
      <x:c r="M30" s="2" t="n">
        <x:f>IF(AND(B30=1,'Trial Rows'!G30="B"),1,0)</x:f>
        <x:v>0</x:v>
      </x:c>
      <x:c r="N30" s="2" t="n">
        <x:f>IF(AND(B30=1,'Trial Rows'!I30=1,COUNTIFS('Trial Rows'!$B$2:$B$201,'Trial Rows'!B30,'Trial Rows'!$C$2:$C$201,'Trial Rows'!C30,'Trial Rows'!$F$2:$F$201,'Trial Rows'!F30,'Trial Rows'!$G$2:$G$201,'Trial Rows'!G30,'Trial Rows'!$Y$2:$Y$201,'Trial Rows'!Y30)=4,COUNTIFS('Trial Rows'!$B$2:$B$201,'Trial Rows'!B30,'Trial Rows'!$C$2:$C$201,'Trial Rows'!C30,'Trial Rows'!$F$2:$F$201,'Trial Rows'!F30,'Trial Rows'!$G$2:$G$201,'Trial Rows'!G30,'Trial Rows'!$Y$2:$Y$201,'Trial Rows'!Y30,'Trial Rows'!$I$2:$I$201,1)=1,COUNTIFS('Trial Rows'!$B$2:$B$201,'Trial Rows'!B30,'Trial Rows'!$C$2:$C$201,'Trial Rows'!C30,'Trial Rows'!$F$2:$F$201,'Trial Rows'!F30,'Trial Rows'!$G$2:$G$201,'Trial Rows'!G30,'Trial Rows'!$Y$2:$Y$201,'Trial Rows'!Y30,'Trial Rows'!$I$2:$I$201,2)=1,COUNTIFS('Trial Rows'!$B$2:$B$201,'Trial Rows'!B30,'Trial Rows'!$C$2:$C$201,'Trial Rows'!C30,'Trial Rows'!$F$2:$F$201,'Trial Rows'!F30,'Trial Rows'!$G$2:$G$201,'Trial Rows'!G30,'Trial Rows'!$Y$2:$Y$201,'Trial Rows'!Y30,'Trial Rows'!$I$2:$I$201,3)=1,COUNTIFS('Trial Rows'!$B$2:$B$201,'Trial Rows'!B30,'Trial Rows'!$C$2:$C$201,'Trial Rows'!C30,'Trial Rows'!$F$2:$F$201,'Trial Rows'!F30,'Trial Rows'!$G$2:$G$201,'Trial Rows'!G30,'Trial Rows'!$Y$2:$Y$201,'Trial Rows'!Y30,'Trial Rows'!$I$2:$I$201,4)=1,COUNTIFS('Trial Rows'!$B$2:$B$201,'Trial Rows'!B30,'Trial Rows'!$C$2:$C$201,'Trial Rows'!C30,'Trial Rows'!$F$2:$F$201,'Trial Rows'!F30,'Trial Rows'!$G$2:$G$201,'Trial Rows'!G30,'Trial Rows'!$Y$2:$Y$201,'Trial Rows'!Y30,'Trial Rows'!$W$2:$W$201,"&lt;&gt;")=4,ISNUMBER('Trial Rows'!U30),COUNTIFS('Trial Rows'!$B$2:$B$201,'Trial Rows'!B30,'Trial Rows'!$C$2:$C$201,'Trial Rows'!C30,'Trial Rows'!$F$2:$F$201,'Trial Rows'!F30,'Trial Rows'!$G$2:$G$201,'Trial Rows'!G30,'Trial Rows'!$Y$2:$Y$201,'Trial Rows'!Y30,'Trial Rows'!$U$2:$U$201,'Trial Rows'!U30)=4,'Trial Rows'!U30&gt;=0),1,0)</x:f>
        <x:v>0</x:v>
      </x:c>
      <x:c r="O30" s="2" t="str">
        <x:f>IF(N30=1,'Trial Rows'!U30/1000,"")</x:f>
      </x:c>
      <x:c r="P30" s="2" t="str">
        <x:f>IF(AND(N30=1,'Trial Rows'!G30="A"),O30,"")</x:f>
      </x:c>
      <x:c r="Q30" s="2" t="str">
        <x:f>IF(AND(N30=1,'Trial Rows'!G30="B"),O30,"")</x:f>
      </x:c>
      <x:c r="R30" s="2" t="str">
        <x:f>IF(AND(N30=1,COUNTIFS('Trial Rows'!$B$2:$B$201,'Trial Rows'!B30,'Trial Rows'!$C$2:$C$201,'Trial Rows'!C30,'Trial Rows'!$F$2:$F$201,'Trial Rows'!F30,'Trial Rows'!$G$2:$G$201,'Trial Rows'!G30,'Trial Rows'!$Y$2:$Y$201,'Trial Rows'!Y30,'Trial Rows'!$N$2:$N$201,"&gt;=0",'Trial Rows'!$N$2:$N$201,"&lt;=4",'Trial Rows'!$N$2:$N$201,"&lt;&gt;")=4),SUMIFS('Trial Rows'!$N$2:$N$201,'Trial Rows'!$B$2:$B$201,'Trial Rows'!B30,'Trial Rows'!$C$2:$C$201,'Trial Rows'!C30,'Trial Rows'!$F$2:$F$201,'Trial Rows'!F30,'Trial Rows'!$G$2:$G$201,'Trial Rows'!G30,'Trial Rows'!$Y$2:$Y$201,'Trial Rows'!Y30,'Trial Rows'!$I$2:$I$201,1)+4-SUMIFS('Trial Rows'!$N$2:$N$201,'Trial Rows'!$B$2:$B$201,'Trial Rows'!B30,'Trial Rows'!$C$2:$C$201,'Trial Rows'!C30,'Trial Rows'!$F$2:$F$201,'Trial Rows'!F30,'Trial Rows'!$G$2:$G$201,'Trial Rows'!G30,'Trial Rows'!$Y$2:$Y$201,'Trial Rows'!Y30,'Trial Rows'!$I$2:$I$201,2)+4-SUMIFS('Trial Rows'!$N$2:$N$201,'Trial Rows'!$B$2:$B$201,'Trial Rows'!B30,'Trial Rows'!$C$2:$C$201,'Trial Rows'!C30,'Trial Rows'!$F$2:$F$201,'Trial Rows'!F30,'Trial Rows'!$G$2:$G$201,'Trial Rows'!G30,'Trial Rows'!$Y$2:$Y$201,'Trial Rows'!Y30,'Trial Rows'!$I$2:$I$201,3)+SUMIFS('Trial Rows'!$N$2:$N$201,'Trial Rows'!$B$2:$B$201,'Trial Rows'!B30,'Trial Rows'!$C$2:$C$201,'Trial Rows'!C30,'Trial Rows'!$F$2:$F$201,'Trial Rows'!F30,'Trial Rows'!$G$2:$G$201,'Trial Rows'!G30,'Trial Rows'!$Y$2:$Y$201,'Trial Rows'!Y30,'Trial Rows'!$I$2:$I$201,4),"")</x:f>
      </x:c>
      <x:c r="S30" s="2" t="n">
        <x:f>IF(AND(B30=1,COUNTIFS('Trial Rows'!$C$2:C30,'Trial Rows'!C30,'Trial Rows'!$F$2:F30,Summary!$B$5,'Trial Rows'!$Y$2:Y30,Summary!$B$4)=1),1,0)</x:f>
        <x:v>0</x:v>
      </x:c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2" t="str">
        <x:f>IF('Trial Rows'!A31="","",'Trial Rows'!F31&amp;"|"&amp;'Trial Rows'!B31&amp;"|"&amp;'Trial Rows'!C31&amp;"|"&amp;'Trial Rows'!I31)</x:f>
      </x:c>
      <x:c r="B31" s="2" t="n">
        <x:f>IF(AND('Trial Rows'!A31&lt;&gt;"",'Trial Rows'!Y31=Summary!$B$4,'Trial Rows'!F31=Summary!$B$5),1,0)</x:f>
        <x:v>0</x:v>
      </x:c>
      <x:c r="C31" s="2" t="n">
        <x:f>IF(B31=1,COUNTIFS('Trial Rows'!$B$2:$B$201,'Trial Rows'!B31,'Trial Rows'!$C$2:$C$201,'Trial Rows'!C31,'Trial Rows'!$F$2:$F$201,'Trial Rows'!F31,'Trial Rows'!$I$2:$I$201,'Trial Rows'!I31,'Trial Rows'!$Y$2:$Y$201,'Trial Rows'!Y31,'Trial Rows'!$G$2:$G$201,"A"),0)</x:f>
        <x:v>0</x:v>
      </x:c>
      <x:c r="D31" s="2" t="n">
        <x:f>IF(B31=1,COUNTIFS('Trial Rows'!$B$2:$B$201,'Trial Rows'!B31,'Trial Rows'!$C$2:$C$201,'Trial Rows'!C31,'Trial Rows'!$F$2:$F$201,'Trial Rows'!F31,'Trial Rows'!$I$2:$I$201,'Trial Rows'!I31,'Trial Rows'!$Y$2:$Y$201,'Trial Rows'!Y31,'Trial Rows'!$G$2:$G$201,"B"),0)</x:f>
        <x:v>0</x:v>
      </x:c>
      <x:c r="E31" s="2" t="str">
        <x:f>IF(AND(C31=1,COUNTIFS('Trial Rows'!$B$2:$B$201,'Trial Rows'!B31,'Trial Rows'!$C$2:$C$201,'Trial Rows'!C31,'Trial Rows'!$F$2:$F$201,'Trial Rows'!F31,'Trial Rows'!$I$2:$I$201,'Trial Rows'!I31,'Trial Rows'!$Y$2:$Y$201,'Trial Rows'!Y31,'Trial Rows'!$G$2:$G$201,"A",'Trial Rows'!$K$2:$K$201,"&gt;=0",'Trial Rows'!$K$2:$K$201,"&lt;=4",'Trial Rows'!$K$2:$K$201,"&lt;&gt;")=1),SUMIFS('Trial Rows'!$K$2:$K$201,'Trial Rows'!$B$2:$B$201,'Trial Rows'!B31,'Trial Rows'!$C$2:$C$201,'Trial Rows'!C31,'Trial Rows'!$F$2:$F$201,'Trial Rows'!F31,'Trial Rows'!$I$2:$I$201,'Trial Rows'!I31,'Trial Rows'!$Y$2:$Y$201,'Trial Rows'!Y31,'Trial Rows'!$G$2:$G$201,"A"),"")</x:f>
      </x:c>
      <x:c r="F31" s="2" t="n">
        <x:f>IF(AND(B31=1,'Trial Rows'!G31="B",C31=1,D31=1,ISNUMBER(E31),ISNUMBER('Trial Rows'!M31),'Trial Rows'!M31&gt;=0,'Trial Rows'!M31&lt;=4,'Trial Rows'!Q31=0,'Trial Rows'!S31=0),1,0)</x:f>
        <x:v>0</x:v>
      </x:c>
      <x:c r="G31" s="2" t="n">
        <x:f>IF(F31=1,IF(E31='Trial Rows'!M31,1,0),0)</x:f>
        <x:v>0</x:v>
      </x:c>
      <x:c r="H31" s="2" t="n">
        <x:f>IF(AND(B31=1,'Trial Rows'!G31="B",C31=1,D31=1,ISNUMBER(E31),'Trial Rows'!R31=1,'Trial Rows'!Q31=0,'Trial Rows'!S31=0,ISNUMBER('Trial Rows'!L31),'Trial Rows'!L31&gt;=0,'Trial Rows'!L31&lt;=4),1,0)</x:f>
        <x:v>0</x:v>
      </x:c>
      <x:c r="I31" s="2" t="n">
        <x:f>IF(H31=1,IF(E31='Trial Rows'!L31,1,0),0)</x:f>
        <x:v>0</x:v>
      </x:c>
      <x:c r="J31" s="2" t="n">
        <x:f>IF(AND(B31=1,'Trial Rows'!G31="B",'Trial Rows'!P31&gt;0),1,0)</x:f>
        <x:v>0</x:v>
      </x:c>
      <x:c r="K31" s="2" t="n">
        <x:f>IF(AND(B31=1,'Trial Rows'!G31="B",'Trial Rows'!Q31=1),1,0)</x:f>
        <x:v>0</x:v>
      </x:c>
      <x:c r="L31" s="2" t="n">
        <x:f>IF(AND(B31=1,'Trial Rows'!G31="B",'Trial Rows'!R31=1,'Trial Rows'!Q31=0,'Trial Rows'!S31=0),1,0)</x:f>
        <x:v>0</x:v>
      </x:c>
      <x:c r="M31" s="2" t="n">
        <x:f>IF(AND(B31=1,'Trial Rows'!G31="B"),1,0)</x:f>
        <x:v>0</x:v>
      </x:c>
      <x:c r="N31" s="2" t="n">
        <x:f>IF(AND(B31=1,'Trial Rows'!I31=1,COUNTIFS('Trial Rows'!$B$2:$B$201,'Trial Rows'!B31,'Trial Rows'!$C$2:$C$201,'Trial Rows'!C31,'Trial Rows'!$F$2:$F$201,'Trial Rows'!F31,'Trial Rows'!$G$2:$G$201,'Trial Rows'!G31,'Trial Rows'!$Y$2:$Y$201,'Trial Rows'!Y31)=4,COUNTIFS('Trial Rows'!$B$2:$B$201,'Trial Rows'!B31,'Trial Rows'!$C$2:$C$201,'Trial Rows'!C31,'Trial Rows'!$F$2:$F$201,'Trial Rows'!F31,'Trial Rows'!$G$2:$G$201,'Trial Rows'!G31,'Trial Rows'!$Y$2:$Y$201,'Trial Rows'!Y31,'Trial Rows'!$I$2:$I$201,1)=1,COUNTIFS('Trial Rows'!$B$2:$B$201,'Trial Rows'!B31,'Trial Rows'!$C$2:$C$201,'Trial Rows'!C31,'Trial Rows'!$F$2:$F$201,'Trial Rows'!F31,'Trial Rows'!$G$2:$G$201,'Trial Rows'!G31,'Trial Rows'!$Y$2:$Y$201,'Trial Rows'!Y31,'Trial Rows'!$I$2:$I$201,2)=1,COUNTIFS('Trial Rows'!$B$2:$B$201,'Trial Rows'!B31,'Trial Rows'!$C$2:$C$201,'Trial Rows'!C31,'Trial Rows'!$F$2:$F$201,'Trial Rows'!F31,'Trial Rows'!$G$2:$G$201,'Trial Rows'!G31,'Trial Rows'!$Y$2:$Y$201,'Trial Rows'!Y31,'Trial Rows'!$I$2:$I$201,3)=1,COUNTIFS('Trial Rows'!$B$2:$B$201,'Trial Rows'!B31,'Trial Rows'!$C$2:$C$201,'Trial Rows'!C31,'Trial Rows'!$F$2:$F$201,'Trial Rows'!F31,'Trial Rows'!$G$2:$G$201,'Trial Rows'!G31,'Trial Rows'!$Y$2:$Y$201,'Trial Rows'!Y31,'Trial Rows'!$I$2:$I$201,4)=1,COUNTIFS('Trial Rows'!$B$2:$B$201,'Trial Rows'!B31,'Trial Rows'!$C$2:$C$201,'Trial Rows'!C31,'Trial Rows'!$F$2:$F$201,'Trial Rows'!F31,'Trial Rows'!$G$2:$G$201,'Trial Rows'!G31,'Trial Rows'!$Y$2:$Y$201,'Trial Rows'!Y31,'Trial Rows'!$W$2:$W$201,"&lt;&gt;")=4,ISNUMBER('Trial Rows'!U31),COUNTIFS('Trial Rows'!$B$2:$B$201,'Trial Rows'!B31,'Trial Rows'!$C$2:$C$201,'Trial Rows'!C31,'Trial Rows'!$F$2:$F$201,'Trial Rows'!F31,'Trial Rows'!$G$2:$G$201,'Trial Rows'!G31,'Trial Rows'!$Y$2:$Y$201,'Trial Rows'!Y31,'Trial Rows'!$U$2:$U$201,'Trial Rows'!U31)=4,'Trial Rows'!U31&gt;=0),1,0)</x:f>
        <x:v>0</x:v>
      </x:c>
      <x:c r="O31" s="2" t="str">
        <x:f>IF(N31=1,'Trial Rows'!U31/1000,"")</x:f>
      </x:c>
      <x:c r="P31" s="2" t="str">
        <x:f>IF(AND(N31=1,'Trial Rows'!G31="A"),O31,"")</x:f>
      </x:c>
      <x:c r="Q31" s="2" t="str">
        <x:f>IF(AND(N31=1,'Trial Rows'!G31="B"),O31,"")</x:f>
      </x:c>
      <x:c r="R31" s="2" t="str">
        <x:f>IF(AND(N31=1,COUNTIFS('Trial Rows'!$B$2:$B$201,'Trial Rows'!B31,'Trial Rows'!$C$2:$C$201,'Trial Rows'!C31,'Trial Rows'!$F$2:$F$201,'Trial Rows'!F31,'Trial Rows'!$G$2:$G$201,'Trial Rows'!G31,'Trial Rows'!$Y$2:$Y$201,'Trial Rows'!Y31,'Trial Rows'!$N$2:$N$201,"&gt;=0",'Trial Rows'!$N$2:$N$201,"&lt;=4",'Trial Rows'!$N$2:$N$201,"&lt;&gt;")=4),SUMIFS('Trial Rows'!$N$2:$N$201,'Trial Rows'!$B$2:$B$201,'Trial Rows'!B31,'Trial Rows'!$C$2:$C$201,'Trial Rows'!C31,'Trial Rows'!$F$2:$F$201,'Trial Rows'!F31,'Trial Rows'!$G$2:$G$201,'Trial Rows'!G31,'Trial Rows'!$Y$2:$Y$201,'Trial Rows'!Y31,'Trial Rows'!$I$2:$I$201,1)+4-SUMIFS('Trial Rows'!$N$2:$N$201,'Trial Rows'!$B$2:$B$201,'Trial Rows'!B31,'Trial Rows'!$C$2:$C$201,'Trial Rows'!C31,'Trial Rows'!$F$2:$F$201,'Trial Rows'!F31,'Trial Rows'!$G$2:$G$201,'Trial Rows'!G31,'Trial Rows'!$Y$2:$Y$201,'Trial Rows'!Y31,'Trial Rows'!$I$2:$I$201,2)+4-SUMIFS('Trial Rows'!$N$2:$N$201,'Trial Rows'!$B$2:$B$201,'Trial Rows'!B31,'Trial Rows'!$C$2:$C$201,'Trial Rows'!C31,'Trial Rows'!$F$2:$F$201,'Trial Rows'!F31,'Trial Rows'!$G$2:$G$201,'Trial Rows'!G31,'Trial Rows'!$Y$2:$Y$201,'Trial Rows'!Y31,'Trial Rows'!$I$2:$I$201,3)+SUMIFS('Trial Rows'!$N$2:$N$201,'Trial Rows'!$B$2:$B$201,'Trial Rows'!B31,'Trial Rows'!$C$2:$C$201,'Trial Rows'!C31,'Trial Rows'!$F$2:$F$201,'Trial Rows'!F31,'Trial Rows'!$G$2:$G$201,'Trial Rows'!G31,'Trial Rows'!$Y$2:$Y$201,'Trial Rows'!Y31,'Trial Rows'!$I$2:$I$201,4),"")</x:f>
      </x:c>
      <x:c r="S31" s="2" t="n">
        <x:f>IF(AND(B31=1,COUNTIFS('Trial Rows'!$C$2:C31,'Trial Rows'!C31,'Trial Rows'!$F$2:F31,Summary!$B$5,'Trial Rows'!$Y$2:Y31,Summary!$B$4)=1),1,0)</x:f>
        <x:v>0</x:v>
      </x:c>
      <x:c r="T31" s="2"/>
      <x:c r="U31" s="2"/>
      <x:c r="V31" s="2"/>
      <x:c r="W31" s="2"/>
      <x:c r="X31" s="2"/>
      <x:c r="Y31" s="2"/>
      <x:c r="Z31" s="2"/>
      <x:c r="AA31" s="2"/>
      <x:c r="AB31" s="2"/>
    </x:row>
    <x:row r="32">
      <x:c r="A32" s="2" t="str">
        <x:f>IF('Trial Rows'!A32="","",'Trial Rows'!F32&amp;"|"&amp;'Trial Rows'!B32&amp;"|"&amp;'Trial Rows'!C32&amp;"|"&amp;'Trial Rows'!I32)</x:f>
      </x:c>
      <x:c r="B32" s="2" t="n">
        <x:f>IF(AND('Trial Rows'!A32&lt;&gt;"",'Trial Rows'!Y32=Summary!$B$4,'Trial Rows'!F32=Summary!$B$5),1,0)</x:f>
        <x:v>0</x:v>
      </x:c>
      <x:c r="C32" s="2" t="n">
        <x:f>IF(B32=1,COUNTIFS('Trial Rows'!$B$2:$B$201,'Trial Rows'!B32,'Trial Rows'!$C$2:$C$201,'Trial Rows'!C32,'Trial Rows'!$F$2:$F$201,'Trial Rows'!F32,'Trial Rows'!$I$2:$I$201,'Trial Rows'!I32,'Trial Rows'!$Y$2:$Y$201,'Trial Rows'!Y32,'Trial Rows'!$G$2:$G$201,"A"),0)</x:f>
        <x:v>0</x:v>
      </x:c>
      <x:c r="D32" s="2" t="n">
        <x:f>IF(B32=1,COUNTIFS('Trial Rows'!$B$2:$B$201,'Trial Rows'!B32,'Trial Rows'!$C$2:$C$201,'Trial Rows'!C32,'Trial Rows'!$F$2:$F$201,'Trial Rows'!F32,'Trial Rows'!$I$2:$I$201,'Trial Rows'!I32,'Trial Rows'!$Y$2:$Y$201,'Trial Rows'!Y32,'Trial Rows'!$G$2:$G$201,"B"),0)</x:f>
        <x:v>0</x:v>
      </x:c>
      <x:c r="E32" s="2" t="str">
        <x:f>IF(AND(C32=1,COUNTIFS('Trial Rows'!$B$2:$B$201,'Trial Rows'!B32,'Trial Rows'!$C$2:$C$201,'Trial Rows'!C32,'Trial Rows'!$F$2:$F$201,'Trial Rows'!F32,'Trial Rows'!$I$2:$I$201,'Trial Rows'!I32,'Trial Rows'!$Y$2:$Y$201,'Trial Rows'!Y32,'Trial Rows'!$G$2:$G$201,"A",'Trial Rows'!$K$2:$K$201,"&gt;=0",'Trial Rows'!$K$2:$K$201,"&lt;=4",'Trial Rows'!$K$2:$K$201,"&lt;&gt;")=1),SUMIFS('Trial Rows'!$K$2:$K$201,'Trial Rows'!$B$2:$B$201,'Trial Rows'!B32,'Trial Rows'!$C$2:$C$201,'Trial Rows'!C32,'Trial Rows'!$F$2:$F$201,'Trial Rows'!F32,'Trial Rows'!$I$2:$I$201,'Trial Rows'!I32,'Trial Rows'!$Y$2:$Y$201,'Trial Rows'!Y32,'Trial Rows'!$G$2:$G$201,"A"),"")</x:f>
      </x:c>
      <x:c r="F32" s="2" t="n">
        <x:f>IF(AND(B32=1,'Trial Rows'!G32="B",C32=1,D32=1,ISNUMBER(E32),ISNUMBER('Trial Rows'!M32),'Trial Rows'!M32&gt;=0,'Trial Rows'!M32&lt;=4,'Trial Rows'!Q32=0,'Trial Rows'!S32=0),1,0)</x:f>
        <x:v>0</x:v>
      </x:c>
      <x:c r="G32" s="2" t="n">
        <x:f>IF(F32=1,IF(E32='Trial Rows'!M32,1,0),0)</x:f>
        <x:v>0</x:v>
      </x:c>
      <x:c r="H32" s="2" t="n">
        <x:f>IF(AND(B32=1,'Trial Rows'!G32="B",C32=1,D32=1,ISNUMBER(E32),'Trial Rows'!R32=1,'Trial Rows'!Q32=0,'Trial Rows'!S32=0,ISNUMBER('Trial Rows'!L32),'Trial Rows'!L32&gt;=0,'Trial Rows'!L32&lt;=4),1,0)</x:f>
        <x:v>0</x:v>
      </x:c>
      <x:c r="I32" s="2" t="n">
        <x:f>IF(H32=1,IF(E32='Trial Rows'!L32,1,0),0)</x:f>
        <x:v>0</x:v>
      </x:c>
      <x:c r="J32" s="2" t="n">
        <x:f>IF(AND(B32=1,'Trial Rows'!G32="B",'Trial Rows'!P32&gt;0),1,0)</x:f>
        <x:v>0</x:v>
      </x:c>
      <x:c r="K32" s="2" t="n">
        <x:f>IF(AND(B32=1,'Trial Rows'!G32="B",'Trial Rows'!Q32=1),1,0)</x:f>
        <x:v>0</x:v>
      </x:c>
      <x:c r="L32" s="2" t="n">
        <x:f>IF(AND(B32=1,'Trial Rows'!G32="B",'Trial Rows'!R32=1,'Trial Rows'!Q32=0,'Trial Rows'!S32=0),1,0)</x:f>
        <x:v>0</x:v>
      </x:c>
      <x:c r="M32" s="2" t="n">
        <x:f>IF(AND(B32=1,'Trial Rows'!G32="B"),1,0)</x:f>
        <x:v>0</x:v>
      </x:c>
      <x:c r="N32" s="2" t="n">
        <x:f>IF(AND(B32=1,'Trial Rows'!I32=1,COUNTIFS('Trial Rows'!$B$2:$B$201,'Trial Rows'!B32,'Trial Rows'!$C$2:$C$201,'Trial Rows'!C32,'Trial Rows'!$F$2:$F$201,'Trial Rows'!F32,'Trial Rows'!$G$2:$G$201,'Trial Rows'!G32,'Trial Rows'!$Y$2:$Y$201,'Trial Rows'!Y32)=4,COUNTIFS('Trial Rows'!$B$2:$B$201,'Trial Rows'!B32,'Trial Rows'!$C$2:$C$201,'Trial Rows'!C32,'Trial Rows'!$F$2:$F$201,'Trial Rows'!F32,'Trial Rows'!$G$2:$G$201,'Trial Rows'!G32,'Trial Rows'!$Y$2:$Y$201,'Trial Rows'!Y32,'Trial Rows'!$I$2:$I$201,1)=1,COUNTIFS('Trial Rows'!$B$2:$B$201,'Trial Rows'!B32,'Trial Rows'!$C$2:$C$201,'Trial Rows'!C32,'Trial Rows'!$F$2:$F$201,'Trial Rows'!F32,'Trial Rows'!$G$2:$G$201,'Trial Rows'!G32,'Trial Rows'!$Y$2:$Y$201,'Trial Rows'!Y32,'Trial Rows'!$I$2:$I$201,2)=1,COUNTIFS('Trial Rows'!$B$2:$B$201,'Trial Rows'!B32,'Trial Rows'!$C$2:$C$201,'Trial Rows'!C32,'Trial Rows'!$F$2:$F$201,'Trial Rows'!F32,'Trial Rows'!$G$2:$G$201,'Trial Rows'!G32,'Trial Rows'!$Y$2:$Y$201,'Trial Rows'!Y32,'Trial Rows'!$I$2:$I$201,3)=1,COUNTIFS('Trial Rows'!$B$2:$B$201,'Trial Rows'!B32,'Trial Rows'!$C$2:$C$201,'Trial Rows'!C32,'Trial Rows'!$F$2:$F$201,'Trial Rows'!F32,'Trial Rows'!$G$2:$G$201,'Trial Rows'!G32,'Trial Rows'!$Y$2:$Y$201,'Trial Rows'!Y32,'Trial Rows'!$I$2:$I$201,4)=1,COUNTIFS('Trial Rows'!$B$2:$B$201,'Trial Rows'!B32,'Trial Rows'!$C$2:$C$201,'Trial Rows'!C32,'Trial Rows'!$F$2:$F$201,'Trial Rows'!F32,'Trial Rows'!$G$2:$G$201,'Trial Rows'!G32,'Trial Rows'!$Y$2:$Y$201,'Trial Rows'!Y32,'Trial Rows'!$W$2:$W$201,"&lt;&gt;")=4,ISNUMBER('Trial Rows'!U32),COUNTIFS('Trial Rows'!$B$2:$B$201,'Trial Rows'!B32,'Trial Rows'!$C$2:$C$201,'Trial Rows'!C32,'Trial Rows'!$F$2:$F$201,'Trial Rows'!F32,'Trial Rows'!$G$2:$G$201,'Trial Rows'!G32,'Trial Rows'!$Y$2:$Y$201,'Trial Rows'!Y32,'Trial Rows'!$U$2:$U$201,'Trial Rows'!U32)=4,'Trial Rows'!U32&gt;=0),1,0)</x:f>
        <x:v>0</x:v>
      </x:c>
      <x:c r="O32" s="2" t="str">
        <x:f>IF(N32=1,'Trial Rows'!U32/1000,"")</x:f>
      </x:c>
      <x:c r="P32" s="2" t="str">
        <x:f>IF(AND(N32=1,'Trial Rows'!G32="A"),O32,"")</x:f>
      </x:c>
      <x:c r="Q32" s="2" t="str">
        <x:f>IF(AND(N32=1,'Trial Rows'!G32="B"),O32,"")</x:f>
      </x:c>
      <x:c r="R32" s="2" t="str">
        <x:f>IF(AND(N32=1,COUNTIFS('Trial Rows'!$B$2:$B$201,'Trial Rows'!B32,'Trial Rows'!$C$2:$C$201,'Trial Rows'!C32,'Trial Rows'!$F$2:$F$201,'Trial Rows'!F32,'Trial Rows'!$G$2:$G$201,'Trial Rows'!G32,'Trial Rows'!$Y$2:$Y$201,'Trial Rows'!Y32,'Trial Rows'!$N$2:$N$201,"&gt;=0",'Trial Rows'!$N$2:$N$201,"&lt;=4",'Trial Rows'!$N$2:$N$201,"&lt;&gt;")=4),SUMIFS('Trial Rows'!$N$2:$N$201,'Trial Rows'!$B$2:$B$201,'Trial Rows'!B32,'Trial Rows'!$C$2:$C$201,'Trial Rows'!C32,'Trial Rows'!$F$2:$F$201,'Trial Rows'!F32,'Trial Rows'!$G$2:$G$201,'Trial Rows'!G32,'Trial Rows'!$Y$2:$Y$201,'Trial Rows'!Y32,'Trial Rows'!$I$2:$I$201,1)+4-SUMIFS('Trial Rows'!$N$2:$N$201,'Trial Rows'!$B$2:$B$201,'Trial Rows'!B32,'Trial Rows'!$C$2:$C$201,'Trial Rows'!C32,'Trial Rows'!$F$2:$F$201,'Trial Rows'!F32,'Trial Rows'!$G$2:$G$201,'Trial Rows'!G32,'Trial Rows'!$Y$2:$Y$201,'Trial Rows'!Y32,'Trial Rows'!$I$2:$I$201,2)+4-SUMIFS('Trial Rows'!$N$2:$N$201,'Trial Rows'!$B$2:$B$201,'Trial Rows'!B32,'Trial Rows'!$C$2:$C$201,'Trial Rows'!C32,'Trial Rows'!$F$2:$F$201,'Trial Rows'!F32,'Trial Rows'!$G$2:$G$201,'Trial Rows'!G32,'Trial Rows'!$Y$2:$Y$201,'Trial Rows'!Y32,'Trial Rows'!$I$2:$I$201,3)+SUMIFS('Trial Rows'!$N$2:$N$201,'Trial Rows'!$B$2:$B$201,'Trial Rows'!B32,'Trial Rows'!$C$2:$C$201,'Trial Rows'!C32,'Trial Rows'!$F$2:$F$201,'Trial Rows'!F32,'Trial Rows'!$G$2:$G$201,'Trial Rows'!G32,'Trial Rows'!$Y$2:$Y$201,'Trial Rows'!Y32,'Trial Rows'!$I$2:$I$201,4),"")</x:f>
      </x:c>
      <x:c r="S32" s="2" t="n">
        <x:f>IF(AND(B32=1,COUNTIFS('Trial Rows'!$C$2:C32,'Trial Rows'!C32,'Trial Rows'!$F$2:F32,Summary!$B$5,'Trial Rows'!$Y$2:Y32,Summary!$B$4)=1),1,0)</x:f>
        <x:v>0</x:v>
      </x:c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 t="str">
        <x:f>IF('Trial Rows'!A33="","",'Trial Rows'!F33&amp;"|"&amp;'Trial Rows'!B33&amp;"|"&amp;'Trial Rows'!C33&amp;"|"&amp;'Trial Rows'!I33)</x:f>
      </x:c>
      <x:c r="B33" s="2" t="n">
        <x:f>IF(AND('Trial Rows'!A33&lt;&gt;"",'Trial Rows'!Y33=Summary!$B$4,'Trial Rows'!F33=Summary!$B$5),1,0)</x:f>
        <x:v>0</x:v>
      </x:c>
      <x:c r="C33" s="2" t="n">
        <x:f>IF(B33=1,COUNTIFS('Trial Rows'!$B$2:$B$201,'Trial Rows'!B33,'Trial Rows'!$C$2:$C$201,'Trial Rows'!C33,'Trial Rows'!$F$2:$F$201,'Trial Rows'!F33,'Trial Rows'!$I$2:$I$201,'Trial Rows'!I33,'Trial Rows'!$Y$2:$Y$201,'Trial Rows'!Y33,'Trial Rows'!$G$2:$G$201,"A"),0)</x:f>
        <x:v>0</x:v>
      </x:c>
      <x:c r="D33" s="2" t="n">
        <x:f>IF(B33=1,COUNTIFS('Trial Rows'!$B$2:$B$201,'Trial Rows'!B33,'Trial Rows'!$C$2:$C$201,'Trial Rows'!C33,'Trial Rows'!$F$2:$F$201,'Trial Rows'!F33,'Trial Rows'!$I$2:$I$201,'Trial Rows'!I33,'Trial Rows'!$Y$2:$Y$201,'Trial Rows'!Y33,'Trial Rows'!$G$2:$G$201,"B"),0)</x:f>
        <x:v>0</x:v>
      </x:c>
      <x:c r="E33" s="2" t="str">
        <x:f>IF(AND(C33=1,COUNTIFS('Trial Rows'!$B$2:$B$201,'Trial Rows'!B33,'Trial Rows'!$C$2:$C$201,'Trial Rows'!C33,'Trial Rows'!$F$2:$F$201,'Trial Rows'!F33,'Trial Rows'!$I$2:$I$201,'Trial Rows'!I33,'Trial Rows'!$Y$2:$Y$201,'Trial Rows'!Y33,'Trial Rows'!$G$2:$G$201,"A",'Trial Rows'!$K$2:$K$201,"&gt;=0",'Trial Rows'!$K$2:$K$201,"&lt;=4",'Trial Rows'!$K$2:$K$201,"&lt;&gt;")=1),SUMIFS('Trial Rows'!$K$2:$K$201,'Trial Rows'!$B$2:$B$201,'Trial Rows'!B33,'Trial Rows'!$C$2:$C$201,'Trial Rows'!C33,'Trial Rows'!$F$2:$F$201,'Trial Rows'!F33,'Trial Rows'!$I$2:$I$201,'Trial Rows'!I33,'Trial Rows'!$Y$2:$Y$201,'Trial Rows'!Y33,'Trial Rows'!$G$2:$G$201,"A"),"")</x:f>
      </x:c>
      <x:c r="F33" s="2" t="n">
        <x:f>IF(AND(B33=1,'Trial Rows'!G33="B",C33=1,D33=1,ISNUMBER(E33),ISNUMBER('Trial Rows'!M33),'Trial Rows'!M33&gt;=0,'Trial Rows'!M33&lt;=4,'Trial Rows'!Q33=0,'Trial Rows'!S33=0),1,0)</x:f>
        <x:v>0</x:v>
      </x:c>
      <x:c r="G33" s="2" t="n">
        <x:f>IF(F33=1,IF(E33='Trial Rows'!M33,1,0),0)</x:f>
        <x:v>0</x:v>
      </x:c>
      <x:c r="H33" s="2" t="n">
        <x:f>IF(AND(B33=1,'Trial Rows'!G33="B",C33=1,D33=1,ISNUMBER(E33),'Trial Rows'!R33=1,'Trial Rows'!Q33=0,'Trial Rows'!S33=0,ISNUMBER('Trial Rows'!L33),'Trial Rows'!L33&gt;=0,'Trial Rows'!L33&lt;=4),1,0)</x:f>
        <x:v>0</x:v>
      </x:c>
      <x:c r="I33" s="2" t="n">
        <x:f>IF(H33=1,IF(E33='Trial Rows'!L33,1,0),0)</x:f>
        <x:v>0</x:v>
      </x:c>
      <x:c r="J33" s="2" t="n">
        <x:f>IF(AND(B33=1,'Trial Rows'!G33="B",'Trial Rows'!P33&gt;0),1,0)</x:f>
        <x:v>0</x:v>
      </x:c>
      <x:c r="K33" s="2" t="n">
        <x:f>IF(AND(B33=1,'Trial Rows'!G33="B",'Trial Rows'!Q33=1),1,0)</x:f>
        <x:v>0</x:v>
      </x:c>
      <x:c r="L33" s="2" t="n">
        <x:f>IF(AND(B33=1,'Trial Rows'!G33="B",'Trial Rows'!R33=1,'Trial Rows'!Q33=0,'Trial Rows'!S33=0),1,0)</x:f>
        <x:v>0</x:v>
      </x:c>
      <x:c r="M33" s="2" t="n">
        <x:f>IF(AND(B33=1,'Trial Rows'!G33="B"),1,0)</x:f>
        <x:v>0</x:v>
      </x:c>
      <x:c r="N33" s="2" t="n">
        <x:f>IF(AND(B33=1,'Trial Rows'!I33=1,COUNTIFS('Trial Rows'!$B$2:$B$201,'Trial Rows'!B33,'Trial Rows'!$C$2:$C$201,'Trial Rows'!C33,'Trial Rows'!$F$2:$F$201,'Trial Rows'!F33,'Trial Rows'!$G$2:$G$201,'Trial Rows'!G33,'Trial Rows'!$Y$2:$Y$201,'Trial Rows'!Y33)=4,COUNTIFS('Trial Rows'!$B$2:$B$201,'Trial Rows'!B33,'Trial Rows'!$C$2:$C$201,'Trial Rows'!C33,'Trial Rows'!$F$2:$F$201,'Trial Rows'!F33,'Trial Rows'!$G$2:$G$201,'Trial Rows'!G33,'Trial Rows'!$Y$2:$Y$201,'Trial Rows'!Y33,'Trial Rows'!$I$2:$I$201,1)=1,COUNTIFS('Trial Rows'!$B$2:$B$201,'Trial Rows'!B33,'Trial Rows'!$C$2:$C$201,'Trial Rows'!C33,'Trial Rows'!$F$2:$F$201,'Trial Rows'!F33,'Trial Rows'!$G$2:$G$201,'Trial Rows'!G33,'Trial Rows'!$Y$2:$Y$201,'Trial Rows'!Y33,'Trial Rows'!$I$2:$I$201,2)=1,COUNTIFS('Trial Rows'!$B$2:$B$201,'Trial Rows'!B33,'Trial Rows'!$C$2:$C$201,'Trial Rows'!C33,'Trial Rows'!$F$2:$F$201,'Trial Rows'!F33,'Trial Rows'!$G$2:$G$201,'Trial Rows'!G33,'Trial Rows'!$Y$2:$Y$201,'Trial Rows'!Y33,'Trial Rows'!$I$2:$I$201,3)=1,COUNTIFS('Trial Rows'!$B$2:$B$201,'Trial Rows'!B33,'Trial Rows'!$C$2:$C$201,'Trial Rows'!C33,'Trial Rows'!$F$2:$F$201,'Trial Rows'!F33,'Trial Rows'!$G$2:$G$201,'Trial Rows'!G33,'Trial Rows'!$Y$2:$Y$201,'Trial Rows'!Y33,'Trial Rows'!$I$2:$I$201,4)=1,COUNTIFS('Trial Rows'!$B$2:$B$201,'Trial Rows'!B33,'Trial Rows'!$C$2:$C$201,'Trial Rows'!C33,'Trial Rows'!$F$2:$F$201,'Trial Rows'!F33,'Trial Rows'!$G$2:$G$201,'Trial Rows'!G33,'Trial Rows'!$Y$2:$Y$201,'Trial Rows'!Y33,'Trial Rows'!$W$2:$W$201,"&lt;&gt;")=4,ISNUMBER('Trial Rows'!U33),COUNTIFS('Trial Rows'!$B$2:$B$201,'Trial Rows'!B33,'Trial Rows'!$C$2:$C$201,'Trial Rows'!C33,'Trial Rows'!$F$2:$F$201,'Trial Rows'!F33,'Trial Rows'!$G$2:$G$201,'Trial Rows'!G33,'Trial Rows'!$Y$2:$Y$201,'Trial Rows'!Y33,'Trial Rows'!$U$2:$U$201,'Trial Rows'!U33)=4,'Trial Rows'!U33&gt;=0),1,0)</x:f>
        <x:v>0</x:v>
      </x:c>
      <x:c r="O33" s="2" t="str">
        <x:f>IF(N33=1,'Trial Rows'!U33/1000,"")</x:f>
      </x:c>
      <x:c r="P33" s="2" t="str">
        <x:f>IF(AND(N33=1,'Trial Rows'!G33="A"),O33,"")</x:f>
      </x:c>
      <x:c r="Q33" s="2" t="str">
        <x:f>IF(AND(N33=1,'Trial Rows'!G33="B"),O33,"")</x:f>
      </x:c>
      <x:c r="R33" s="2" t="str">
        <x:f>IF(AND(N33=1,COUNTIFS('Trial Rows'!$B$2:$B$201,'Trial Rows'!B33,'Trial Rows'!$C$2:$C$201,'Trial Rows'!C33,'Trial Rows'!$F$2:$F$201,'Trial Rows'!F33,'Trial Rows'!$G$2:$G$201,'Trial Rows'!G33,'Trial Rows'!$Y$2:$Y$201,'Trial Rows'!Y33,'Trial Rows'!$N$2:$N$201,"&gt;=0",'Trial Rows'!$N$2:$N$201,"&lt;=4",'Trial Rows'!$N$2:$N$201,"&lt;&gt;")=4),SUMIFS('Trial Rows'!$N$2:$N$201,'Trial Rows'!$B$2:$B$201,'Trial Rows'!B33,'Trial Rows'!$C$2:$C$201,'Trial Rows'!C33,'Trial Rows'!$F$2:$F$201,'Trial Rows'!F33,'Trial Rows'!$G$2:$G$201,'Trial Rows'!G33,'Trial Rows'!$Y$2:$Y$201,'Trial Rows'!Y33,'Trial Rows'!$I$2:$I$201,1)+4-SUMIFS('Trial Rows'!$N$2:$N$201,'Trial Rows'!$B$2:$B$201,'Trial Rows'!B33,'Trial Rows'!$C$2:$C$201,'Trial Rows'!C33,'Trial Rows'!$F$2:$F$201,'Trial Rows'!F33,'Trial Rows'!$G$2:$G$201,'Trial Rows'!G33,'Trial Rows'!$Y$2:$Y$201,'Trial Rows'!Y33,'Trial Rows'!$I$2:$I$201,2)+4-SUMIFS('Trial Rows'!$N$2:$N$201,'Trial Rows'!$B$2:$B$201,'Trial Rows'!B33,'Trial Rows'!$C$2:$C$201,'Trial Rows'!C33,'Trial Rows'!$F$2:$F$201,'Trial Rows'!F33,'Trial Rows'!$G$2:$G$201,'Trial Rows'!G33,'Trial Rows'!$Y$2:$Y$201,'Trial Rows'!Y33,'Trial Rows'!$I$2:$I$201,3)+SUMIFS('Trial Rows'!$N$2:$N$201,'Trial Rows'!$B$2:$B$201,'Trial Rows'!B33,'Trial Rows'!$C$2:$C$201,'Trial Rows'!C33,'Trial Rows'!$F$2:$F$201,'Trial Rows'!F33,'Trial Rows'!$G$2:$G$201,'Trial Rows'!G33,'Trial Rows'!$Y$2:$Y$201,'Trial Rows'!Y33,'Trial Rows'!$I$2:$I$201,4),"")</x:f>
      </x:c>
      <x:c r="S33" s="2" t="n">
        <x:f>IF(AND(B33=1,COUNTIFS('Trial Rows'!$C$2:C33,'Trial Rows'!C33,'Trial Rows'!$F$2:F33,Summary!$B$5,'Trial Rows'!$Y$2:Y33,Summary!$B$4)=1),1,0)</x:f>
        <x:v>0</x:v>
      </x:c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 t="str">
        <x:f>IF('Trial Rows'!A34="","",'Trial Rows'!F34&amp;"|"&amp;'Trial Rows'!B34&amp;"|"&amp;'Trial Rows'!C34&amp;"|"&amp;'Trial Rows'!I34)</x:f>
      </x:c>
      <x:c r="B34" s="2" t="n">
        <x:f>IF(AND('Trial Rows'!A34&lt;&gt;"",'Trial Rows'!Y34=Summary!$B$4,'Trial Rows'!F34=Summary!$B$5),1,0)</x:f>
        <x:v>0</x:v>
      </x:c>
      <x:c r="C34" s="2" t="n">
        <x:f>IF(B34=1,COUNTIFS('Trial Rows'!$B$2:$B$201,'Trial Rows'!B34,'Trial Rows'!$C$2:$C$201,'Trial Rows'!C34,'Trial Rows'!$F$2:$F$201,'Trial Rows'!F34,'Trial Rows'!$I$2:$I$201,'Trial Rows'!I34,'Trial Rows'!$Y$2:$Y$201,'Trial Rows'!Y34,'Trial Rows'!$G$2:$G$201,"A"),0)</x:f>
        <x:v>0</x:v>
      </x:c>
      <x:c r="D34" s="2" t="n">
        <x:f>IF(B34=1,COUNTIFS('Trial Rows'!$B$2:$B$201,'Trial Rows'!B34,'Trial Rows'!$C$2:$C$201,'Trial Rows'!C34,'Trial Rows'!$F$2:$F$201,'Trial Rows'!F34,'Trial Rows'!$I$2:$I$201,'Trial Rows'!I34,'Trial Rows'!$Y$2:$Y$201,'Trial Rows'!Y34,'Trial Rows'!$G$2:$G$201,"B"),0)</x:f>
        <x:v>0</x:v>
      </x:c>
      <x:c r="E34" s="2" t="str">
        <x:f>IF(AND(C34=1,COUNTIFS('Trial Rows'!$B$2:$B$201,'Trial Rows'!B34,'Trial Rows'!$C$2:$C$201,'Trial Rows'!C34,'Trial Rows'!$F$2:$F$201,'Trial Rows'!F34,'Trial Rows'!$I$2:$I$201,'Trial Rows'!I34,'Trial Rows'!$Y$2:$Y$201,'Trial Rows'!Y34,'Trial Rows'!$G$2:$G$201,"A",'Trial Rows'!$K$2:$K$201,"&gt;=0",'Trial Rows'!$K$2:$K$201,"&lt;=4",'Trial Rows'!$K$2:$K$201,"&lt;&gt;")=1),SUMIFS('Trial Rows'!$K$2:$K$201,'Trial Rows'!$B$2:$B$201,'Trial Rows'!B34,'Trial Rows'!$C$2:$C$201,'Trial Rows'!C34,'Trial Rows'!$F$2:$F$201,'Trial Rows'!F34,'Trial Rows'!$I$2:$I$201,'Trial Rows'!I34,'Trial Rows'!$Y$2:$Y$201,'Trial Rows'!Y34,'Trial Rows'!$G$2:$G$201,"A"),"")</x:f>
      </x:c>
      <x:c r="F34" s="2" t="n">
        <x:f>IF(AND(B34=1,'Trial Rows'!G34="B",C34=1,D34=1,ISNUMBER(E34),ISNUMBER('Trial Rows'!M34),'Trial Rows'!M34&gt;=0,'Trial Rows'!M34&lt;=4,'Trial Rows'!Q34=0,'Trial Rows'!S34=0),1,0)</x:f>
        <x:v>0</x:v>
      </x:c>
      <x:c r="G34" s="2" t="n">
        <x:f>IF(F34=1,IF(E34='Trial Rows'!M34,1,0),0)</x:f>
        <x:v>0</x:v>
      </x:c>
      <x:c r="H34" s="2" t="n">
        <x:f>IF(AND(B34=1,'Trial Rows'!G34="B",C34=1,D34=1,ISNUMBER(E34),'Trial Rows'!R34=1,'Trial Rows'!Q34=0,'Trial Rows'!S34=0,ISNUMBER('Trial Rows'!L34),'Trial Rows'!L34&gt;=0,'Trial Rows'!L34&lt;=4),1,0)</x:f>
        <x:v>0</x:v>
      </x:c>
      <x:c r="I34" s="2" t="n">
        <x:f>IF(H34=1,IF(E34='Trial Rows'!L34,1,0),0)</x:f>
        <x:v>0</x:v>
      </x:c>
      <x:c r="J34" s="2" t="n">
        <x:f>IF(AND(B34=1,'Trial Rows'!G34="B",'Trial Rows'!P34&gt;0),1,0)</x:f>
        <x:v>0</x:v>
      </x:c>
      <x:c r="K34" s="2" t="n">
        <x:f>IF(AND(B34=1,'Trial Rows'!G34="B",'Trial Rows'!Q34=1),1,0)</x:f>
        <x:v>0</x:v>
      </x:c>
      <x:c r="L34" s="2" t="n">
        <x:f>IF(AND(B34=1,'Trial Rows'!G34="B",'Trial Rows'!R34=1,'Trial Rows'!Q34=0,'Trial Rows'!S34=0),1,0)</x:f>
        <x:v>0</x:v>
      </x:c>
      <x:c r="M34" s="2" t="n">
        <x:f>IF(AND(B34=1,'Trial Rows'!G34="B"),1,0)</x:f>
        <x:v>0</x:v>
      </x:c>
      <x:c r="N34" s="2" t="n">
        <x:f>IF(AND(B34=1,'Trial Rows'!I34=1,COUNTIFS('Trial Rows'!$B$2:$B$201,'Trial Rows'!B34,'Trial Rows'!$C$2:$C$201,'Trial Rows'!C34,'Trial Rows'!$F$2:$F$201,'Trial Rows'!F34,'Trial Rows'!$G$2:$G$201,'Trial Rows'!G34,'Trial Rows'!$Y$2:$Y$201,'Trial Rows'!Y34)=4,COUNTIFS('Trial Rows'!$B$2:$B$201,'Trial Rows'!B34,'Trial Rows'!$C$2:$C$201,'Trial Rows'!C34,'Trial Rows'!$F$2:$F$201,'Trial Rows'!F34,'Trial Rows'!$G$2:$G$201,'Trial Rows'!G34,'Trial Rows'!$Y$2:$Y$201,'Trial Rows'!Y34,'Trial Rows'!$I$2:$I$201,1)=1,COUNTIFS('Trial Rows'!$B$2:$B$201,'Trial Rows'!B34,'Trial Rows'!$C$2:$C$201,'Trial Rows'!C34,'Trial Rows'!$F$2:$F$201,'Trial Rows'!F34,'Trial Rows'!$G$2:$G$201,'Trial Rows'!G34,'Trial Rows'!$Y$2:$Y$201,'Trial Rows'!Y34,'Trial Rows'!$I$2:$I$201,2)=1,COUNTIFS('Trial Rows'!$B$2:$B$201,'Trial Rows'!B34,'Trial Rows'!$C$2:$C$201,'Trial Rows'!C34,'Trial Rows'!$F$2:$F$201,'Trial Rows'!F34,'Trial Rows'!$G$2:$G$201,'Trial Rows'!G34,'Trial Rows'!$Y$2:$Y$201,'Trial Rows'!Y34,'Trial Rows'!$I$2:$I$201,3)=1,COUNTIFS('Trial Rows'!$B$2:$B$201,'Trial Rows'!B34,'Trial Rows'!$C$2:$C$201,'Trial Rows'!C34,'Trial Rows'!$F$2:$F$201,'Trial Rows'!F34,'Trial Rows'!$G$2:$G$201,'Trial Rows'!G34,'Trial Rows'!$Y$2:$Y$201,'Trial Rows'!Y34,'Trial Rows'!$I$2:$I$201,4)=1,COUNTIFS('Trial Rows'!$B$2:$B$201,'Trial Rows'!B34,'Trial Rows'!$C$2:$C$201,'Trial Rows'!C34,'Trial Rows'!$F$2:$F$201,'Trial Rows'!F34,'Trial Rows'!$G$2:$G$201,'Trial Rows'!G34,'Trial Rows'!$Y$2:$Y$201,'Trial Rows'!Y34,'Trial Rows'!$W$2:$W$201,"&lt;&gt;")=4,ISNUMBER('Trial Rows'!U34),COUNTIFS('Trial Rows'!$B$2:$B$201,'Trial Rows'!B34,'Trial Rows'!$C$2:$C$201,'Trial Rows'!C34,'Trial Rows'!$F$2:$F$201,'Trial Rows'!F34,'Trial Rows'!$G$2:$G$201,'Trial Rows'!G34,'Trial Rows'!$Y$2:$Y$201,'Trial Rows'!Y34,'Trial Rows'!$U$2:$U$201,'Trial Rows'!U34)=4,'Trial Rows'!U34&gt;=0),1,0)</x:f>
        <x:v>0</x:v>
      </x:c>
      <x:c r="O34" s="2" t="str">
        <x:f>IF(N34=1,'Trial Rows'!U34/1000,"")</x:f>
      </x:c>
      <x:c r="P34" s="2" t="str">
        <x:f>IF(AND(N34=1,'Trial Rows'!G34="A"),O34,"")</x:f>
      </x:c>
      <x:c r="Q34" s="2" t="str">
        <x:f>IF(AND(N34=1,'Trial Rows'!G34="B"),O34,"")</x:f>
      </x:c>
      <x:c r="R34" s="2" t="str">
        <x:f>IF(AND(N34=1,COUNTIFS('Trial Rows'!$B$2:$B$201,'Trial Rows'!B34,'Trial Rows'!$C$2:$C$201,'Trial Rows'!C34,'Trial Rows'!$F$2:$F$201,'Trial Rows'!F34,'Trial Rows'!$G$2:$G$201,'Trial Rows'!G34,'Trial Rows'!$Y$2:$Y$201,'Trial Rows'!Y34,'Trial Rows'!$N$2:$N$201,"&gt;=0",'Trial Rows'!$N$2:$N$201,"&lt;=4",'Trial Rows'!$N$2:$N$201,"&lt;&gt;")=4),SUMIFS('Trial Rows'!$N$2:$N$201,'Trial Rows'!$B$2:$B$201,'Trial Rows'!B34,'Trial Rows'!$C$2:$C$201,'Trial Rows'!C34,'Trial Rows'!$F$2:$F$201,'Trial Rows'!F34,'Trial Rows'!$G$2:$G$201,'Trial Rows'!G34,'Trial Rows'!$Y$2:$Y$201,'Trial Rows'!Y34,'Trial Rows'!$I$2:$I$201,1)+4-SUMIFS('Trial Rows'!$N$2:$N$201,'Trial Rows'!$B$2:$B$201,'Trial Rows'!B34,'Trial Rows'!$C$2:$C$201,'Trial Rows'!C34,'Trial Rows'!$F$2:$F$201,'Trial Rows'!F34,'Trial Rows'!$G$2:$G$201,'Trial Rows'!G34,'Trial Rows'!$Y$2:$Y$201,'Trial Rows'!Y34,'Trial Rows'!$I$2:$I$201,2)+4-SUMIFS('Trial Rows'!$N$2:$N$201,'Trial Rows'!$B$2:$B$201,'Trial Rows'!B34,'Trial Rows'!$C$2:$C$201,'Trial Rows'!C34,'Trial Rows'!$F$2:$F$201,'Trial Rows'!F34,'Trial Rows'!$G$2:$G$201,'Trial Rows'!G34,'Trial Rows'!$Y$2:$Y$201,'Trial Rows'!Y34,'Trial Rows'!$I$2:$I$201,3)+SUMIFS('Trial Rows'!$N$2:$N$201,'Trial Rows'!$B$2:$B$201,'Trial Rows'!B34,'Trial Rows'!$C$2:$C$201,'Trial Rows'!C34,'Trial Rows'!$F$2:$F$201,'Trial Rows'!F34,'Trial Rows'!$G$2:$G$201,'Trial Rows'!G34,'Trial Rows'!$Y$2:$Y$201,'Trial Rows'!Y34,'Trial Rows'!$I$2:$I$201,4),"")</x:f>
      </x:c>
      <x:c r="S34" s="2" t="n">
        <x:f>IF(AND(B34=1,COUNTIFS('Trial Rows'!$C$2:C34,'Trial Rows'!C34,'Trial Rows'!$F$2:F34,Summary!$B$5,'Trial Rows'!$Y$2:Y34,Summary!$B$4)=1),1,0)</x:f>
        <x:v>0</x:v>
      </x:c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 t="str">
        <x:f>IF('Trial Rows'!A35="","",'Trial Rows'!F35&amp;"|"&amp;'Trial Rows'!B35&amp;"|"&amp;'Trial Rows'!C35&amp;"|"&amp;'Trial Rows'!I35)</x:f>
      </x:c>
      <x:c r="B35" s="2" t="n">
        <x:f>IF(AND('Trial Rows'!A35&lt;&gt;"",'Trial Rows'!Y35=Summary!$B$4,'Trial Rows'!F35=Summary!$B$5),1,0)</x:f>
        <x:v>0</x:v>
      </x:c>
      <x:c r="C35" s="2" t="n">
        <x:f>IF(B35=1,COUNTIFS('Trial Rows'!$B$2:$B$201,'Trial Rows'!B35,'Trial Rows'!$C$2:$C$201,'Trial Rows'!C35,'Trial Rows'!$F$2:$F$201,'Trial Rows'!F35,'Trial Rows'!$I$2:$I$201,'Trial Rows'!I35,'Trial Rows'!$Y$2:$Y$201,'Trial Rows'!Y35,'Trial Rows'!$G$2:$G$201,"A"),0)</x:f>
        <x:v>0</x:v>
      </x:c>
      <x:c r="D35" s="2" t="n">
        <x:f>IF(B35=1,COUNTIFS('Trial Rows'!$B$2:$B$201,'Trial Rows'!B35,'Trial Rows'!$C$2:$C$201,'Trial Rows'!C35,'Trial Rows'!$F$2:$F$201,'Trial Rows'!F35,'Trial Rows'!$I$2:$I$201,'Trial Rows'!I35,'Trial Rows'!$Y$2:$Y$201,'Trial Rows'!Y35,'Trial Rows'!$G$2:$G$201,"B"),0)</x:f>
        <x:v>0</x:v>
      </x:c>
      <x:c r="E35" s="2" t="str">
        <x:f>IF(AND(C35=1,COUNTIFS('Trial Rows'!$B$2:$B$201,'Trial Rows'!B35,'Trial Rows'!$C$2:$C$201,'Trial Rows'!C35,'Trial Rows'!$F$2:$F$201,'Trial Rows'!F35,'Trial Rows'!$I$2:$I$201,'Trial Rows'!I35,'Trial Rows'!$Y$2:$Y$201,'Trial Rows'!Y35,'Trial Rows'!$G$2:$G$201,"A",'Trial Rows'!$K$2:$K$201,"&gt;=0",'Trial Rows'!$K$2:$K$201,"&lt;=4",'Trial Rows'!$K$2:$K$201,"&lt;&gt;")=1),SUMIFS('Trial Rows'!$K$2:$K$201,'Trial Rows'!$B$2:$B$201,'Trial Rows'!B35,'Trial Rows'!$C$2:$C$201,'Trial Rows'!C35,'Trial Rows'!$F$2:$F$201,'Trial Rows'!F35,'Trial Rows'!$I$2:$I$201,'Trial Rows'!I35,'Trial Rows'!$Y$2:$Y$201,'Trial Rows'!Y35,'Trial Rows'!$G$2:$G$201,"A"),"")</x:f>
      </x:c>
      <x:c r="F35" s="2" t="n">
        <x:f>IF(AND(B35=1,'Trial Rows'!G35="B",C35=1,D35=1,ISNUMBER(E35),ISNUMBER('Trial Rows'!M35),'Trial Rows'!M35&gt;=0,'Trial Rows'!M35&lt;=4,'Trial Rows'!Q35=0,'Trial Rows'!S35=0),1,0)</x:f>
        <x:v>0</x:v>
      </x:c>
      <x:c r="G35" s="2" t="n">
        <x:f>IF(F35=1,IF(E35='Trial Rows'!M35,1,0),0)</x:f>
        <x:v>0</x:v>
      </x:c>
      <x:c r="H35" s="2" t="n">
        <x:f>IF(AND(B35=1,'Trial Rows'!G35="B",C35=1,D35=1,ISNUMBER(E35),'Trial Rows'!R35=1,'Trial Rows'!Q35=0,'Trial Rows'!S35=0,ISNUMBER('Trial Rows'!L35),'Trial Rows'!L35&gt;=0,'Trial Rows'!L35&lt;=4),1,0)</x:f>
        <x:v>0</x:v>
      </x:c>
      <x:c r="I35" s="2" t="n">
        <x:f>IF(H35=1,IF(E35='Trial Rows'!L35,1,0),0)</x:f>
        <x:v>0</x:v>
      </x:c>
      <x:c r="J35" s="2" t="n">
        <x:f>IF(AND(B35=1,'Trial Rows'!G35="B",'Trial Rows'!P35&gt;0),1,0)</x:f>
        <x:v>0</x:v>
      </x:c>
      <x:c r="K35" s="2" t="n">
        <x:f>IF(AND(B35=1,'Trial Rows'!G35="B",'Trial Rows'!Q35=1),1,0)</x:f>
        <x:v>0</x:v>
      </x:c>
      <x:c r="L35" s="2" t="n">
        <x:f>IF(AND(B35=1,'Trial Rows'!G35="B",'Trial Rows'!R35=1,'Trial Rows'!Q35=0,'Trial Rows'!S35=0),1,0)</x:f>
        <x:v>0</x:v>
      </x:c>
      <x:c r="M35" s="2" t="n">
        <x:f>IF(AND(B35=1,'Trial Rows'!G35="B"),1,0)</x:f>
        <x:v>0</x:v>
      </x:c>
      <x:c r="N35" s="2" t="n">
        <x:f>IF(AND(B35=1,'Trial Rows'!I35=1,COUNTIFS('Trial Rows'!$B$2:$B$201,'Trial Rows'!B35,'Trial Rows'!$C$2:$C$201,'Trial Rows'!C35,'Trial Rows'!$F$2:$F$201,'Trial Rows'!F35,'Trial Rows'!$G$2:$G$201,'Trial Rows'!G35,'Trial Rows'!$Y$2:$Y$201,'Trial Rows'!Y35)=4,COUNTIFS('Trial Rows'!$B$2:$B$201,'Trial Rows'!B35,'Trial Rows'!$C$2:$C$201,'Trial Rows'!C35,'Trial Rows'!$F$2:$F$201,'Trial Rows'!F35,'Trial Rows'!$G$2:$G$201,'Trial Rows'!G35,'Trial Rows'!$Y$2:$Y$201,'Trial Rows'!Y35,'Trial Rows'!$I$2:$I$201,1)=1,COUNTIFS('Trial Rows'!$B$2:$B$201,'Trial Rows'!B35,'Trial Rows'!$C$2:$C$201,'Trial Rows'!C35,'Trial Rows'!$F$2:$F$201,'Trial Rows'!F35,'Trial Rows'!$G$2:$G$201,'Trial Rows'!G35,'Trial Rows'!$Y$2:$Y$201,'Trial Rows'!Y35,'Trial Rows'!$I$2:$I$201,2)=1,COUNTIFS('Trial Rows'!$B$2:$B$201,'Trial Rows'!B35,'Trial Rows'!$C$2:$C$201,'Trial Rows'!C35,'Trial Rows'!$F$2:$F$201,'Trial Rows'!F35,'Trial Rows'!$G$2:$G$201,'Trial Rows'!G35,'Trial Rows'!$Y$2:$Y$201,'Trial Rows'!Y35,'Trial Rows'!$I$2:$I$201,3)=1,COUNTIFS('Trial Rows'!$B$2:$B$201,'Trial Rows'!B35,'Trial Rows'!$C$2:$C$201,'Trial Rows'!C35,'Trial Rows'!$F$2:$F$201,'Trial Rows'!F35,'Trial Rows'!$G$2:$G$201,'Trial Rows'!G35,'Trial Rows'!$Y$2:$Y$201,'Trial Rows'!Y35,'Trial Rows'!$I$2:$I$201,4)=1,COUNTIFS('Trial Rows'!$B$2:$B$201,'Trial Rows'!B35,'Trial Rows'!$C$2:$C$201,'Trial Rows'!C35,'Trial Rows'!$F$2:$F$201,'Trial Rows'!F35,'Trial Rows'!$G$2:$G$201,'Trial Rows'!G35,'Trial Rows'!$Y$2:$Y$201,'Trial Rows'!Y35,'Trial Rows'!$W$2:$W$201,"&lt;&gt;")=4,ISNUMBER('Trial Rows'!U35),COUNTIFS('Trial Rows'!$B$2:$B$201,'Trial Rows'!B35,'Trial Rows'!$C$2:$C$201,'Trial Rows'!C35,'Trial Rows'!$F$2:$F$201,'Trial Rows'!F35,'Trial Rows'!$G$2:$G$201,'Trial Rows'!G35,'Trial Rows'!$Y$2:$Y$201,'Trial Rows'!Y35,'Trial Rows'!$U$2:$U$201,'Trial Rows'!U35)=4,'Trial Rows'!U35&gt;=0),1,0)</x:f>
        <x:v>0</x:v>
      </x:c>
      <x:c r="O35" s="2" t="str">
        <x:f>IF(N35=1,'Trial Rows'!U35/1000,"")</x:f>
      </x:c>
      <x:c r="P35" s="2" t="str">
        <x:f>IF(AND(N35=1,'Trial Rows'!G35="A"),O35,"")</x:f>
      </x:c>
      <x:c r="Q35" s="2" t="str">
        <x:f>IF(AND(N35=1,'Trial Rows'!G35="B"),O35,"")</x:f>
      </x:c>
      <x:c r="R35" s="2" t="str">
        <x:f>IF(AND(N35=1,COUNTIFS('Trial Rows'!$B$2:$B$201,'Trial Rows'!B35,'Trial Rows'!$C$2:$C$201,'Trial Rows'!C35,'Trial Rows'!$F$2:$F$201,'Trial Rows'!F35,'Trial Rows'!$G$2:$G$201,'Trial Rows'!G35,'Trial Rows'!$Y$2:$Y$201,'Trial Rows'!Y35,'Trial Rows'!$N$2:$N$201,"&gt;=0",'Trial Rows'!$N$2:$N$201,"&lt;=4",'Trial Rows'!$N$2:$N$201,"&lt;&gt;")=4),SUMIFS('Trial Rows'!$N$2:$N$201,'Trial Rows'!$B$2:$B$201,'Trial Rows'!B35,'Trial Rows'!$C$2:$C$201,'Trial Rows'!C35,'Trial Rows'!$F$2:$F$201,'Trial Rows'!F35,'Trial Rows'!$G$2:$G$201,'Trial Rows'!G35,'Trial Rows'!$Y$2:$Y$201,'Trial Rows'!Y35,'Trial Rows'!$I$2:$I$201,1)+4-SUMIFS('Trial Rows'!$N$2:$N$201,'Trial Rows'!$B$2:$B$201,'Trial Rows'!B35,'Trial Rows'!$C$2:$C$201,'Trial Rows'!C35,'Trial Rows'!$F$2:$F$201,'Trial Rows'!F35,'Trial Rows'!$G$2:$G$201,'Trial Rows'!G35,'Trial Rows'!$Y$2:$Y$201,'Trial Rows'!Y35,'Trial Rows'!$I$2:$I$201,2)+4-SUMIFS('Trial Rows'!$N$2:$N$201,'Trial Rows'!$B$2:$B$201,'Trial Rows'!B35,'Trial Rows'!$C$2:$C$201,'Trial Rows'!C35,'Trial Rows'!$F$2:$F$201,'Trial Rows'!F35,'Trial Rows'!$G$2:$G$201,'Trial Rows'!G35,'Trial Rows'!$Y$2:$Y$201,'Trial Rows'!Y35,'Trial Rows'!$I$2:$I$201,3)+SUMIFS('Trial Rows'!$N$2:$N$201,'Trial Rows'!$B$2:$B$201,'Trial Rows'!B35,'Trial Rows'!$C$2:$C$201,'Trial Rows'!C35,'Trial Rows'!$F$2:$F$201,'Trial Rows'!F35,'Trial Rows'!$G$2:$G$201,'Trial Rows'!G35,'Trial Rows'!$Y$2:$Y$201,'Trial Rows'!Y35,'Trial Rows'!$I$2:$I$201,4),"")</x:f>
      </x:c>
      <x:c r="S35" s="2" t="n">
        <x:f>IF(AND(B35=1,COUNTIFS('Trial Rows'!$C$2:C35,'Trial Rows'!C35,'Trial Rows'!$F$2:F35,Summary!$B$5,'Trial Rows'!$Y$2:Y35,Summary!$B$4)=1),1,0)</x:f>
        <x:v>0</x:v>
      </x:c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 t="str">
        <x:f>IF('Trial Rows'!A36="","",'Trial Rows'!F36&amp;"|"&amp;'Trial Rows'!B36&amp;"|"&amp;'Trial Rows'!C36&amp;"|"&amp;'Trial Rows'!I36)</x:f>
      </x:c>
      <x:c r="B36" s="2" t="n">
        <x:f>IF(AND('Trial Rows'!A36&lt;&gt;"",'Trial Rows'!Y36=Summary!$B$4,'Trial Rows'!F36=Summary!$B$5),1,0)</x:f>
        <x:v>0</x:v>
      </x:c>
      <x:c r="C36" s="2" t="n">
        <x:f>IF(B36=1,COUNTIFS('Trial Rows'!$B$2:$B$201,'Trial Rows'!B36,'Trial Rows'!$C$2:$C$201,'Trial Rows'!C36,'Trial Rows'!$F$2:$F$201,'Trial Rows'!F36,'Trial Rows'!$I$2:$I$201,'Trial Rows'!I36,'Trial Rows'!$Y$2:$Y$201,'Trial Rows'!Y36,'Trial Rows'!$G$2:$G$201,"A"),0)</x:f>
        <x:v>0</x:v>
      </x:c>
      <x:c r="D36" s="2" t="n">
        <x:f>IF(B36=1,COUNTIFS('Trial Rows'!$B$2:$B$201,'Trial Rows'!B36,'Trial Rows'!$C$2:$C$201,'Trial Rows'!C36,'Trial Rows'!$F$2:$F$201,'Trial Rows'!F36,'Trial Rows'!$I$2:$I$201,'Trial Rows'!I36,'Trial Rows'!$Y$2:$Y$201,'Trial Rows'!Y36,'Trial Rows'!$G$2:$G$201,"B"),0)</x:f>
        <x:v>0</x:v>
      </x:c>
      <x:c r="E36" s="2" t="str">
        <x:f>IF(AND(C36=1,COUNTIFS('Trial Rows'!$B$2:$B$201,'Trial Rows'!B36,'Trial Rows'!$C$2:$C$201,'Trial Rows'!C36,'Trial Rows'!$F$2:$F$201,'Trial Rows'!F36,'Trial Rows'!$I$2:$I$201,'Trial Rows'!I36,'Trial Rows'!$Y$2:$Y$201,'Trial Rows'!Y36,'Trial Rows'!$G$2:$G$201,"A",'Trial Rows'!$K$2:$K$201,"&gt;=0",'Trial Rows'!$K$2:$K$201,"&lt;=4",'Trial Rows'!$K$2:$K$201,"&lt;&gt;")=1),SUMIFS('Trial Rows'!$K$2:$K$201,'Trial Rows'!$B$2:$B$201,'Trial Rows'!B36,'Trial Rows'!$C$2:$C$201,'Trial Rows'!C36,'Trial Rows'!$F$2:$F$201,'Trial Rows'!F36,'Trial Rows'!$I$2:$I$201,'Trial Rows'!I36,'Trial Rows'!$Y$2:$Y$201,'Trial Rows'!Y36,'Trial Rows'!$G$2:$G$201,"A"),"")</x:f>
      </x:c>
      <x:c r="F36" s="2" t="n">
        <x:f>IF(AND(B36=1,'Trial Rows'!G36="B",C36=1,D36=1,ISNUMBER(E36),ISNUMBER('Trial Rows'!M36),'Trial Rows'!M36&gt;=0,'Trial Rows'!M36&lt;=4,'Trial Rows'!Q36=0,'Trial Rows'!S36=0),1,0)</x:f>
        <x:v>0</x:v>
      </x:c>
      <x:c r="G36" s="2" t="n">
        <x:f>IF(F36=1,IF(E36='Trial Rows'!M36,1,0),0)</x:f>
        <x:v>0</x:v>
      </x:c>
      <x:c r="H36" s="2" t="n">
        <x:f>IF(AND(B36=1,'Trial Rows'!G36="B",C36=1,D36=1,ISNUMBER(E36),'Trial Rows'!R36=1,'Trial Rows'!Q36=0,'Trial Rows'!S36=0,ISNUMBER('Trial Rows'!L36),'Trial Rows'!L36&gt;=0,'Trial Rows'!L36&lt;=4),1,0)</x:f>
        <x:v>0</x:v>
      </x:c>
      <x:c r="I36" s="2" t="n">
        <x:f>IF(H36=1,IF(E36='Trial Rows'!L36,1,0),0)</x:f>
        <x:v>0</x:v>
      </x:c>
      <x:c r="J36" s="2" t="n">
        <x:f>IF(AND(B36=1,'Trial Rows'!G36="B",'Trial Rows'!P36&gt;0),1,0)</x:f>
        <x:v>0</x:v>
      </x:c>
      <x:c r="K36" s="2" t="n">
        <x:f>IF(AND(B36=1,'Trial Rows'!G36="B",'Trial Rows'!Q36=1),1,0)</x:f>
        <x:v>0</x:v>
      </x:c>
      <x:c r="L36" s="2" t="n">
        <x:f>IF(AND(B36=1,'Trial Rows'!G36="B",'Trial Rows'!R36=1,'Trial Rows'!Q36=0,'Trial Rows'!S36=0),1,0)</x:f>
        <x:v>0</x:v>
      </x:c>
      <x:c r="M36" s="2" t="n">
        <x:f>IF(AND(B36=1,'Trial Rows'!G36="B"),1,0)</x:f>
        <x:v>0</x:v>
      </x:c>
      <x:c r="N36" s="2" t="n">
        <x:f>IF(AND(B36=1,'Trial Rows'!I36=1,COUNTIFS('Trial Rows'!$B$2:$B$201,'Trial Rows'!B36,'Trial Rows'!$C$2:$C$201,'Trial Rows'!C36,'Trial Rows'!$F$2:$F$201,'Trial Rows'!F36,'Trial Rows'!$G$2:$G$201,'Trial Rows'!G36,'Trial Rows'!$Y$2:$Y$201,'Trial Rows'!Y36)=4,COUNTIFS('Trial Rows'!$B$2:$B$201,'Trial Rows'!B36,'Trial Rows'!$C$2:$C$201,'Trial Rows'!C36,'Trial Rows'!$F$2:$F$201,'Trial Rows'!F36,'Trial Rows'!$G$2:$G$201,'Trial Rows'!G36,'Trial Rows'!$Y$2:$Y$201,'Trial Rows'!Y36,'Trial Rows'!$I$2:$I$201,1)=1,COUNTIFS('Trial Rows'!$B$2:$B$201,'Trial Rows'!B36,'Trial Rows'!$C$2:$C$201,'Trial Rows'!C36,'Trial Rows'!$F$2:$F$201,'Trial Rows'!F36,'Trial Rows'!$G$2:$G$201,'Trial Rows'!G36,'Trial Rows'!$Y$2:$Y$201,'Trial Rows'!Y36,'Trial Rows'!$I$2:$I$201,2)=1,COUNTIFS('Trial Rows'!$B$2:$B$201,'Trial Rows'!B36,'Trial Rows'!$C$2:$C$201,'Trial Rows'!C36,'Trial Rows'!$F$2:$F$201,'Trial Rows'!F36,'Trial Rows'!$G$2:$G$201,'Trial Rows'!G36,'Trial Rows'!$Y$2:$Y$201,'Trial Rows'!Y36,'Trial Rows'!$I$2:$I$201,3)=1,COUNTIFS('Trial Rows'!$B$2:$B$201,'Trial Rows'!B36,'Trial Rows'!$C$2:$C$201,'Trial Rows'!C36,'Trial Rows'!$F$2:$F$201,'Trial Rows'!F36,'Trial Rows'!$G$2:$G$201,'Trial Rows'!G36,'Trial Rows'!$Y$2:$Y$201,'Trial Rows'!Y36,'Trial Rows'!$I$2:$I$201,4)=1,COUNTIFS('Trial Rows'!$B$2:$B$201,'Trial Rows'!B36,'Trial Rows'!$C$2:$C$201,'Trial Rows'!C36,'Trial Rows'!$F$2:$F$201,'Trial Rows'!F36,'Trial Rows'!$G$2:$G$201,'Trial Rows'!G36,'Trial Rows'!$Y$2:$Y$201,'Trial Rows'!Y36,'Trial Rows'!$W$2:$W$201,"&lt;&gt;")=4,ISNUMBER('Trial Rows'!U36),COUNTIFS('Trial Rows'!$B$2:$B$201,'Trial Rows'!B36,'Trial Rows'!$C$2:$C$201,'Trial Rows'!C36,'Trial Rows'!$F$2:$F$201,'Trial Rows'!F36,'Trial Rows'!$G$2:$G$201,'Trial Rows'!G36,'Trial Rows'!$Y$2:$Y$201,'Trial Rows'!Y36,'Trial Rows'!$U$2:$U$201,'Trial Rows'!U36)=4,'Trial Rows'!U36&gt;=0),1,0)</x:f>
        <x:v>0</x:v>
      </x:c>
      <x:c r="O36" s="2" t="str">
        <x:f>IF(N36=1,'Trial Rows'!U36/1000,"")</x:f>
      </x:c>
      <x:c r="P36" s="2" t="str">
        <x:f>IF(AND(N36=1,'Trial Rows'!G36="A"),O36,"")</x:f>
      </x:c>
      <x:c r="Q36" s="2" t="str">
        <x:f>IF(AND(N36=1,'Trial Rows'!G36="B"),O36,"")</x:f>
      </x:c>
      <x:c r="R36" s="2" t="str">
        <x:f>IF(AND(N36=1,COUNTIFS('Trial Rows'!$B$2:$B$201,'Trial Rows'!B36,'Trial Rows'!$C$2:$C$201,'Trial Rows'!C36,'Trial Rows'!$F$2:$F$201,'Trial Rows'!F36,'Trial Rows'!$G$2:$G$201,'Trial Rows'!G36,'Trial Rows'!$Y$2:$Y$201,'Trial Rows'!Y36,'Trial Rows'!$N$2:$N$201,"&gt;=0",'Trial Rows'!$N$2:$N$201,"&lt;=4",'Trial Rows'!$N$2:$N$201,"&lt;&gt;")=4),SUMIFS('Trial Rows'!$N$2:$N$201,'Trial Rows'!$B$2:$B$201,'Trial Rows'!B36,'Trial Rows'!$C$2:$C$201,'Trial Rows'!C36,'Trial Rows'!$F$2:$F$201,'Trial Rows'!F36,'Trial Rows'!$G$2:$G$201,'Trial Rows'!G36,'Trial Rows'!$Y$2:$Y$201,'Trial Rows'!Y36,'Trial Rows'!$I$2:$I$201,1)+4-SUMIFS('Trial Rows'!$N$2:$N$201,'Trial Rows'!$B$2:$B$201,'Trial Rows'!B36,'Trial Rows'!$C$2:$C$201,'Trial Rows'!C36,'Trial Rows'!$F$2:$F$201,'Trial Rows'!F36,'Trial Rows'!$G$2:$G$201,'Trial Rows'!G36,'Trial Rows'!$Y$2:$Y$201,'Trial Rows'!Y36,'Trial Rows'!$I$2:$I$201,2)+4-SUMIFS('Trial Rows'!$N$2:$N$201,'Trial Rows'!$B$2:$B$201,'Trial Rows'!B36,'Trial Rows'!$C$2:$C$201,'Trial Rows'!C36,'Trial Rows'!$F$2:$F$201,'Trial Rows'!F36,'Trial Rows'!$G$2:$G$201,'Trial Rows'!G36,'Trial Rows'!$Y$2:$Y$201,'Trial Rows'!Y36,'Trial Rows'!$I$2:$I$201,3)+SUMIFS('Trial Rows'!$N$2:$N$201,'Trial Rows'!$B$2:$B$201,'Trial Rows'!B36,'Trial Rows'!$C$2:$C$201,'Trial Rows'!C36,'Trial Rows'!$F$2:$F$201,'Trial Rows'!F36,'Trial Rows'!$G$2:$G$201,'Trial Rows'!G36,'Trial Rows'!$Y$2:$Y$201,'Trial Rows'!Y36,'Trial Rows'!$I$2:$I$201,4),"")</x:f>
      </x:c>
      <x:c r="S36" s="2" t="n">
        <x:f>IF(AND(B36=1,COUNTIFS('Trial Rows'!$C$2:C36,'Trial Rows'!C36,'Trial Rows'!$F$2:F36,Summary!$B$5,'Trial Rows'!$Y$2:Y36,Summary!$B$4)=1),1,0)</x:f>
        <x:v>0</x:v>
      </x:c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 t="str">
        <x:f>IF('Trial Rows'!A37="","",'Trial Rows'!F37&amp;"|"&amp;'Trial Rows'!B37&amp;"|"&amp;'Trial Rows'!C37&amp;"|"&amp;'Trial Rows'!I37)</x:f>
      </x:c>
      <x:c r="B37" s="2" t="n">
        <x:f>IF(AND('Trial Rows'!A37&lt;&gt;"",'Trial Rows'!Y37=Summary!$B$4,'Trial Rows'!F37=Summary!$B$5),1,0)</x:f>
        <x:v>0</x:v>
      </x:c>
      <x:c r="C37" s="2" t="n">
        <x:f>IF(B37=1,COUNTIFS('Trial Rows'!$B$2:$B$201,'Trial Rows'!B37,'Trial Rows'!$C$2:$C$201,'Trial Rows'!C37,'Trial Rows'!$F$2:$F$201,'Trial Rows'!F37,'Trial Rows'!$I$2:$I$201,'Trial Rows'!I37,'Trial Rows'!$Y$2:$Y$201,'Trial Rows'!Y37,'Trial Rows'!$G$2:$G$201,"A"),0)</x:f>
        <x:v>0</x:v>
      </x:c>
      <x:c r="D37" s="2" t="n">
        <x:f>IF(B37=1,COUNTIFS('Trial Rows'!$B$2:$B$201,'Trial Rows'!B37,'Trial Rows'!$C$2:$C$201,'Trial Rows'!C37,'Trial Rows'!$F$2:$F$201,'Trial Rows'!F37,'Trial Rows'!$I$2:$I$201,'Trial Rows'!I37,'Trial Rows'!$Y$2:$Y$201,'Trial Rows'!Y37,'Trial Rows'!$G$2:$G$201,"B"),0)</x:f>
        <x:v>0</x:v>
      </x:c>
      <x:c r="E37" s="2" t="str">
        <x:f>IF(AND(C37=1,COUNTIFS('Trial Rows'!$B$2:$B$201,'Trial Rows'!B37,'Trial Rows'!$C$2:$C$201,'Trial Rows'!C37,'Trial Rows'!$F$2:$F$201,'Trial Rows'!F37,'Trial Rows'!$I$2:$I$201,'Trial Rows'!I37,'Trial Rows'!$Y$2:$Y$201,'Trial Rows'!Y37,'Trial Rows'!$G$2:$G$201,"A",'Trial Rows'!$K$2:$K$201,"&gt;=0",'Trial Rows'!$K$2:$K$201,"&lt;=4",'Trial Rows'!$K$2:$K$201,"&lt;&gt;")=1),SUMIFS('Trial Rows'!$K$2:$K$201,'Trial Rows'!$B$2:$B$201,'Trial Rows'!B37,'Trial Rows'!$C$2:$C$201,'Trial Rows'!C37,'Trial Rows'!$F$2:$F$201,'Trial Rows'!F37,'Trial Rows'!$I$2:$I$201,'Trial Rows'!I37,'Trial Rows'!$Y$2:$Y$201,'Trial Rows'!Y37,'Trial Rows'!$G$2:$G$201,"A"),"")</x:f>
      </x:c>
      <x:c r="F37" s="2" t="n">
        <x:f>IF(AND(B37=1,'Trial Rows'!G37="B",C37=1,D37=1,ISNUMBER(E37),ISNUMBER('Trial Rows'!M37),'Trial Rows'!M37&gt;=0,'Trial Rows'!M37&lt;=4,'Trial Rows'!Q37=0,'Trial Rows'!S37=0),1,0)</x:f>
        <x:v>0</x:v>
      </x:c>
      <x:c r="G37" s="2" t="n">
        <x:f>IF(F37=1,IF(E37='Trial Rows'!M37,1,0),0)</x:f>
        <x:v>0</x:v>
      </x:c>
      <x:c r="H37" s="2" t="n">
        <x:f>IF(AND(B37=1,'Trial Rows'!G37="B",C37=1,D37=1,ISNUMBER(E37),'Trial Rows'!R37=1,'Trial Rows'!Q37=0,'Trial Rows'!S37=0,ISNUMBER('Trial Rows'!L37),'Trial Rows'!L37&gt;=0,'Trial Rows'!L37&lt;=4),1,0)</x:f>
        <x:v>0</x:v>
      </x:c>
      <x:c r="I37" s="2" t="n">
        <x:f>IF(H37=1,IF(E37='Trial Rows'!L37,1,0),0)</x:f>
        <x:v>0</x:v>
      </x:c>
      <x:c r="J37" s="2" t="n">
        <x:f>IF(AND(B37=1,'Trial Rows'!G37="B",'Trial Rows'!P37&gt;0),1,0)</x:f>
        <x:v>0</x:v>
      </x:c>
      <x:c r="K37" s="2" t="n">
        <x:f>IF(AND(B37=1,'Trial Rows'!G37="B",'Trial Rows'!Q37=1),1,0)</x:f>
        <x:v>0</x:v>
      </x:c>
      <x:c r="L37" s="2" t="n">
        <x:f>IF(AND(B37=1,'Trial Rows'!G37="B",'Trial Rows'!R37=1,'Trial Rows'!Q37=0,'Trial Rows'!S37=0),1,0)</x:f>
        <x:v>0</x:v>
      </x:c>
      <x:c r="M37" s="2" t="n">
        <x:f>IF(AND(B37=1,'Trial Rows'!G37="B"),1,0)</x:f>
        <x:v>0</x:v>
      </x:c>
      <x:c r="N37" s="2" t="n">
        <x:f>IF(AND(B37=1,'Trial Rows'!I37=1,COUNTIFS('Trial Rows'!$B$2:$B$201,'Trial Rows'!B37,'Trial Rows'!$C$2:$C$201,'Trial Rows'!C37,'Trial Rows'!$F$2:$F$201,'Trial Rows'!F37,'Trial Rows'!$G$2:$G$201,'Trial Rows'!G37,'Trial Rows'!$Y$2:$Y$201,'Trial Rows'!Y37)=4,COUNTIFS('Trial Rows'!$B$2:$B$201,'Trial Rows'!B37,'Trial Rows'!$C$2:$C$201,'Trial Rows'!C37,'Trial Rows'!$F$2:$F$201,'Trial Rows'!F37,'Trial Rows'!$G$2:$G$201,'Trial Rows'!G37,'Trial Rows'!$Y$2:$Y$201,'Trial Rows'!Y37,'Trial Rows'!$I$2:$I$201,1)=1,COUNTIFS('Trial Rows'!$B$2:$B$201,'Trial Rows'!B37,'Trial Rows'!$C$2:$C$201,'Trial Rows'!C37,'Trial Rows'!$F$2:$F$201,'Trial Rows'!F37,'Trial Rows'!$G$2:$G$201,'Trial Rows'!G37,'Trial Rows'!$Y$2:$Y$201,'Trial Rows'!Y37,'Trial Rows'!$I$2:$I$201,2)=1,COUNTIFS('Trial Rows'!$B$2:$B$201,'Trial Rows'!B37,'Trial Rows'!$C$2:$C$201,'Trial Rows'!C37,'Trial Rows'!$F$2:$F$201,'Trial Rows'!F37,'Trial Rows'!$G$2:$G$201,'Trial Rows'!G37,'Trial Rows'!$Y$2:$Y$201,'Trial Rows'!Y37,'Trial Rows'!$I$2:$I$201,3)=1,COUNTIFS('Trial Rows'!$B$2:$B$201,'Trial Rows'!B37,'Trial Rows'!$C$2:$C$201,'Trial Rows'!C37,'Trial Rows'!$F$2:$F$201,'Trial Rows'!F37,'Trial Rows'!$G$2:$G$201,'Trial Rows'!G37,'Trial Rows'!$Y$2:$Y$201,'Trial Rows'!Y37,'Trial Rows'!$I$2:$I$201,4)=1,COUNTIFS('Trial Rows'!$B$2:$B$201,'Trial Rows'!B37,'Trial Rows'!$C$2:$C$201,'Trial Rows'!C37,'Trial Rows'!$F$2:$F$201,'Trial Rows'!F37,'Trial Rows'!$G$2:$G$201,'Trial Rows'!G37,'Trial Rows'!$Y$2:$Y$201,'Trial Rows'!Y37,'Trial Rows'!$W$2:$W$201,"&lt;&gt;")=4,ISNUMBER('Trial Rows'!U37),COUNTIFS('Trial Rows'!$B$2:$B$201,'Trial Rows'!B37,'Trial Rows'!$C$2:$C$201,'Trial Rows'!C37,'Trial Rows'!$F$2:$F$201,'Trial Rows'!F37,'Trial Rows'!$G$2:$G$201,'Trial Rows'!G37,'Trial Rows'!$Y$2:$Y$201,'Trial Rows'!Y37,'Trial Rows'!$U$2:$U$201,'Trial Rows'!U37)=4,'Trial Rows'!U37&gt;=0),1,0)</x:f>
        <x:v>0</x:v>
      </x:c>
      <x:c r="O37" s="2" t="str">
        <x:f>IF(N37=1,'Trial Rows'!U37/1000,"")</x:f>
      </x:c>
      <x:c r="P37" s="2" t="str">
        <x:f>IF(AND(N37=1,'Trial Rows'!G37="A"),O37,"")</x:f>
      </x:c>
      <x:c r="Q37" s="2" t="str">
        <x:f>IF(AND(N37=1,'Trial Rows'!G37="B"),O37,"")</x:f>
      </x:c>
      <x:c r="R37" s="2" t="str">
        <x:f>IF(AND(N37=1,COUNTIFS('Trial Rows'!$B$2:$B$201,'Trial Rows'!B37,'Trial Rows'!$C$2:$C$201,'Trial Rows'!C37,'Trial Rows'!$F$2:$F$201,'Trial Rows'!F37,'Trial Rows'!$G$2:$G$201,'Trial Rows'!G37,'Trial Rows'!$Y$2:$Y$201,'Trial Rows'!Y37,'Trial Rows'!$N$2:$N$201,"&gt;=0",'Trial Rows'!$N$2:$N$201,"&lt;=4",'Trial Rows'!$N$2:$N$201,"&lt;&gt;")=4),SUMIFS('Trial Rows'!$N$2:$N$201,'Trial Rows'!$B$2:$B$201,'Trial Rows'!B37,'Trial Rows'!$C$2:$C$201,'Trial Rows'!C37,'Trial Rows'!$F$2:$F$201,'Trial Rows'!F37,'Trial Rows'!$G$2:$G$201,'Trial Rows'!G37,'Trial Rows'!$Y$2:$Y$201,'Trial Rows'!Y37,'Trial Rows'!$I$2:$I$201,1)+4-SUMIFS('Trial Rows'!$N$2:$N$201,'Trial Rows'!$B$2:$B$201,'Trial Rows'!B37,'Trial Rows'!$C$2:$C$201,'Trial Rows'!C37,'Trial Rows'!$F$2:$F$201,'Trial Rows'!F37,'Trial Rows'!$G$2:$G$201,'Trial Rows'!G37,'Trial Rows'!$Y$2:$Y$201,'Trial Rows'!Y37,'Trial Rows'!$I$2:$I$201,2)+4-SUMIFS('Trial Rows'!$N$2:$N$201,'Trial Rows'!$B$2:$B$201,'Trial Rows'!B37,'Trial Rows'!$C$2:$C$201,'Trial Rows'!C37,'Trial Rows'!$F$2:$F$201,'Trial Rows'!F37,'Trial Rows'!$G$2:$G$201,'Trial Rows'!G37,'Trial Rows'!$Y$2:$Y$201,'Trial Rows'!Y37,'Trial Rows'!$I$2:$I$201,3)+SUMIFS('Trial Rows'!$N$2:$N$201,'Trial Rows'!$B$2:$B$201,'Trial Rows'!B37,'Trial Rows'!$C$2:$C$201,'Trial Rows'!C37,'Trial Rows'!$F$2:$F$201,'Trial Rows'!F37,'Trial Rows'!$G$2:$G$201,'Trial Rows'!G37,'Trial Rows'!$Y$2:$Y$201,'Trial Rows'!Y37,'Trial Rows'!$I$2:$I$201,4),"")</x:f>
      </x:c>
      <x:c r="S37" s="2" t="n">
        <x:f>IF(AND(B37=1,COUNTIFS('Trial Rows'!$C$2:C37,'Trial Rows'!C37,'Trial Rows'!$F$2:F37,Summary!$B$5,'Trial Rows'!$Y$2:Y37,Summary!$B$4)=1),1,0)</x:f>
        <x:v>0</x:v>
      </x:c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 t="str">
        <x:f>IF('Trial Rows'!A38="","",'Trial Rows'!F38&amp;"|"&amp;'Trial Rows'!B38&amp;"|"&amp;'Trial Rows'!C38&amp;"|"&amp;'Trial Rows'!I38)</x:f>
      </x:c>
      <x:c r="B38" s="2" t="n">
        <x:f>IF(AND('Trial Rows'!A38&lt;&gt;"",'Trial Rows'!Y38=Summary!$B$4,'Trial Rows'!F38=Summary!$B$5),1,0)</x:f>
        <x:v>0</x:v>
      </x:c>
      <x:c r="C38" s="2" t="n">
        <x:f>IF(B38=1,COUNTIFS('Trial Rows'!$B$2:$B$201,'Trial Rows'!B38,'Trial Rows'!$C$2:$C$201,'Trial Rows'!C38,'Trial Rows'!$F$2:$F$201,'Trial Rows'!F38,'Trial Rows'!$I$2:$I$201,'Trial Rows'!I38,'Trial Rows'!$Y$2:$Y$201,'Trial Rows'!Y38,'Trial Rows'!$G$2:$G$201,"A"),0)</x:f>
        <x:v>0</x:v>
      </x:c>
      <x:c r="D38" s="2" t="n">
        <x:f>IF(B38=1,COUNTIFS('Trial Rows'!$B$2:$B$201,'Trial Rows'!B38,'Trial Rows'!$C$2:$C$201,'Trial Rows'!C38,'Trial Rows'!$F$2:$F$201,'Trial Rows'!F38,'Trial Rows'!$I$2:$I$201,'Trial Rows'!I38,'Trial Rows'!$Y$2:$Y$201,'Trial Rows'!Y38,'Trial Rows'!$G$2:$G$201,"B"),0)</x:f>
        <x:v>0</x:v>
      </x:c>
      <x:c r="E38" s="2" t="str">
        <x:f>IF(AND(C38=1,COUNTIFS('Trial Rows'!$B$2:$B$201,'Trial Rows'!B38,'Trial Rows'!$C$2:$C$201,'Trial Rows'!C38,'Trial Rows'!$F$2:$F$201,'Trial Rows'!F38,'Trial Rows'!$I$2:$I$201,'Trial Rows'!I38,'Trial Rows'!$Y$2:$Y$201,'Trial Rows'!Y38,'Trial Rows'!$G$2:$G$201,"A",'Trial Rows'!$K$2:$K$201,"&gt;=0",'Trial Rows'!$K$2:$K$201,"&lt;=4",'Trial Rows'!$K$2:$K$201,"&lt;&gt;")=1),SUMIFS('Trial Rows'!$K$2:$K$201,'Trial Rows'!$B$2:$B$201,'Trial Rows'!B38,'Trial Rows'!$C$2:$C$201,'Trial Rows'!C38,'Trial Rows'!$F$2:$F$201,'Trial Rows'!F38,'Trial Rows'!$I$2:$I$201,'Trial Rows'!I38,'Trial Rows'!$Y$2:$Y$201,'Trial Rows'!Y38,'Trial Rows'!$G$2:$G$201,"A"),"")</x:f>
      </x:c>
      <x:c r="F38" s="2" t="n">
        <x:f>IF(AND(B38=1,'Trial Rows'!G38="B",C38=1,D38=1,ISNUMBER(E38),ISNUMBER('Trial Rows'!M38),'Trial Rows'!M38&gt;=0,'Trial Rows'!M38&lt;=4,'Trial Rows'!Q38=0,'Trial Rows'!S38=0),1,0)</x:f>
        <x:v>0</x:v>
      </x:c>
      <x:c r="G38" s="2" t="n">
        <x:f>IF(F38=1,IF(E38='Trial Rows'!M38,1,0),0)</x:f>
        <x:v>0</x:v>
      </x:c>
      <x:c r="H38" s="2" t="n">
        <x:f>IF(AND(B38=1,'Trial Rows'!G38="B",C38=1,D38=1,ISNUMBER(E38),'Trial Rows'!R38=1,'Trial Rows'!Q38=0,'Trial Rows'!S38=0,ISNUMBER('Trial Rows'!L38),'Trial Rows'!L38&gt;=0,'Trial Rows'!L38&lt;=4),1,0)</x:f>
        <x:v>0</x:v>
      </x:c>
      <x:c r="I38" s="2" t="n">
        <x:f>IF(H38=1,IF(E38='Trial Rows'!L38,1,0),0)</x:f>
        <x:v>0</x:v>
      </x:c>
      <x:c r="J38" s="2" t="n">
        <x:f>IF(AND(B38=1,'Trial Rows'!G38="B",'Trial Rows'!P38&gt;0),1,0)</x:f>
        <x:v>0</x:v>
      </x:c>
      <x:c r="K38" s="2" t="n">
        <x:f>IF(AND(B38=1,'Trial Rows'!G38="B",'Trial Rows'!Q38=1),1,0)</x:f>
        <x:v>0</x:v>
      </x:c>
      <x:c r="L38" s="2" t="n">
        <x:f>IF(AND(B38=1,'Trial Rows'!G38="B",'Trial Rows'!R38=1,'Trial Rows'!Q38=0,'Trial Rows'!S38=0),1,0)</x:f>
        <x:v>0</x:v>
      </x:c>
      <x:c r="M38" s="2" t="n">
        <x:f>IF(AND(B38=1,'Trial Rows'!G38="B"),1,0)</x:f>
        <x:v>0</x:v>
      </x:c>
      <x:c r="N38" s="2" t="n">
        <x:f>IF(AND(B38=1,'Trial Rows'!I38=1,COUNTIFS('Trial Rows'!$B$2:$B$201,'Trial Rows'!B38,'Trial Rows'!$C$2:$C$201,'Trial Rows'!C38,'Trial Rows'!$F$2:$F$201,'Trial Rows'!F38,'Trial Rows'!$G$2:$G$201,'Trial Rows'!G38,'Trial Rows'!$Y$2:$Y$201,'Trial Rows'!Y38)=4,COUNTIFS('Trial Rows'!$B$2:$B$201,'Trial Rows'!B38,'Trial Rows'!$C$2:$C$201,'Trial Rows'!C38,'Trial Rows'!$F$2:$F$201,'Trial Rows'!F38,'Trial Rows'!$G$2:$G$201,'Trial Rows'!G38,'Trial Rows'!$Y$2:$Y$201,'Trial Rows'!Y38,'Trial Rows'!$I$2:$I$201,1)=1,COUNTIFS('Trial Rows'!$B$2:$B$201,'Trial Rows'!B38,'Trial Rows'!$C$2:$C$201,'Trial Rows'!C38,'Trial Rows'!$F$2:$F$201,'Trial Rows'!F38,'Trial Rows'!$G$2:$G$201,'Trial Rows'!G38,'Trial Rows'!$Y$2:$Y$201,'Trial Rows'!Y38,'Trial Rows'!$I$2:$I$201,2)=1,COUNTIFS('Trial Rows'!$B$2:$B$201,'Trial Rows'!B38,'Trial Rows'!$C$2:$C$201,'Trial Rows'!C38,'Trial Rows'!$F$2:$F$201,'Trial Rows'!F38,'Trial Rows'!$G$2:$G$201,'Trial Rows'!G38,'Trial Rows'!$Y$2:$Y$201,'Trial Rows'!Y38,'Trial Rows'!$I$2:$I$201,3)=1,COUNTIFS('Trial Rows'!$B$2:$B$201,'Trial Rows'!B38,'Trial Rows'!$C$2:$C$201,'Trial Rows'!C38,'Trial Rows'!$F$2:$F$201,'Trial Rows'!F38,'Trial Rows'!$G$2:$G$201,'Trial Rows'!G38,'Trial Rows'!$Y$2:$Y$201,'Trial Rows'!Y38,'Trial Rows'!$I$2:$I$201,4)=1,COUNTIFS('Trial Rows'!$B$2:$B$201,'Trial Rows'!B38,'Trial Rows'!$C$2:$C$201,'Trial Rows'!C38,'Trial Rows'!$F$2:$F$201,'Trial Rows'!F38,'Trial Rows'!$G$2:$G$201,'Trial Rows'!G38,'Trial Rows'!$Y$2:$Y$201,'Trial Rows'!Y38,'Trial Rows'!$W$2:$W$201,"&lt;&gt;")=4,ISNUMBER('Trial Rows'!U38),COUNTIFS('Trial Rows'!$B$2:$B$201,'Trial Rows'!B38,'Trial Rows'!$C$2:$C$201,'Trial Rows'!C38,'Trial Rows'!$F$2:$F$201,'Trial Rows'!F38,'Trial Rows'!$G$2:$G$201,'Trial Rows'!G38,'Trial Rows'!$Y$2:$Y$201,'Trial Rows'!Y38,'Trial Rows'!$U$2:$U$201,'Trial Rows'!U38)=4,'Trial Rows'!U38&gt;=0),1,0)</x:f>
        <x:v>0</x:v>
      </x:c>
      <x:c r="O38" s="2" t="str">
        <x:f>IF(N38=1,'Trial Rows'!U38/1000,"")</x:f>
      </x:c>
      <x:c r="P38" s="2" t="str">
        <x:f>IF(AND(N38=1,'Trial Rows'!G38="A"),O38,"")</x:f>
      </x:c>
      <x:c r="Q38" s="2" t="str">
        <x:f>IF(AND(N38=1,'Trial Rows'!G38="B"),O38,"")</x:f>
      </x:c>
      <x:c r="R38" s="2" t="str">
        <x:f>IF(AND(N38=1,COUNTIFS('Trial Rows'!$B$2:$B$201,'Trial Rows'!B38,'Trial Rows'!$C$2:$C$201,'Trial Rows'!C38,'Trial Rows'!$F$2:$F$201,'Trial Rows'!F38,'Trial Rows'!$G$2:$G$201,'Trial Rows'!G38,'Trial Rows'!$Y$2:$Y$201,'Trial Rows'!Y38,'Trial Rows'!$N$2:$N$201,"&gt;=0",'Trial Rows'!$N$2:$N$201,"&lt;=4",'Trial Rows'!$N$2:$N$201,"&lt;&gt;")=4),SUMIFS('Trial Rows'!$N$2:$N$201,'Trial Rows'!$B$2:$B$201,'Trial Rows'!B38,'Trial Rows'!$C$2:$C$201,'Trial Rows'!C38,'Trial Rows'!$F$2:$F$201,'Trial Rows'!F38,'Trial Rows'!$G$2:$G$201,'Trial Rows'!G38,'Trial Rows'!$Y$2:$Y$201,'Trial Rows'!Y38,'Trial Rows'!$I$2:$I$201,1)+4-SUMIFS('Trial Rows'!$N$2:$N$201,'Trial Rows'!$B$2:$B$201,'Trial Rows'!B38,'Trial Rows'!$C$2:$C$201,'Trial Rows'!C38,'Trial Rows'!$F$2:$F$201,'Trial Rows'!F38,'Trial Rows'!$G$2:$G$201,'Trial Rows'!G38,'Trial Rows'!$Y$2:$Y$201,'Trial Rows'!Y38,'Trial Rows'!$I$2:$I$201,2)+4-SUMIFS('Trial Rows'!$N$2:$N$201,'Trial Rows'!$B$2:$B$201,'Trial Rows'!B38,'Trial Rows'!$C$2:$C$201,'Trial Rows'!C38,'Trial Rows'!$F$2:$F$201,'Trial Rows'!F38,'Trial Rows'!$G$2:$G$201,'Trial Rows'!G38,'Trial Rows'!$Y$2:$Y$201,'Trial Rows'!Y38,'Trial Rows'!$I$2:$I$201,3)+SUMIFS('Trial Rows'!$N$2:$N$201,'Trial Rows'!$B$2:$B$201,'Trial Rows'!B38,'Trial Rows'!$C$2:$C$201,'Trial Rows'!C38,'Trial Rows'!$F$2:$F$201,'Trial Rows'!F38,'Trial Rows'!$G$2:$G$201,'Trial Rows'!G38,'Trial Rows'!$Y$2:$Y$201,'Trial Rows'!Y38,'Trial Rows'!$I$2:$I$201,4),"")</x:f>
      </x:c>
      <x:c r="S38" s="2" t="n">
        <x:f>IF(AND(B38=1,COUNTIFS('Trial Rows'!$C$2:C38,'Trial Rows'!C38,'Trial Rows'!$F$2:F38,Summary!$B$5,'Trial Rows'!$Y$2:Y38,Summary!$B$4)=1),1,0)</x:f>
        <x:v>0</x:v>
      </x:c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 t="str">
        <x:f>IF('Trial Rows'!A39="","",'Trial Rows'!F39&amp;"|"&amp;'Trial Rows'!B39&amp;"|"&amp;'Trial Rows'!C39&amp;"|"&amp;'Trial Rows'!I39)</x:f>
      </x:c>
      <x:c r="B39" s="2" t="n">
        <x:f>IF(AND('Trial Rows'!A39&lt;&gt;"",'Trial Rows'!Y39=Summary!$B$4,'Trial Rows'!F39=Summary!$B$5),1,0)</x:f>
        <x:v>0</x:v>
      </x:c>
      <x:c r="C39" s="2" t="n">
        <x:f>IF(B39=1,COUNTIFS('Trial Rows'!$B$2:$B$201,'Trial Rows'!B39,'Trial Rows'!$C$2:$C$201,'Trial Rows'!C39,'Trial Rows'!$F$2:$F$201,'Trial Rows'!F39,'Trial Rows'!$I$2:$I$201,'Trial Rows'!I39,'Trial Rows'!$Y$2:$Y$201,'Trial Rows'!Y39,'Trial Rows'!$G$2:$G$201,"A"),0)</x:f>
        <x:v>0</x:v>
      </x:c>
      <x:c r="D39" s="2" t="n">
        <x:f>IF(B39=1,COUNTIFS('Trial Rows'!$B$2:$B$201,'Trial Rows'!B39,'Trial Rows'!$C$2:$C$201,'Trial Rows'!C39,'Trial Rows'!$F$2:$F$201,'Trial Rows'!F39,'Trial Rows'!$I$2:$I$201,'Trial Rows'!I39,'Trial Rows'!$Y$2:$Y$201,'Trial Rows'!Y39,'Trial Rows'!$G$2:$G$201,"B"),0)</x:f>
        <x:v>0</x:v>
      </x:c>
      <x:c r="E39" s="2" t="str">
        <x:f>IF(AND(C39=1,COUNTIFS('Trial Rows'!$B$2:$B$201,'Trial Rows'!B39,'Trial Rows'!$C$2:$C$201,'Trial Rows'!C39,'Trial Rows'!$F$2:$F$201,'Trial Rows'!F39,'Trial Rows'!$I$2:$I$201,'Trial Rows'!I39,'Trial Rows'!$Y$2:$Y$201,'Trial Rows'!Y39,'Trial Rows'!$G$2:$G$201,"A",'Trial Rows'!$K$2:$K$201,"&gt;=0",'Trial Rows'!$K$2:$K$201,"&lt;=4",'Trial Rows'!$K$2:$K$201,"&lt;&gt;")=1),SUMIFS('Trial Rows'!$K$2:$K$201,'Trial Rows'!$B$2:$B$201,'Trial Rows'!B39,'Trial Rows'!$C$2:$C$201,'Trial Rows'!C39,'Trial Rows'!$F$2:$F$201,'Trial Rows'!F39,'Trial Rows'!$I$2:$I$201,'Trial Rows'!I39,'Trial Rows'!$Y$2:$Y$201,'Trial Rows'!Y39,'Trial Rows'!$G$2:$G$201,"A"),"")</x:f>
      </x:c>
      <x:c r="F39" s="2" t="n">
        <x:f>IF(AND(B39=1,'Trial Rows'!G39="B",C39=1,D39=1,ISNUMBER(E39),ISNUMBER('Trial Rows'!M39),'Trial Rows'!M39&gt;=0,'Trial Rows'!M39&lt;=4,'Trial Rows'!Q39=0,'Trial Rows'!S39=0),1,0)</x:f>
        <x:v>0</x:v>
      </x:c>
      <x:c r="G39" s="2" t="n">
        <x:f>IF(F39=1,IF(E39='Trial Rows'!M39,1,0),0)</x:f>
        <x:v>0</x:v>
      </x:c>
      <x:c r="H39" s="2" t="n">
        <x:f>IF(AND(B39=1,'Trial Rows'!G39="B",C39=1,D39=1,ISNUMBER(E39),'Trial Rows'!R39=1,'Trial Rows'!Q39=0,'Trial Rows'!S39=0,ISNUMBER('Trial Rows'!L39),'Trial Rows'!L39&gt;=0,'Trial Rows'!L39&lt;=4),1,0)</x:f>
        <x:v>0</x:v>
      </x:c>
      <x:c r="I39" s="2" t="n">
        <x:f>IF(H39=1,IF(E39='Trial Rows'!L39,1,0),0)</x:f>
        <x:v>0</x:v>
      </x:c>
      <x:c r="J39" s="2" t="n">
        <x:f>IF(AND(B39=1,'Trial Rows'!G39="B",'Trial Rows'!P39&gt;0),1,0)</x:f>
        <x:v>0</x:v>
      </x:c>
      <x:c r="K39" s="2" t="n">
        <x:f>IF(AND(B39=1,'Trial Rows'!G39="B",'Trial Rows'!Q39=1),1,0)</x:f>
        <x:v>0</x:v>
      </x:c>
      <x:c r="L39" s="2" t="n">
        <x:f>IF(AND(B39=1,'Trial Rows'!G39="B",'Trial Rows'!R39=1,'Trial Rows'!Q39=0,'Trial Rows'!S39=0),1,0)</x:f>
        <x:v>0</x:v>
      </x:c>
      <x:c r="M39" s="2" t="n">
        <x:f>IF(AND(B39=1,'Trial Rows'!G39="B"),1,0)</x:f>
        <x:v>0</x:v>
      </x:c>
      <x:c r="N39" s="2" t="n">
        <x:f>IF(AND(B39=1,'Trial Rows'!I39=1,COUNTIFS('Trial Rows'!$B$2:$B$201,'Trial Rows'!B39,'Trial Rows'!$C$2:$C$201,'Trial Rows'!C39,'Trial Rows'!$F$2:$F$201,'Trial Rows'!F39,'Trial Rows'!$G$2:$G$201,'Trial Rows'!G39,'Trial Rows'!$Y$2:$Y$201,'Trial Rows'!Y39)=4,COUNTIFS('Trial Rows'!$B$2:$B$201,'Trial Rows'!B39,'Trial Rows'!$C$2:$C$201,'Trial Rows'!C39,'Trial Rows'!$F$2:$F$201,'Trial Rows'!F39,'Trial Rows'!$G$2:$G$201,'Trial Rows'!G39,'Trial Rows'!$Y$2:$Y$201,'Trial Rows'!Y39,'Trial Rows'!$I$2:$I$201,1)=1,COUNTIFS('Trial Rows'!$B$2:$B$201,'Trial Rows'!B39,'Trial Rows'!$C$2:$C$201,'Trial Rows'!C39,'Trial Rows'!$F$2:$F$201,'Trial Rows'!F39,'Trial Rows'!$G$2:$G$201,'Trial Rows'!G39,'Trial Rows'!$Y$2:$Y$201,'Trial Rows'!Y39,'Trial Rows'!$I$2:$I$201,2)=1,COUNTIFS('Trial Rows'!$B$2:$B$201,'Trial Rows'!B39,'Trial Rows'!$C$2:$C$201,'Trial Rows'!C39,'Trial Rows'!$F$2:$F$201,'Trial Rows'!F39,'Trial Rows'!$G$2:$G$201,'Trial Rows'!G39,'Trial Rows'!$Y$2:$Y$201,'Trial Rows'!Y39,'Trial Rows'!$I$2:$I$201,3)=1,COUNTIFS('Trial Rows'!$B$2:$B$201,'Trial Rows'!B39,'Trial Rows'!$C$2:$C$201,'Trial Rows'!C39,'Trial Rows'!$F$2:$F$201,'Trial Rows'!F39,'Trial Rows'!$G$2:$G$201,'Trial Rows'!G39,'Trial Rows'!$Y$2:$Y$201,'Trial Rows'!Y39,'Trial Rows'!$I$2:$I$201,4)=1,COUNTIFS('Trial Rows'!$B$2:$B$201,'Trial Rows'!B39,'Trial Rows'!$C$2:$C$201,'Trial Rows'!C39,'Trial Rows'!$F$2:$F$201,'Trial Rows'!F39,'Trial Rows'!$G$2:$G$201,'Trial Rows'!G39,'Trial Rows'!$Y$2:$Y$201,'Trial Rows'!Y39,'Trial Rows'!$W$2:$W$201,"&lt;&gt;")=4,ISNUMBER('Trial Rows'!U39),COUNTIFS('Trial Rows'!$B$2:$B$201,'Trial Rows'!B39,'Trial Rows'!$C$2:$C$201,'Trial Rows'!C39,'Trial Rows'!$F$2:$F$201,'Trial Rows'!F39,'Trial Rows'!$G$2:$G$201,'Trial Rows'!G39,'Trial Rows'!$Y$2:$Y$201,'Trial Rows'!Y39,'Trial Rows'!$U$2:$U$201,'Trial Rows'!U39)=4,'Trial Rows'!U39&gt;=0),1,0)</x:f>
        <x:v>0</x:v>
      </x:c>
      <x:c r="O39" s="2" t="str">
        <x:f>IF(N39=1,'Trial Rows'!U39/1000,"")</x:f>
      </x:c>
      <x:c r="P39" s="2" t="str">
        <x:f>IF(AND(N39=1,'Trial Rows'!G39="A"),O39,"")</x:f>
      </x:c>
      <x:c r="Q39" s="2" t="str">
        <x:f>IF(AND(N39=1,'Trial Rows'!G39="B"),O39,"")</x:f>
      </x:c>
      <x:c r="R39" s="2" t="str">
        <x:f>IF(AND(N39=1,COUNTIFS('Trial Rows'!$B$2:$B$201,'Trial Rows'!B39,'Trial Rows'!$C$2:$C$201,'Trial Rows'!C39,'Trial Rows'!$F$2:$F$201,'Trial Rows'!F39,'Trial Rows'!$G$2:$G$201,'Trial Rows'!G39,'Trial Rows'!$Y$2:$Y$201,'Trial Rows'!Y39,'Trial Rows'!$N$2:$N$201,"&gt;=0",'Trial Rows'!$N$2:$N$201,"&lt;=4",'Trial Rows'!$N$2:$N$201,"&lt;&gt;")=4),SUMIFS('Trial Rows'!$N$2:$N$201,'Trial Rows'!$B$2:$B$201,'Trial Rows'!B39,'Trial Rows'!$C$2:$C$201,'Trial Rows'!C39,'Trial Rows'!$F$2:$F$201,'Trial Rows'!F39,'Trial Rows'!$G$2:$G$201,'Trial Rows'!G39,'Trial Rows'!$Y$2:$Y$201,'Trial Rows'!Y39,'Trial Rows'!$I$2:$I$201,1)+4-SUMIFS('Trial Rows'!$N$2:$N$201,'Trial Rows'!$B$2:$B$201,'Trial Rows'!B39,'Trial Rows'!$C$2:$C$201,'Trial Rows'!C39,'Trial Rows'!$F$2:$F$201,'Trial Rows'!F39,'Trial Rows'!$G$2:$G$201,'Trial Rows'!G39,'Trial Rows'!$Y$2:$Y$201,'Trial Rows'!Y39,'Trial Rows'!$I$2:$I$201,2)+4-SUMIFS('Trial Rows'!$N$2:$N$201,'Trial Rows'!$B$2:$B$201,'Trial Rows'!B39,'Trial Rows'!$C$2:$C$201,'Trial Rows'!C39,'Trial Rows'!$F$2:$F$201,'Trial Rows'!F39,'Trial Rows'!$G$2:$G$201,'Trial Rows'!G39,'Trial Rows'!$Y$2:$Y$201,'Trial Rows'!Y39,'Trial Rows'!$I$2:$I$201,3)+SUMIFS('Trial Rows'!$N$2:$N$201,'Trial Rows'!$B$2:$B$201,'Trial Rows'!B39,'Trial Rows'!$C$2:$C$201,'Trial Rows'!C39,'Trial Rows'!$F$2:$F$201,'Trial Rows'!F39,'Trial Rows'!$G$2:$G$201,'Trial Rows'!G39,'Trial Rows'!$Y$2:$Y$201,'Trial Rows'!Y39,'Trial Rows'!$I$2:$I$201,4),"")</x:f>
      </x:c>
      <x:c r="S39" s="2" t="n">
        <x:f>IF(AND(B39=1,COUNTIFS('Trial Rows'!$C$2:C39,'Trial Rows'!C39,'Trial Rows'!$F$2:F39,Summary!$B$5,'Trial Rows'!$Y$2:Y39,Summary!$B$4)=1),1,0)</x:f>
        <x:v>0</x:v>
      </x:c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 t="str">
        <x:f>IF('Trial Rows'!A40="","",'Trial Rows'!F40&amp;"|"&amp;'Trial Rows'!B40&amp;"|"&amp;'Trial Rows'!C40&amp;"|"&amp;'Trial Rows'!I40)</x:f>
      </x:c>
      <x:c r="B40" s="2" t="n">
        <x:f>IF(AND('Trial Rows'!A40&lt;&gt;"",'Trial Rows'!Y40=Summary!$B$4,'Trial Rows'!F40=Summary!$B$5),1,0)</x:f>
        <x:v>0</x:v>
      </x:c>
      <x:c r="C40" s="2" t="n">
        <x:f>IF(B40=1,COUNTIFS('Trial Rows'!$B$2:$B$201,'Trial Rows'!B40,'Trial Rows'!$C$2:$C$201,'Trial Rows'!C40,'Trial Rows'!$F$2:$F$201,'Trial Rows'!F40,'Trial Rows'!$I$2:$I$201,'Trial Rows'!I40,'Trial Rows'!$Y$2:$Y$201,'Trial Rows'!Y40,'Trial Rows'!$G$2:$G$201,"A"),0)</x:f>
        <x:v>0</x:v>
      </x:c>
      <x:c r="D40" s="2" t="n">
        <x:f>IF(B40=1,COUNTIFS('Trial Rows'!$B$2:$B$201,'Trial Rows'!B40,'Trial Rows'!$C$2:$C$201,'Trial Rows'!C40,'Trial Rows'!$F$2:$F$201,'Trial Rows'!F40,'Trial Rows'!$I$2:$I$201,'Trial Rows'!I40,'Trial Rows'!$Y$2:$Y$201,'Trial Rows'!Y40,'Trial Rows'!$G$2:$G$201,"B"),0)</x:f>
        <x:v>0</x:v>
      </x:c>
      <x:c r="E40" s="2" t="str">
        <x:f>IF(AND(C40=1,COUNTIFS('Trial Rows'!$B$2:$B$201,'Trial Rows'!B40,'Trial Rows'!$C$2:$C$201,'Trial Rows'!C40,'Trial Rows'!$F$2:$F$201,'Trial Rows'!F40,'Trial Rows'!$I$2:$I$201,'Trial Rows'!I40,'Trial Rows'!$Y$2:$Y$201,'Trial Rows'!Y40,'Trial Rows'!$G$2:$G$201,"A",'Trial Rows'!$K$2:$K$201,"&gt;=0",'Trial Rows'!$K$2:$K$201,"&lt;=4",'Trial Rows'!$K$2:$K$201,"&lt;&gt;")=1),SUMIFS('Trial Rows'!$K$2:$K$201,'Trial Rows'!$B$2:$B$201,'Trial Rows'!B40,'Trial Rows'!$C$2:$C$201,'Trial Rows'!C40,'Trial Rows'!$F$2:$F$201,'Trial Rows'!F40,'Trial Rows'!$I$2:$I$201,'Trial Rows'!I40,'Trial Rows'!$Y$2:$Y$201,'Trial Rows'!Y40,'Trial Rows'!$G$2:$G$201,"A"),"")</x:f>
      </x:c>
      <x:c r="F40" s="2" t="n">
        <x:f>IF(AND(B40=1,'Trial Rows'!G40="B",C40=1,D40=1,ISNUMBER(E40),ISNUMBER('Trial Rows'!M40),'Trial Rows'!M40&gt;=0,'Trial Rows'!M40&lt;=4,'Trial Rows'!Q40=0,'Trial Rows'!S40=0),1,0)</x:f>
        <x:v>0</x:v>
      </x:c>
      <x:c r="G40" s="2" t="n">
        <x:f>IF(F40=1,IF(E40='Trial Rows'!M40,1,0),0)</x:f>
        <x:v>0</x:v>
      </x:c>
      <x:c r="H40" s="2" t="n">
        <x:f>IF(AND(B40=1,'Trial Rows'!G40="B",C40=1,D40=1,ISNUMBER(E40),'Trial Rows'!R40=1,'Trial Rows'!Q40=0,'Trial Rows'!S40=0,ISNUMBER('Trial Rows'!L40),'Trial Rows'!L40&gt;=0,'Trial Rows'!L40&lt;=4),1,0)</x:f>
        <x:v>0</x:v>
      </x:c>
      <x:c r="I40" s="2" t="n">
        <x:f>IF(H40=1,IF(E40='Trial Rows'!L40,1,0),0)</x:f>
        <x:v>0</x:v>
      </x:c>
      <x:c r="J40" s="2" t="n">
        <x:f>IF(AND(B40=1,'Trial Rows'!G40="B",'Trial Rows'!P40&gt;0),1,0)</x:f>
        <x:v>0</x:v>
      </x:c>
      <x:c r="K40" s="2" t="n">
        <x:f>IF(AND(B40=1,'Trial Rows'!G40="B",'Trial Rows'!Q40=1),1,0)</x:f>
        <x:v>0</x:v>
      </x:c>
      <x:c r="L40" s="2" t="n">
        <x:f>IF(AND(B40=1,'Trial Rows'!G40="B",'Trial Rows'!R40=1,'Trial Rows'!Q40=0,'Trial Rows'!S40=0),1,0)</x:f>
        <x:v>0</x:v>
      </x:c>
      <x:c r="M40" s="2" t="n">
        <x:f>IF(AND(B40=1,'Trial Rows'!G40="B"),1,0)</x:f>
        <x:v>0</x:v>
      </x:c>
      <x:c r="N40" s="2" t="n">
        <x:f>IF(AND(B40=1,'Trial Rows'!I40=1,COUNTIFS('Trial Rows'!$B$2:$B$201,'Trial Rows'!B40,'Trial Rows'!$C$2:$C$201,'Trial Rows'!C40,'Trial Rows'!$F$2:$F$201,'Trial Rows'!F40,'Trial Rows'!$G$2:$G$201,'Trial Rows'!G40,'Trial Rows'!$Y$2:$Y$201,'Trial Rows'!Y40)=4,COUNTIFS('Trial Rows'!$B$2:$B$201,'Trial Rows'!B40,'Trial Rows'!$C$2:$C$201,'Trial Rows'!C40,'Trial Rows'!$F$2:$F$201,'Trial Rows'!F40,'Trial Rows'!$G$2:$G$201,'Trial Rows'!G40,'Trial Rows'!$Y$2:$Y$201,'Trial Rows'!Y40,'Trial Rows'!$I$2:$I$201,1)=1,COUNTIFS('Trial Rows'!$B$2:$B$201,'Trial Rows'!B40,'Trial Rows'!$C$2:$C$201,'Trial Rows'!C40,'Trial Rows'!$F$2:$F$201,'Trial Rows'!F40,'Trial Rows'!$G$2:$G$201,'Trial Rows'!G40,'Trial Rows'!$Y$2:$Y$201,'Trial Rows'!Y40,'Trial Rows'!$I$2:$I$201,2)=1,COUNTIFS('Trial Rows'!$B$2:$B$201,'Trial Rows'!B40,'Trial Rows'!$C$2:$C$201,'Trial Rows'!C40,'Trial Rows'!$F$2:$F$201,'Trial Rows'!F40,'Trial Rows'!$G$2:$G$201,'Trial Rows'!G40,'Trial Rows'!$Y$2:$Y$201,'Trial Rows'!Y40,'Trial Rows'!$I$2:$I$201,3)=1,COUNTIFS('Trial Rows'!$B$2:$B$201,'Trial Rows'!B40,'Trial Rows'!$C$2:$C$201,'Trial Rows'!C40,'Trial Rows'!$F$2:$F$201,'Trial Rows'!F40,'Trial Rows'!$G$2:$G$201,'Trial Rows'!G40,'Trial Rows'!$Y$2:$Y$201,'Trial Rows'!Y40,'Trial Rows'!$I$2:$I$201,4)=1,COUNTIFS('Trial Rows'!$B$2:$B$201,'Trial Rows'!B40,'Trial Rows'!$C$2:$C$201,'Trial Rows'!C40,'Trial Rows'!$F$2:$F$201,'Trial Rows'!F40,'Trial Rows'!$G$2:$G$201,'Trial Rows'!G40,'Trial Rows'!$Y$2:$Y$201,'Trial Rows'!Y40,'Trial Rows'!$W$2:$W$201,"&lt;&gt;")=4,ISNUMBER('Trial Rows'!U40),COUNTIFS('Trial Rows'!$B$2:$B$201,'Trial Rows'!B40,'Trial Rows'!$C$2:$C$201,'Trial Rows'!C40,'Trial Rows'!$F$2:$F$201,'Trial Rows'!F40,'Trial Rows'!$G$2:$G$201,'Trial Rows'!G40,'Trial Rows'!$Y$2:$Y$201,'Trial Rows'!Y40,'Trial Rows'!$U$2:$U$201,'Trial Rows'!U40)=4,'Trial Rows'!U40&gt;=0),1,0)</x:f>
        <x:v>0</x:v>
      </x:c>
      <x:c r="O40" s="2" t="str">
        <x:f>IF(N40=1,'Trial Rows'!U40/1000,"")</x:f>
      </x:c>
      <x:c r="P40" s="2" t="str">
        <x:f>IF(AND(N40=1,'Trial Rows'!G40="A"),O40,"")</x:f>
      </x:c>
      <x:c r="Q40" s="2" t="str">
        <x:f>IF(AND(N40=1,'Trial Rows'!G40="B"),O40,"")</x:f>
      </x:c>
      <x:c r="R40" s="2" t="str">
        <x:f>IF(AND(N40=1,COUNTIFS('Trial Rows'!$B$2:$B$201,'Trial Rows'!B40,'Trial Rows'!$C$2:$C$201,'Trial Rows'!C40,'Trial Rows'!$F$2:$F$201,'Trial Rows'!F40,'Trial Rows'!$G$2:$G$201,'Trial Rows'!G40,'Trial Rows'!$Y$2:$Y$201,'Trial Rows'!Y40,'Trial Rows'!$N$2:$N$201,"&gt;=0",'Trial Rows'!$N$2:$N$201,"&lt;=4",'Trial Rows'!$N$2:$N$201,"&lt;&gt;")=4),SUMIFS('Trial Rows'!$N$2:$N$201,'Trial Rows'!$B$2:$B$201,'Trial Rows'!B40,'Trial Rows'!$C$2:$C$201,'Trial Rows'!C40,'Trial Rows'!$F$2:$F$201,'Trial Rows'!F40,'Trial Rows'!$G$2:$G$201,'Trial Rows'!G40,'Trial Rows'!$Y$2:$Y$201,'Trial Rows'!Y40,'Trial Rows'!$I$2:$I$201,1)+4-SUMIFS('Trial Rows'!$N$2:$N$201,'Trial Rows'!$B$2:$B$201,'Trial Rows'!B40,'Trial Rows'!$C$2:$C$201,'Trial Rows'!C40,'Trial Rows'!$F$2:$F$201,'Trial Rows'!F40,'Trial Rows'!$G$2:$G$201,'Trial Rows'!G40,'Trial Rows'!$Y$2:$Y$201,'Trial Rows'!Y40,'Trial Rows'!$I$2:$I$201,2)+4-SUMIFS('Trial Rows'!$N$2:$N$201,'Trial Rows'!$B$2:$B$201,'Trial Rows'!B40,'Trial Rows'!$C$2:$C$201,'Trial Rows'!C40,'Trial Rows'!$F$2:$F$201,'Trial Rows'!F40,'Trial Rows'!$G$2:$G$201,'Trial Rows'!G40,'Trial Rows'!$Y$2:$Y$201,'Trial Rows'!Y40,'Trial Rows'!$I$2:$I$201,3)+SUMIFS('Trial Rows'!$N$2:$N$201,'Trial Rows'!$B$2:$B$201,'Trial Rows'!B40,'Trial Rows'!$C$2:$C$201,'Trial Rows'!C40,'Trial Rows'!$F$2:$F$201,'Trial Rows'!F40,'Trial Rows'!$G$2:$G$201,'Trial Rows'!G40,'Trial Rows'!$Y$2:$Y$201,'Trial Rows'!Y40,'Trial Rows'!$I$2:$I$201,4),"")</x:f>
      </x:c>
      <x:c r="S40" s="2" t="n">
        <x:f>IF(AND(B40=1,COUNTIFS('Trial Rows'!$C$2:C40,'Trial Rows'!C40,'Trial Rows'!$F$2:F40,Summary!$B$5,'Trial Rows'!$Y$2:Y40,Summary!$B$4)=1),1,0)</x:f>
        <x:v>0</x:v>
      </x:c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 t="str">
        <x:f>IF('Trial Rows'!A41="","",'Trial Rows'!F41&amp;"|"&amp;'Trial Rows'!B41&amp;"|"&amp;'Trial Rows'!C41&amp;"|"&amp;'Trial Rows'!I41)</x:f>
      </x:c>
      <x:c r="B41" s="2" t="n">
        <x:f>IF(AND('Trial Rows'!A41&lt;&gt;"",'Trial Rows'!Y41=Summary!$B$4,'Trial Rows'!F41=Summary!$B$5),1,0)</x:f>
        <x:v>0</x:v>
      </x:c>
      <x:c r="C41" s="2" t="n">
        <x:f>IF(B41=1,COUNTIFS('Trial Rows'!$B$2:$B$201,'Trial Rows'!B41,'Trial Rows'!$C$2:$C$201,'Trial Rows'!C41,'Trial Rows'!$F$2:$F$201,'Trial Rows'!F41,'Trial Rows'!$I$2:$I$201,'Trial Rows'!I41,'Trial Rows'!$Y$2:$Y$201,'Trial Rows'!Y41,'Trial Rows'!$G$2:$G$201,"A"),0)</x:f>
        <x:v>0</x:v>
      </x:c>
      <x:c r="D41" s="2" t="n">
        <x:f>IF(B41=1,COUNTIFS('Trial Rows'!$B$2:$B$201,'Trial Rows'!B41,'Trial Rows'!$C$2:$C$201,'Trial Rows'!C41,'Trial Rows'!$F$2:$F$201,'Trial Rows'!F41,'Trial Rows'!$I$2:$I$201,'Trial Rows'!I41,'Trial Rows'!$Y$2:$Y$201,'Trial Rows'!Y41,'Trial Rows'!$G$2:$G$201,"B"),0)</x:f>
        <x:v>0</x:v>
      </x:c>
      <x:c r="E41" s="2" t="str">
        <x:f>IF(AND(C41=1,COUNTIFS('Trial Rows'!$B$2:$B$201,'Trial Rows'!B41,'Trial Rows'!$C$2:$C$201,'Trial Rows'!C41,'Trial Rows'!$F$2:$F$201,'Trial Rows'!F41,'Trial Rows'!$I$2:$I$201,'Trial Rows'!I41,'Trial Rows'!$Y$2:$Y$201,'Trial Rows'!Y41,'Trial Rows'!$G$2:$G$201,"A",'Trial Rows'!$K$2:$K$201,"&gt;=0",'Trial Rows'!$K$2:$K$201,"&lt;=4",'Trial Rows'!$K$2:$K$201,"&lt;&gt;")=1),SUMIFS('Trial Rows'!$K$2:$K$201,'Trial Rows'!$B$2:$B$201,'Trial Rows'!B41,'Trial Rows'!$C$2:$C$201,'Trial Rows'!C41,'Trial Rows'!$F$2:$F$201,'Trial Rows'!F41,'Trial Rows'!$I$2:$I$201,'Trial Rows'!I41,'Trial Rows'!$Y$2:$Y$201,'Trial Rows'!Y41,'Trial Rows'!$G$2:$G$201,"A"),"")</x:f>
      </x:c>
      <x:c r="F41" s="2" t="n">
        <x:f>IF(AND(B41=1,'Trial Rows'!G41="B",C41=1,D41=1,ISNUMBER(E41),ISNUMBER('Trial Rows'!M41),'Trial Rows'!M41&gt;=0,'Trial Rows'!M41&lt;=4,'Trial Rows'!Q41=0,'Trial Rows'!S41=0),1,0)</x:f>
        <x:v>0</x:v>
      </x:c>
      <x:c r="G41" s="2" t="n">
        <x:f>IF(F41=1,IF(E41='Trial Rows'!M41,1,0),0)</x:f>
        <x:v>0</x:v>
      </x:c>
      <x:c r="H41" s="2" t="n">
        <x:f>IF(AND(B41=1,'Trial Rows'!G41="B",C41=1,D41=1,ISNUMBER(E41),'Trial Rows'!R41=1,'Trial Rows'!Q41=0,'Trial Rows'!S41=0,ISNUMBER('Trial Rows'!L41),'Trial Rows'!L41&gt;=0,'Trial Rows'!L41&lt;=4),1,0)</x:f>
        <x:v>0</x:v>
      </x:c>
      <x:c r="I41" s="2" t="n">
        <x:f>IF(H41=1,IF(E41='Trial Rows'!L41,1,0),0)</x:f>
        <x:v>0</x:v>
      </x:c>
      <x:c r="J41" s="2" t="n">
        <x:f>IF(AND(B41=1,'Trial Rows'!G41="B",'Trial Rows'!P41&gt;0),1,0)</x:f>
        <x:v>0</x:v>
      </x:c>
      <x:c r="K41" s="2" t="n">
        <x:f>IF(AND(B41=1,'Trial Rows'!G41="B",'Trial Rows'!Q41=1),1,0)</x:f>
        <x:v>0</x:v>
      </x:c>
      <x:c r="L41" s="2" t="n">
        <x:f>IF(AND(B41=1,'Trial Rows'!G41="B",'Trial Rows'!R41=1,'Trial Rows'!Q41=0,'Trial Rows'!S41=0),1,0)</x:f>
        <x:v>0</x:v>
      </x:c>
      <x:c r="M41" s="2" t="n">
        <x:f>IF(AND(B41=1,'Trial Rows'!G41="B"),1,0)</x:f>
        <x:v>0</x:v>
      </x:c>
      <x:c r="N41" s="2" t="n">
        <x:f>IF(AND(B41=1,'Trial Rows'!I41=1,COUNTIFS('Trial Rows'!$B$2:$B$201,'Trial Rows'!B41,'Trial Rows'!$C$2:$C$201,'Trial Rows'!C41,'Trial Rows'!$F$2:$F$201,'Trial Rows'!F41,'Trial Rows'!$G$2:$G$201,'Trial Rows'!G41,'Trial Rows'!$Y$2:$Y$201,'Trial Rows'!Y41)=4,COUNTIFS('Trial Rows'!$B$2:$B$201,'Trial Rows'!B41,'Trial Rows'!$C$2:$C$201,'Trial Rows'!C41,'Trial Rows'!$F$2:$F$201,'Trial Rows'!F41,'Trial Rows'!$G$2:$G$201,'Trial Rows'!G41,'Trial Rows'!$Y$2:$Y$201,'Trial Rows'!Y41,'Trial Rows'!$I$2:$I$201,1)=1,COUNTIFS('Trial Rows'!$B$2:$B$201,'Trial Rows'!B41,'Trial Rows'!$C$2:$C$201,'Trial Rows'!C41,'Trial Rows'!$F$2:$F$201,'Trial Rows'!F41,'Trial Rows'!$G$2:$G$201,'Trial Rows'!G41,'Trial Rows'!$Y$2:$Y$201,'Trial Rows'!Y41,'Trial Rows'!$I$2:$I$201,2)=1,COUNTIFS('Trial Rows'!$B$2:$B$201,'Trial Rows'!B41,'Trial Rows'!$C$2:$C$201,'Trial Rows'!C41,'Trial Rows'!$F$2:$F$201,'Trial Rows'!F41,'Trial Rows'!$G$2:$G$201,'Trial Rows'!G41,'Trial Rows'!$Y$2:$Y$201,'Trial Rows'!Y41,'Trial Rows'!$I$2:$I$201,3)=1,COUNTIFS('Trial Rows'!$B$2:$B$201,'Trial Rows'!B41,'Trial Rows'!$C$2:$C$201,'Trial Rows'!C41,'Trial Rows'!$F$2:$F$201,'Trial Rows'!F41,'Trial Rows'!$G$2:$G$201,'Trial Rows'!G41,'Trial Rows'!$Y$2:$Y$201,'Trial Rows'!Y41,'Trial Rows'!$I$2:$I$201,4)=1,COUNTIFS('Trial Rows'!$B$2:$B$201,'Trial Rows'!B41,'Trial Rows'!$C$2:$C$201,'Trial Rows'!C41,'Trial Rows'!$F$2:$F$201,'Trial Rows'!F41,'Trial Rows'!$G$2:$G$201,'Trial Rows'!G41,'Trial Rows'!$Y$2:$Y$201,'Trial Rows'!Y41,'Trial Rows'!$W$2:$W$201,"&lt;&gt;")=4,ISNUMBER('Trial Rows'!U41),COUNTIFS('Trial Rows'!$B$2:$B$201,'Trial Rows'!B41,'Trial Rows'!$C$2:$C$201,'Trial Rows'!C41,'Trial Rows'!$F$2:$F$201,'Trial Rows'!F41,'Trial Rows'!$G$2:$G$201,'Trial Rows'!G41,'Trial Rows'!$Y$2:$Y$201,'Trial Rows'!Y41,'Trial Rows'!$U$2:$U$201,'Trial Rows'!U41)=4,'Trial Rows'!U41&gt;=0),1,0)</x:f>
        <x:v>0</x:v>
      </x:c>
      <x:c r="O41" s="2" t="str">
        <x:f>IF(N41=1,'Trial Rows'!U41/1000,"")</x:f>
      </x:c>
      <x:c r="P41" s="2" t="str">
        <x:f>IF(AND(N41=1,'Trial Rows'!G41="A"),O41,"")</x:f>
      </x:c>
      <x:c r="Q41" s="2" t="str">
        <x:f>IF(AND(N41=1,'Trial Rows'!G41="B"),O41,"")</x:f>
      </x:c>
      <x:c r="R41" s="2" t="str">
        <x:f>IF(AND(N41=1,COUNTIFS('Trial Rows'!$B$2:$B$201,'Trial Rows'!B41,'Trial Rows'!$C$2:$C$201,'Trial Rows'!C41,'Trial Rows'!$F$2:$F$201,'Trial Rows'!F41,'Trial Rows'!$G$2:$G$201,'Trial Rows'!G41,'Trial Rows'!$Y$2:$Y$201,'Trial Rows'!Y41,'Trial Rows'!$N$2:$N$201,"&gt;=0",'Trial Rows'!$N$2:$N$201,"&lt;=4",'Trial Rows'!$N$2:$N$201,"&lt;&gt;")=4),SUMIFS('Trial Rows'!$N$2:$N$201,'Trial Rows'!$B$2:$B$201,'Trial Rows'!B41,'Trial Rows'!$C$2:$C$201,'Trial Rows'!C41,'Trial Rows'!$F$2:$F$201,'Trial Rows'!F41,'Trial Rows'!$G$2:$G$201,'Trial Rows'!G41,'Trial Rows'!$Y$2:$Y$201,'Trial Rows'!Y41,'Trial Rows'!$I$2:$I$201,1)+4-SUMIFS('Trial Rows'!$N$2:$N$201,'Trial Rows'!$B$2:$B$201,'Trial Rows'!B41,'Trial Rows'!$C$2:$C$201,'Trial Rows'!C41,'Trial Rows'!$F$2:$F$201,'Trial Rows'!F41,'Trial Rows'!$G$2:$G$201,'Trial Rows'!G41,'Trial Rows'!$Y$2:$Y$201,'Trial Rows'!Y41,'Trial Rows'!$I$2:$I$201,2)+4-SUMIFS('Trial Rows'!$N$2:$N$201,'Trial Rows'!$B$2:$B$201,'Trial Rows'!B41,'Trial Rows'!$C$2:$C$201,'Trial Rows'!C41,'Trial Rows'!$F$2:$F$201,'Trial Rows'!F41,'Trial Rows'!$G$2:$G$201,'Trial Rows'!G41,'Trial Rows'!$Y$2:$Y$201,'Trial Rows'!Y41,'Trial Rows'!$I$2:$I$201,3)+SUMIFS('Trial Rows'!$N$2:$N$201,'Trial Rows'!$B$2:$B$201,'Trial Rows'!B41,'Trial Rows'!$C$2:$C$201,'Trial Rows'!C41,'Trial Rows'!$F$2:$F$201,'Trial Rows'!F41,'Trial Rows'!$G$2:$G$201,'Trial Rows'!G41,'Trial Rows'!$Y$2:$Y$201,'Trial Rows'!Y41,'Trial Rows'!$I$2:$I$201,4),"")</x:f>
      </x:c>
      <x:c r="S41" s="2" t="n">
        <x:f>IF(AND(B41=1,COUNTIFS('Trial Rows'!$C$2:C41,'Trial Rows'!C41,'Trial Rows'!$F$2:F41,Summary!$B$5,'Trial Rows'!$Y$2:Y41,Summary!$B$4)=1),1,0)</x:f>
        <x:v>0</x:v>
      </x:c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 t="str">
        <x:f>IF('Trial Rows'!A42="","",'Trial Rows'!F42&amp;"|"&amp;'Trial Rows'!B42&amp;"|"&amp;'Trial Rows'!C42&amp;"|"&amp;'Trial Rows'!I42)</x:f>
      </x:c>
      <x:c r="B42" s="2" t="n">
        <x:f>IF(AND('Trial Rows'!A42&lt;&gt;"",'Trial Rows'!Y42=Summary!$B$4,'Trial Rows'!F42=Summary!$B$5),1,0)</x:f>
        <x:v>0</x:v>
      </x:c>
      <x:c r="C42" s="2" t="n">
        <x:f>IF(B42=1,COUNTIFS('Trial Rows'!$B$2:$B$201,'Trial Rows'!B42,'Trial Rows'!$C$2:$C$201,'Trial Rows'!C42,'Trial Rows'!$F$2:$F$201,'Trial Rows'!F42,'Trial Rows'!$I$2:$I$201,'Trial Rows'!I42,'Trial Rows'!$Y$2:$Y$201,'Trial Rows'!Y42,'Trial Rows'!$G$2:$G$201,"A"),0)</x:f>
        <x:v>0</x:v>
      </x:c>
      <x:c r="D42" s="2" t="n">
        <x:f>IF(B42=1,COUNTIFS('Trial Rows'!$B$2:$B$201,'Trial Rows'!B42,'Trial Rows'!$C$2:$C$201,'Trial Rows'!C42,'Trial Rows'!$F$2:$F$201,'Trial Rows'!F42,'Trial Rows'!$I$2:$I$201,'Trial Rows'!I42,'Trial Rows'!$Y$2:$Y$201,'Trial Rows'!Y42,'Trial Rows'!$G$2:$G$201,"B"),0)</x:f>
        <x:v>0</x:v>
      </x:c>
      <x:c r="E42" s="2" t="str">
        <x:f>IF(AND(C42=1,COUNTIFS('Trial Rows'!$B$2:$B$201,'Trial Rows'!B42,'Trial Rows'!$C$2:$C$201,'Trial Rows'!C42,'Trial Rows'!$F$2:$F$201,'Trial Rows'!F42,'Trial Rows'!$I$2:$I$201,'Trial Rows'!I42,'Trial Rows'!$Y$2:$Y$201,'Trial Rows'!Y42,'Trial Rows'!$G$2:$G$201,"A",'Trial Rows'!$K$2:$K$201,"&gt;=0",'Trial Rows'!$K$2:$K$201,"&lt;=4",'Trial Rows'!$K$2:$K$201,"&lt;&gt;")=1),SUMIFS('Trial Rows'!$K$2:$K$201,'Trial Rows'!$B$2:$B$201,'Trial Rows'!B42,'Trial Rows'!$C$2:$C$201,'Trial Rows'!C42,'Trial Rows'!$F$2:$F$201,'Trial Rows'!F42,'Trial Rows'!$I$2:$I$201,'Trial Rows'!I42,'Trial Rows'!$Y$2:$Y$201,'Trial Rows'!Y42,'Trial Rows'!$G$2:$G$201,"A"),"")</x:f>
      </x:c>
      <x:c r="F42" s="2" t="n">
        <x:f>IF(AND(B42=1,'Trial Rows'!G42="B",C42=1,D42=1,ISNUMBER(E42),ISNUMBER('Trial Rows'!M42),'Trial Rows'!M42&gt;=0,'Trial Rows'!M42&lt;=4,'Trial Rows'!Q42=0,'Trial Rows'!S42=0),1,0)</x:f>
        <x:v>0</x:v>
      </x:c>
      <x:c r="G42" s="2" t="n">
        <x:f>IF(F42=1,IF(E42='Trial Rows'!M42,1,0),0)</x:f>
        <x:v>0</x:v>
      </x:c>
      <x:c r="H42" s="2" t="n">
        <x:f>IF(AND(B42=1,'Trial Rows'!G42="B",C42=1,D42=1,ISNUMBER(E42),'Trial Rows'!R42=1,'Trial Rows'!Q42=0,'Trial Rows'!S42=0,ISNUMBER('Trial Rows'!L42),'Trial Rows'!L42&gt;=0,'Trial Rows'!L42&lt;=4),1,0)</x:f>
        <x:v>0</x:v>
      </x:c>
      <x:c r="I42" s="2" t="n">
        <x:f>IF(H42=1,IF(E42='Trial Rows'!L42,1,0),0)</x:f>
        <x:v>0</x:v>
      </x:c>
      <x:c r="J42" s="2" t="n">
        <x:f>IF(AND(B42=1,'Trial Rows'!G42="B",'Trial Rows'!P42&gt;0),1,0)</x:f>
        <x:v>0</x:v>
      </x:c>
      <x:c r="K42" s="2" t="n">
        <x:f>IF(AND(B42=1,'Trial Rows'!G42="B",'Trial Rows'!Q42=1),1,0)</x:f>
        <x:v>0</x:v>
      </x:c>
      <x:c r="L42" s="2" t="n">
        <x:f>IF(AND(B42=1,'Trial Rows'!G42="B",'Trial Rows'!R42=1,'Trial Rows'!Q42=0,'Trial Rows'!S42=0),1,0)</x:f>
        <x:v>0</x:v>
      </x:c>
      <x:c r="M42" s="2" t="n">
        <x:f>IF(AND(B42=1,'Trial Rows'!G42="B"),1,0)</x:f>
        <x:v>0</x:v>
      </x:c>
      <x:c r="N42" s="2" t="n">
        <x:f>IF(AND(B42=1,'Trial Rows'!I42=1,COUNTIFS('Trial Rows'!$B$2:$B$201,'Trial Rows'!B42,'Trial Rows'!$C$2:$C$201,'Trial Rows'!C42,'Trial Rows'!$F$2:$F$201,'Trial Rows'!F42,'Trial Rows'!$G$2:$G$201,'Trial Rows'!G42,'Trial Rows'!$Y$2:$Y$201,'Trial Rows'!Y42)=4,COUNTIFS('Trial Rows'!$B$2:$B$201,'Trial Rows'!B42,'Trial Rows'!$C$2:$C$201,'Trial Rows'!C42,'Trial Rows'!$F$2:$F$201,'Trial Rows'!F42,'Trial Rows'!$G$2:$G$201,'Trial Rows'!G42,'Trial Rows'!$Y$2:$Y$201,'Trial Rows'!Y42,'Trial Rows'!$I$2:$I$201,1)=1,COUNTIFS('Trial Rows'!$B$2:$B$201,'Trial Rows'!B42,'Trial Rows'!$C$2:$C$201,'Trial Rows'!C42,'Trial Rows'!$F$2:$F$201,'Trial Rows'!F42,'Trial Rows'!$G$2:$G$201,'Trial Rows'!G42,'Trial Rows'!$Y$2:$Y$201,'Trial Rows'!Y42,'Trial Rows'!$I$2:$I$201,2)=1,COUNTIFS('Trial Rows'!$B$2:$B$201,'Trial Rows'!B42,'Trial Rows'!$C$2:$C$201,'Trial Rows'!C42,'Trial Rows'!$F$2:$F$201,'Trial Rows'!F42,'Trial Rows'!$G$2:$G$201,'Trial Rows'!G42,'Trial Rows'!$Y$2:$Y$201,'Trial Rows'!Y42,'Trial Rows'!$I$2:$I$201,3)=1,COUNTIFS('Trial Rows'!$B$2:$B$201,'Trial Rows'!B42,'Trial Rows'!$C$2:$C$201,'Trial Rows'!C42,'Trial Rows'!$F$2:$F$201,'Trial Rows'!F42,'Trial Rows'!$G$2:$G$201,'Trial Rows'!G42,'Trial Rows'!$Y$2:$Y$201,'Trial Rows'!Y42,'Trial Rows'!$I$2:$I$201,4)=1,COUNTIFS('Trial Rows'!$B$2:$B$201,'Trial Rows'!B42,'Trial Rows'!$C$2:$C$201,'Trial Rows'!C42,'Trial Rows'!$F$2:$F$201,'Trial Rows'!F42,'Trial Rows'!$G$2:$G$201,'Trial Rows'!G42,'Trial Rows'!$Y$2:$Y$201,'Trial Rows'!Y42,'Trial Rows'!$W$2:$W$201,"&lt;&gt;")=4,ISNUMBER('Trial Rows'!U42),COUNTIFS('Trial Rows'!$B$2:$B$201,'Trial Rows'!B42,'Trial Rows'!$C$2:$C$201,'Trial Rows'!C42,'Trial Rows'!$F$2:$F$201,'Trial Rows'!F42,'Trial Rows'!$G$2:$G$201,'Trial Rows'!G42,'Trial Rows'!$Y$2:$Y$201,'Trial Rows'!Y42,'Trial Rows'!$U$2:$U$201,'Trial Rows'!U42)=4,'Trial Rows'!U42&gt;=0),1,0)</x:f>
        <x:v>0</x:v>
      </x:c>
      <x:c r="O42" s="2" t="str">
        <x:f>IF(N42=1,'Trial Rows'!U42/1000,"")</x:f>
      </x:c>
      <x:c r="P42" s="2" t="str">
        <x:f>IF(AND(N42=1,'Trial Rows'!G42="A"),O42,"")</x:f>
      </x:c>
      <x:c r="Q42" s="2" t="str">
        <x:f>IF(AND(N42=1,'Trial Rows'!G42="B"),O42,"")</x:f>
      </x:c>
      <x:c r="R42" s="2" t="str">
        <x:f>IF(AND(N42=1,COUNTIFS('Trial Rows'!$B$2:$B$201,'Trial Rows'!B42,'Trial Rows'!$C$2:$C$201,'Trial Rows'!C42,'Trial Rows'!$F$2:$F$201,'Trial Rows'!F42,'Trial Rows'!$G$2:$G$201,'Trial Rows'!G42,'Trial Rows'!$Y$2:$Y$201,'Trial Rows'!Y42,'Trial Rows'!$N$2:$N$201,"&gt;=0",'Trial Rows'!$N$2:$N$201,"&lt;=4",'Trial Rows'!$N$2:$N$201,"&lt;&gt;")=4),SUMIFS('Trial Rows'!$N$2:$N$201,'Trial Rows'!$B$2:$B$201,'Trial Rows'!B42,'Trial Rows'!$C$2:$C$201,'Trial Rows'!C42,'Trial Rows'!$F$2:$F$201,'Trial Rows'!F42,'Trial Rows'!$G$2:$G$201,'Trial Rows'!G42,'Trial Rows'!$Y$2:$Y$201,'Trial Rows'!Y42,'Trial Rows'!$I$2:$I$201,1)+4-SUMIFS('Trial Rows'!$N$2:$N$201,'Trial Rows'!$B$2:$B$201,'Trial Rows'!B42,'Trial Rows'!$C$2:$C$201,'Trial Rows'!C42,'Trial Rows'!$F$2:$F$201,'Trial Rows'!F42,'Trial Rows'!$G$2:$G$201,'Trial Rows'!G42,'Trial Rows'!$Y$2:$Y$201,'Trial Rows'!Y42,'Trial Rows'!$I$2:$I$201,2)+4-SUMIFS('Trial Rows'!$N$2:$N$201,'Trial Rows'!$B$2:$B$201,'Trial Rows'!B42,'Trial Rows'!$C$2:$C$201,'Trial Rows'!C42,'Trial Rows'!$F$2:$F$201,'Trial Rows'!F42,'Trial Rows'!$G$2:$G$201,'Trial Rows'!G42,'Trial Rows'!$Y$2:$Y$201,'Trial Rows'!Y42,'Trial Rows'!$I$2:$I$201,3)+SUMIFS('Trial Rows'!$N$2:$N$201,'Trial Rows'!$B$2:$B$201,'Trial Rows'!B42,'Trial Rows'!$C$2:$C$201,'Trial Rows'!C42,'Trial Rows'!$F$2:$F$201,'Trial Rows'!F42,'Trial Rows'!$G$2:$G$201,'Trial Rows'!G42,'Trial Rows'!$Y$2:$Y$201,'Trial Rows'!Y42,'Trial Rows'!$I$2:$I$201,4),"")</x:f>
      </x:c>
      <x:c r="S42" s="2" t="n">
        <x:f>IF(AND(B42=1,COUNTIFS('Trial Rows'!$C$2:C42,'Trial Rows'!C42,'Trial Rows'!$F$2:F42,Summary!$B$5,'Trial Rows'!$Y$2:Y42,Summary!$B$4)=1),1,0)</x:f>
        <x:v>0</x:v>
      </x:c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 t="str">
        <x:f>IF('Trial Rows'!A43="","",'Trial Rows'!F43&amp;"|"&amp;'Trial Rows'!B43&amp;"|"&amp;'Trial Rows'!C43&amp;"|"&amp;'Trial Rows'!I43)</x:f>
      </x:c>
      <x:c r="B43" s="2" t="n">
        <x:f>IF(AND('Trial Rows'!A43&lt;&gt;"",'Trial Rows'!Y43=Summary!$B$4,'Trial Rows'!F43=Summary!$B$5),1,0)</x:f>
        <x:v>0</x:v>
      </x:c>
      <x:c r="C43" s="2" t="n">
        <x:f>IF(B43=1,COUNTIFS('Trial Rows'!$B$2:$B$201,'Trial Rows'!B43,'Trial Rows'!$C$2:$C$201,'Trial Rows'!C43,'Trial Rows'!$F$2:$F$201,'Trial Rows'!F43,'Trial Rows'!$I$2:$I$201,'Trial Rows'!I43,'Trial Rows'!$Y$2:$Y$201,'Trial Rows'!Y43,'Trial Rows'!$G$2:$G$201,"A"),0)</x:f>
        <x:v>0</x:v>
      </x:c>
      <x:c r="D43" s="2" t="n">
        <x:f>IF(B43=1,COUNTIFS('Trial Rows'!$B$2:$B$201,'Trial Rows'!B43,'Trial Rows'!$C$2:$C$201,'Trial Rows'!C43,'Trial Rows'!$F$2:$F$201,'Trial Rows'!F43,'Trial Rows'!$I$2:$I$201,'Trial Rows'!I43,'Trial Rows'!$Y$2:$Y$201,'Trial Rows'!Y43,'Trial Rows'!$G$2:$G$201,"B"),0)</x:f>
        <x:v>0</x:v>
      </x:c>
      <x:c r="E43" s="2" t="str">
        <x:f>IF(AND(C43=1,COUNTIFS('Trial Rows'!$B$2:$B$201,'Trial Rows'!B43,'Trial Rows'!$C$2:$C$201,'Trial Rows'!C43,'Trial Rows'!$F$2:$F$201,'Trial Rows'!F43,'Trial Rows'!$I$2:$I$201,'Trial Rows'!I43,'Trial Rows'!$Y$2:$Y$201,'Trial Rows'!Y43,'Trial Rows'!$G$2:$G$201,"A",'Trial Rows'!$K$2:$K$201,"&gt;=0",'Trial Rows'!$K$2:$K$201,"&lt;=4",'Trial Rows'!$K$2:$K$201,"&lt;&gt;")=1),SUMIFS('Trial Rows'!$K$2:$K$201,'Trial Rows'!$B$2:$B$201,'Trial Rows'!B43,'Trial Rows'!$C$2:$C$201,'Trial Rows'!C43,'Trial Rows'!$F$2:$F$201,'Trial Rows'!F43,'Trial Rows'!$I$2:$I$201,'Trial Rows'!I43,'Trial Rows'!$Y$2:$Y$201,'Trial Rows'!Y43,'Trial Rows'!$G$2:$G$201,"A"),"")</x:f>
      </x:c>
      <x:c r="F43" s="2" t="n">
        <x:f>IF(AND(B43=1,'Trial Rows'!G43="B",C43=1,D43=1,ISNUMBER(E43),ISNUMBER('Trial Rows'!M43),'Trial Rows'!M43&gt;=0,'Trial Rows'!M43&lt;=4,'Trial Rows'!Q43=0,'Trial Rows'!S43=0),1,0)</x:f>
        <x:v>0</x:v>
      </x:c>
      <x:c r="G43" s="2" t="n">
        <x:f>IF(F43=1,IF(E43='Trial Rows'!M43,1,0),0)</x:f>
        <x:v>0</x:v>
      </x:c>
      <x:c r="H43" s="2" t="n">
        <x:f>IF(AND(B43=1,'Trial Rows'!G43="B",C43=1,D43=1,ISNUMBER(E43),'Trial Rows'!R43=1,'Trial Rows'!Q43=0,'Trial Rows'!S43=0,ISNUMBER('Trial Rows'!L43),'Trial Rows'!L43&gt;=0,'Trial Rows'!L43&lt;=4),1,0)</x:f>
        <x:v>0</x:v>
      </x:c>
      <x:c r="I43" s="2" t="n">
        <x:f>IF(H43=1,IF(E43='Trial Rows'!L43,1,0),0)</x:f>
        <x:v>0</x:v>
      </x:c>
      <x:c r="J43" s="2" t="n">
        <x:f>IF(AND(B43=1,'Trial Rows'!G43="B",'Trial Rows'!P43&gt;0),1,0)</x:f>
        <x:v>0</x:v>
      </x:c>
      <x:c r="K43" s="2" t="n">
        <x:f>IF(AND(B43=1,'Trial Rows'!G43="B",'Trial Rows'!Q43=1),1,0)</x:f>
        <x:v>0</x:v>
      </x:c>
      <x:c r="L43" s="2" t="n">
        <x:f>IF(AND(B43=1,'Trial Rows'!G43="B",'Trial Rows'!R43=1,'Trial Rows'!Q43=0,'Trial Rows'!S43=0),1,0)</x:f>
        <x:v>0</x:v>
      </x:c>
      <x:c r="M43" s="2" t="n">
        <x:f>IF(AND(B43=1,'Trial Rows'!G43="B"),1,0)</x:f>
        <x:v>0</x:v>
      </x:c>
      <x:c r="N43" s="2" t="n">
        <x:f>IF(AND(B43=1,'Trial Rows'!I43=1,COUNTIFS('Trial Rows'!$B$2:$B$201,'Trial Rows'!B43,'Trial Rows'!$C$2:$C$201,'Trial Rows'!C43,'Trial Rows'!$F$2:$F$201,'Trial Rows'!F43,'Trial Rows'!$G$2:$G$201,'Trial Rows'!G43,'Trial Rows'!$Y$2:$Y$201,'Trial Rows'!Y43)=4,COUNTIFS('Trial Rows'!$B$2:$B$201,'Trial Rows'!B43,'Trial Rows'!$C$2:$C$201,'Trial Rows'!C43,'Trial Rows'!$F$2:$F$201,'Trial Rows'!F43,'Trial Rows'!$G$2:$G$201,'Trial Rows'!G43,'Trial Rows'!$Y$2:$Y$201,'Trial Rows'!Y43,'Trial Rows'!$I$2:$I$201,1)=1,COUNTIFS('Trial Rows'!$B$2:$B$201,'Trial Rows'!B43,'Trial Rows'!$C$2:$C$201,'Trial Rows'!C43,'Trial Rows'!$F$2:$F$201,'Trial Rows'!F43,'Trial Rows'!$G$2:$G$201,'Trial Rows'!G43,'Trial Rows'!$Y$2:$Y$201,'Trial Rows'!Y43,'Trial Rows'!$I$2:$I$201,2)=1,COUNTIFS('Trial Rows'!$B$2:$B$201,'Trial Rows'!B43,'Trial Rows'!$C$2:$C$201,'Trial Rows'!C43,'Trial Rows'!$F$2:$F$201,'Trial Rows'!F43,'Trial Rows'!$G$2:$G$201,'Trial Rows'!G43,'Trial Rows'!$Y$2:$Y$201,'Trial Rows'!Y43,'Trial Rows'!$I$2:$I$201,3)=1,COUNTIFS('Trial Rows'!$B$2:$B$201,'Trial Rows'!B43,'Trial Rows'!$C$2:$C$201,'Trial Rows'!C43,'Trial Rows'!$F$2:$F$201,'Trial Rows'!F43,'Trial Rows'!$G$2:$G$201,'Trial Rows'!G43,'Trial Rows'!$Y$2:$Y$201,'Trial Rows'!Y43,'Trial Rows'!$I$2:$I$201,4)=1,COUNTIFS('Trial Rows'!$B$2:$B$201,'Trial Rows'!B43,'Trial Rows'!$C$2:$C$201,'Trial Rows'!C43,'Trial Rows'!$F$2:$F$201,'Trial Rows'!F43,'Trial Rows'!$G$2:$G$201,'Trial Rows'!G43,'Trial Rows'!$Y$2:$Y$201,'Trial Rows'!Y43,'Trial Rows'!$W$2:$W$201,"&lt;&gt;")=4,ISNUMBER('Trial Rows'!U43),COUNTIFS('Trial Rows'!$B$2:$B$201,'Trial Rows'!B43,'Trial Rows'!$C$2:$C$201,'Trial Rows'!C43,'Trial Rows'!$F$2:$F$201,'Trial Rows'!F43,'Trial Rows'!$G$2:$G$201,'Trial Rows'!G43,'Trial Rows'!$Y$2:$Y$201,'Trial Rows'!Y43,'Trial Rows'!$U$2:$U$201,'Trial Rows'!U43)=4,'Trial Rows'!U43&gt;=0),1,0)</x:f>
        <x:v>0</x:v>
      </x:c>
      <x:c r="O43" s="2" t="str">
        <x:f>IF(N43=1,'Trial Rows'!U43/1000,"")</x:f>
      </x:c>
      <x:c r="P43" s="2" t="str">
        <x:f>IF(AND(N43=1,'Trial Rows'!G43="A"),O43,"")</x:f>
      </x:c>
      <x:c r="Q43" s="2" t="str">
        <x:f>IF(AND(N43=1,'Trial Rows'!G43="B"),O43,"")</x:f>
      </x:c>
      <x:c r="R43" s="2" t="str">
        <x:f>IF(AND(N43=1,COUNTIFS('Trial Rows'!$B$2:$B$201,'Trial Rows'!B43,'Trial Rows'!$C$2:$C$201,'Trial Rows'!C43,'Trial Rows'!$F$2:$F$201,'Trial Rows'!F43,'Trial Rows'!$G$2:$G$201,'Trial Rows'!G43,'Trial Rows'!$Y$2:$Y$201,'Trial Rows'!Y43,'Trial Rows'!$N$2:$N$201,"&gt;=0",'Trial Rows'!$N$2:$N$201,"&lt;=4",'Trial Rows'!$N$2:$N$201,"&lt;&gt;")=4),SUMIFS('Trial Rows'!$N$2:$N$201,'Trial Rows'!$B$2:$B$201,'Trial Rows'!B43,'Trial Rows'!$C$2:$C$201,'Trial Rows'!C43,'Trial Rows'!$F$2:$F$201,'Trial Rows'!F43,'Trial Rows'!$G$2:$G$201,'Trial Rows'!G43,'Trial Rows'!$Y$2:$Y$201,'Trial Rows'!Y43,'Trial Rows'!$I$2:$I$201,1)+4-SUMIFS('Trial Rows'!$N$2:$N$201,'Trial Rows'!$B$2:$B$201,'Trial Rows'!B43,'Trial Rows'!$C$2:$C$201,'Trial Rows'!C43,'Trial Rows'!$F$2:$F$201,'Trial Rows'!F43,'Trial Rows'!$G$2:$G$201,'Trial Rows'!G43,'Trial Rows'!$Y$2:$Y$201,'Trial Rows'!Y43,'Trial Rows'!$I$2:$I$201,2)+4-SUMIFS('Trial Rows'!$N$2:$N$201,'Trial Rows'!$B$2:$B$201,'Trial Rows'!B43,'Trial Rows'!$C$2:$C$201,'Trial Rows'!C43,'Trial Rows'!$F$2:$F$201,'Trial Rows'!F43,'Trial Rows'!$G$2:$G$201,'Trial Rows'!G43,'Trial Rows'!$Y$2:$Y$201,'Trial Rows'!Y43,'Trial Rows'!$I$2:$I$201,3)+SUMIFS('Trial Rows'!$N$2:$N$201,'Trial Rows'!$B$2:$B$201,'Trial Rows'!B43,'Trial Rows'!$C$2:$C$201,'Trial Rows'!C43,'Trial Rows'!$F$2:$F$201,'Trial Rows'!F43,'Trial Rows'!$G$2:$G$201,'Trial Rows'!G43,'Trial Rows'!$Y$2:$Y$201,'Trial Rows'!Y43,'Trial Rows'!$I$2:$I$201,4),"")</x:f>
      </x:c>
      <x:c r="S43" s="2" t="n">
        <x:f>IF(AND(B43=1,COUNTIFS('Trial Rows'!$C$2:C43,'Trial Rows'!C43,'Trial Rows'!$F$2:F43,Summary!$B$5,'Trial Rows'!$Y$2:Y43,Summary!$B$4)=1),1,0)</x:f>
        <x:v>0</x:v>
      </x:c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 t="str">
        <x:f>IF('Trial Rows'!A44="","",'Trial Rows'!F44&amp;"|"&amp;'Trial Rows'!B44&amp;"|"&amp;'Trial Rows'!C44&amp;"|"&amp;'Trial Rows'!I44)</x:f>
      </x:c>
      <x:c r="B44" s="2" t="n">
        <x:f>IF(AND('Trial Rows'!A44&lt;&gt;"",'Trial Rows'!Y44=Summary!$B$4,'Trial Rows'!F44=Summary!$B$5),1,0)</x:f>
        <x:v>0</x:v>
      </x:c>
      <x:c r="C44" s="2" t="n">
        <x:f>IF(B44=1,COUNTIFS('Trial Rows'!$B$2:$B$201,'Trial Rows'!B44,'Trial Rows'!$C$2:$C$201,'Trial Rows'!C44,'Trial Rows'!$F$2:$F$201,'Trial Rows'!F44,'Trial Rows'!$I$2:$I$201,'Trial Rows'!I44,'Trial Rows'!$Y$2:$Y$201,'Trial Rows'!Y44,'Trial Rows'!$G$2:$G$201,"A"),0)</x:f>
        <x:v>0</x:v>
      </x:c>
      <x:c r="D44" s="2" t="n">
        <x:f>IF(B44=1,COUNTIFS('Trial Rows'!$B$2:$B$201,'Trial Rows'!B44,'Trial Rows'!$C$2:$C$201,'Trial Rows'!C44,'Trial Rows'!$F$2:$F$201,'Trial Rows'!F44,'Trial Rows'!$I$2:$I$201,'Trial Rows'!I44,'Trial Rows'!$Y$2:$Y$201,'Trial Rows'!Y44,'Trial Rows'!$G$2:$G$201,"B"),0)</x:f>
        <x:v>0</x:v>
      </x:c>
      <x:c r="E44" s="2" t="str">
        <x:f>IF(AND(C44=1,COUNTIFS('Trial Rows'!$B$2:$B$201,'Trial Rows'!B44,'Trial Rows'!$C$2:$C$201,'Trial Rows'!C44,'Trial Rows'!$F$2:$F$201,'Trial Rows'!F44,'Trial Rows'!$I$2:$I$201,'Trial Rows'!I44,'Trial Rows'!$Y$2:$Y$201,'Trial Rows'!Y44,'Trial Rows'!$G$2:$G$201,"A",'Trial Rows'!$K$2:$K$201,"&gt;=0",'Trial Rows'!$K$2:$K$201,"&lt;=4",'Trial Rows'!$K$2:$K$201,"&lt;&gt;")=1),SUMIFS('Trial Rows'!$K$2:$K$201,'Trial Rows'!$B$2:$B$201,'Trial Rows'!B44,'Trial Rows'!$C$2:$C$201,'Trial Rows'!C44,'Trial Rows'!$F$2:$F$201,'Trial Rows'!F44,'Trial Rows'!$I$2:$I$201,'Trial Rows'!I44,'Trial Rows'!$Y$2:$Y$201,'Trial Rows'!Y44,'Trial Rows'!$G$2:$G$201,"A"),"")</x:f>
      </x:c>
      <x:c r="F44" s="2" t="n">
        <x:f>IF(AND(B44=1,'Trial Rows'!G44="B",C44=1,D44=1,ISNUMBER(E44),ISNUMBER('Trial Rows'!M44),'Trial Rows'!M44&gt;=0,'Trial Rows'!M44&lt;=4,'Trial Rows'!Q44=0,'Trial Rows'!S44=0),1,0)</x:f>
        <x:v>0</x:v>
      </x:c>
      <x:c r="G44" s="2" t="n">
        <x:f>IF(F44=1,IF(E44='Trial Rows'!M44,1,0),0)</x:f>
        <x:v>0</x:v>
      </x:c>
      <x:c r="H44" s="2" t="n">
        <x:f>IF(AND(B44=1,'Trial Rows'!G44="B",C44=1,D44=1,ISNUMBER(E44),'Trial Rows'!R44=1,'Trial Rows'!Q44=0,'Trial Rows'!S44=0,ISNUMBER('Trial Rows'!L44),'Trial Rows'!L44&gt;=0,'Trial Rows'!L44&lt;=4),1,0)</x:f>
        <x:v>0</x:v>
      </x:c>
      <x:c r="I44" s="2" t="n">
        <x:f>IF(H44=1,IF(E44='Trial Rows'!L44,1,0),0)</x:f>
        <x:v>0</x:v>
      </x:c>
      <x:c r="J44" s="2" t="n">
        <x:f>IF(AND(B44=1,'Trial Rows'!G44="B",'Trial Rows'!P44&gt;0),1,0)</x:f>
        <x:v>0</x:v>
      </x:c>
      <x:c r="K44" s="2" t="n">
        <x:f>IF(AND(B44=1,'Trial Rows'!G44="B",'Trial Rows'!Q44=1),1,0)</x:f>
        <x:v>0</x:v>
      </x:c>
      <x:c r="L44" s="2" t="n">
        <x:f>IF(AND(B44=1,'Trial Rows'!G44="B",'Trial Rows'!R44=1,'Trial Rows'!Q44=0,'Trial Rows'!S44=0),1,0)</x:f>
        <x:v>0</x:v>
      </x:c>
      <x:c r="M44" s="2" t="n">
        <x:f>IF(AND(B44=1,'Trial Rows'!G44="B"),1,0)</x:f>
        <x:v>0</x:v>
      </x:c>
      <x:c r="N44" s="2" t="n">
        <x:f>IF(AND(B44=1,'Trial Rows'!I44=1,COUNTIFS('Trial Rows'!$B$2:$B$201,'Trial Rows'!B44,'Trial Rows'!$C$2:$C$201,'Trial Rows'!C44,'Trial Rows'!$F$2:$F$201,'Trial Rows'!F44,'Trial Rows'!$G$2:$G$201,'Trial Rows'!G44,'Trial Rows'!$Y$2:$Y$201,'Trial Rows'!Y44)=4,COUNTIFS('Trial Rows'!$B$2:$B$201,'Trial Rows'!B44,'Trial Rows'!$C$2:$C$201,'Trial Rows'!C44,'Trial Rows'!$F$2:$F$201,'Trial Rows'!F44,'Trial Rows'!$G$2:$G$201,'Trial Rows'!G44,'Trial Rows'!$Y$2:$Y$201,'Trial Rows'!Y44,'Trial Rows'!$I$2:$I$201,1)=1,COUNTIFS('Trial Rows'!$B$2:$B$201,'Trial Rows'!B44,'Trial Rows'!$C$2:$C$201,'Trial Rows'!C44,'Trial Rows'!$F$2:$F$201,'Trial Rows'!F44,'Trial Rows'!$G$2:$G$201,'Trial Rows'!G44,'Trial Rows'!$Y$2:$Y$201,'Trial Rows'!Y44,'Trial Rows'!$I$2:$I$201,2)=1,COUNTIFS('Trial Rows'!$B$2:$B$201,'Trial Rows'!B44,'Trial Rows'!$C$2:$C$201,'Trial Rows'!C44,'Trial Rows'!$F$2:$F$201,'Trial Rows'!F44,'Trial Rows'!$G$2:$G$201,'Trial Rows'!G44,'Trial Rows'!$Y$2:$Y$201,'Trial Rows'!Y44,'Trial Rows'!$I$2:$I$201,3)=1,COUNTIFS('Trial Rows'!$B$2:$B$201,'Trial Rows'!B44,'Trial Rows'!$C$2:$C$201,'Trial Rows'!C44,'Trial Rows'!$F$2:$F$201,'Trial Rows'!F44,'Trial Rows'!$G$2:$G$201,'Trial Rows'!G44,'Trial Rows'!$Y$2:$Y$201,'Trial Rows'!Y44,'Trial Rows'!$I$2:$I$201,4)=1,COUNTIFS('Trial Rows'!$B$2:$B$201,'Trial Rows'!B44,'Trial Rows'!$C$2:$C$201,'Trial Rows'!C44,'Trial Rows'!$F$2:$F$201,'Trial Rows'!F44,'Trial Rows'!$G$2:$G$201,'Trial Rows'!G44,'Trial Rows'!$Y$2:$Y$201,'Trial Rows'!Y44,'Trial Rows'!$W$2:$W$201,"&lt;&gt;")=4,ISNUMBER('Trial Rows'!U44),COUNTIFS('Trial Rows'!$B$2:$B$201,'Trial Rows'!B44,'Trial Rows'!$C$2:$C$201,'Trial Rows'!C44,'Trial Rows'!$F$2:$F$201,'Trial Rows'!F44,'Trial Rows'!$G$2:$G$201,'Trial Rows'!G44,'Trial Rows'!$Y$2:$Y$201,'Trial Rows'!Y44,'Trial Rows'!$U$2:$U$201,'Trial Rows'!U44)=4,'Trial Rows'!U44&gt;=0),1,0)</x:f>
        <x:v>0</x:v>
      </x:c>
      <x:c r="O44" s="2" t="str">
        <x:f>IF(N44=1,'Trial Rows'!U44/1000,"")</x:f>
      </x:c>
      <x:c r="P44" s="2" t="str">
        <x:f>IF(AND(N44=1,'Trial Rows'!G44="A"),O44,"")</x:f>
      </x:c>
      <x:c r="Q44" s="2" t="str">
        <x:f>IF(AND(N44=1,'Trial Rows'!G44="B"),O44,"")</x:f>
      </x:c>
      <x:c r="R44" s="2" t="str">
        <x:f>IF(AND(N44=1,COUNTIFS('Trial Rows'!$B$2:$B$201,'Trial Rows'!B44,'Trial Rows'!$C$2:$C$201,'Trial Rows'!C44,'Trial Rows'!$F$2:$F$201,'Trial Rows'!F44,'Trial Rows'!$G$2:$G$201,'Trial Rows'!G44,'Trial Rows'!$Y$2:$Y$201,'Trial Rows'!Y44,'Trial Rows'!$N$2:$N$201,"&gt;=0",'Trial Rows'!$N$2:$N$201,"&lt;=4",'Trial Rows'!$N$2:$N$201,"&lt;&gt;")=4),SUMIFS('Trial Rows'!$N$2:$N$201,'Trial Rows'!$B$2:$B$201,'Trial Rows'!B44,'Trial Rows'!$C$2:$C$201,'Trial Rows'!C44,'Trial Rows'!$F$2:$F$201,'Trial Rows'!F44,'Trial Rows'!$G$2:$G$201,'Trial Rows'!G44,'Trial Rows'!$Y$2:$Y$201,'Trial Rows'!Y44,'Trial Rows'!$I$2:$I$201,1)+4-SUMIFS('Trial Rows'!$N$2:$N$201,'Trial Rows'!$B$2:$B$201,'Trial Rows'!B44,'Trial Rows'!$C$2:$C$201,'Trial Rows'!C44,'Trial Rows'!$F$2:$F$201,'Trial Rows'!F44,'Trial Rows'!$G$2:$G$201,'Trial Rows'!G44,'Trial Rows'!$Y$2:$Y$201,'Trial Rows'!Y44,'Trial Rows'!$I$2:$I$201,2)+4-SUMIFS('Trial Rows'!$N$2:$N$201,'Trial Rows'!$B$2:$B$201,'Trial Rows'!B44,'Trial Rows'!$C$2:$C$201,'Trial Rows'!C44,'Trial Rows'!$F$2:$F$201,'Trial Rows'!F44,'Trial Rows'!$G$2:$G$201,'Trial Rows'!G44,'Trial Rows'!$Y$2:$Y$201,'Trial Rows'!Y44,'Trial Rows'!$I$2:$I$201,3)+SUMIFS('Trial Rows'!$N$2:$N$201,'Trial Rows'!$B$2:$B$201,'Trial Rows'!B44,'Trial Rows'!$C$2:$C$201,'Trial Rows'!C44,'Trial Rows'!$F$2:$F$201,'Trial Rows'!F44,'Trial Rows'!$G$2:$G$201,'Trial Rows'!G44,'Trial Rows'!$Y$2:$Y$201,'Trial Rows'!Y44,'Trial Rows'!$I$2:$I$201,4),"")</x:f>
      </x:c>
      <x:c r="S44" s="2" t="n">
        <x:f>IF(AND(B44=1,COUNTIFS('Trial Rows'!$C$2:C44,'Trial Rows'!C44,'Trial Rows'!$F$2:F44,Summary!$B$5,'Trial Rows'!$Y$2:Y44,Summary!$B$4)=1),1,0)</x:f>
        <x:v>0</x:v>
      </x:c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 t="str">
        <x:f>IF('Trial Rows'!A45="","",'Trial Rows'!F45&amp;"|"&amp;'Trial Rows'!B45&amp;"|"&amp;'Trial Rows'!C45&amp;"|"&amp;'Trial Rows'!I45)</x:f>
      </x:c>
      <x:c r="B45" s="2" t="n">
        <x:f>IF(AND('Trial Rows'!A45&lt;&gt;"",'Trial Rows'!Y45=Summary!$B$4,'Trial Rows'!F45=Summary!$B$5),1,0)</x:f>
        <x:v>0</x:v>
      </x:c>
      <x:c r="C45" s="2" t="n">
        <x:f>IF(B45=1,COUNTIFS('Trial Rows'!$B$2:$B$201,'Trial Rows'!B45,'Trial Rows'!$C$2:$C$201,'Trial Rows'!C45,'Trial Rows'!$F$2:$F$201,'Trial Rows'!F45,'Trial Rows'!$I$2:$I$201,'Trial Rows'!I45,'Trial Rows'!$Y$2:$Y$201,'Trial Rows'!Y45,'Trial Rows'!$G$2:$G$201,"A"),0)</x:f>
        <x:v>0</x:v>
      </x:c>
      <x:c r="D45" s="2" t="n">
        <x:f>IF(B45=1,COUNTIFS('Trial Rows'!$B$2:$B$201,'Trial Rows'!B45,'Trial Rows'!$C$2:$C$201,'Trial Rows'!C45,'Trial Rows'!$F$2:$F$201,'Trial Rows'!F45,'Trial Rows'!$I$2:$I$201,'Trial Rows'!I45,'Trial Rows'!$Y$2:$Y$201,'Trial Rows'!Y45,'Trial Rows'!$G$2:$G$201,"B"),0)</x:f>
        <x:v>0</x:v>
      </x:c>
      <x:c r="E45" s="2" t="str">
        <x:f>IF(AND(C45=1,COUNTIFS('Trial Rows'!$B$2:$B$201,'Trial Rows'!B45,'Trial Rows'!$C$2:$C$201,'Trial Rows'!C45,'Trial Rows'!$F$2:$F$201,'Trial Rows'!F45,'Trial Rows'!$I$2:$I$201,'Trial Rows'!I45,'Trial Rows'!$Y$2:$Y$201,'Trial Rows'!Y45,'Trial Rows'!$G$2:$G$201,"A",'Trial Rows'!$K$2:$K$201,"&gt;=0",'Trial Rows'!$K$2:$K$201,"&lt;=4",'Trial Rows'!$K$2:$K$201,"&lt;&gt;")=1),SUMIFS('Trial Rows'!$K$2:$K$201,'Trial Rows'!$B$2:$B$201,'Trial Rows'!B45,'Trial Rows'!$C$2:$C$201,'Trial Rows'!C45,'Trial Rows'!$F$2:$F$201,'Trial Rows'!F45,'Trial Rows'!$I$2:$I$201,'Trial Rows'!I45,'Trial Rows'!$Y$2:$Y$201,'Trial Rows'!Y45,'Trial Rows'!$G$2:$G$201,"A"),"")</x:f>
      </x:c>
      <x:c r="F45" s="2" t="n">
        <x:f>IF(AND(B45=1,'Trial Rows'!G45="B",C45=1,D45=1,ISNUMBER(E45),ISNUMBER('Trial Rows'!M45),'Trial Rows'!M45&gt;=0,'Trial Rows'!M45&lt;=4,'Trial Rows'!Q45=0,'Trial Rows'!S45=0),1,0)</x:f>
        <x:v>0</x:v>
      </x:c>
      <x:c r="G45" s="2" t="n">
        <x:f>IF(F45=1,IF(E45='Trial Rows'!M45,1,0),0)</x:f>
        <x:v>0</x:v>
      </x:c>
      <x:c r="H45" s="2" t="n">
        <x:f>IF(AND(B45=1,'Trial Rows'!G45="B",C45=1,D45=1,ISNUMBER(E45),'Trial Rows'!R45=1,'Trial Rows'!Q45=0,'Trial Rows'!S45=0,ISNUMBER('Trial Rows'!L45),'Trial Rows'!L45&gt;=0,'Trial Rows'!L45&lt;=4),1,0)</x:f>
        <x:v>0</x:v>
      </x:c>
      <x:c r="I45" s="2" t="n">
        <x:f>IF(H45=1,IF(E45='Trial Rows'!L45,1,0),0)</x:f>
        <x:v>0</x:v>
      </x:c>
      <x:c r="J45" s="2" t="n">
        <x:f>IF(AND(B45=1,'Trial Rows'!G45="B",'Trial Rows'!P45&gt;0),1,0)</x:f>
        <x:v>0</x:v>
      </x:c>
      <x:c r="K45" s="2" t="n">
        <x:f>IF(AND(B45=1,'Trial Rows'!G45="B",'Trial Rows'!Q45=1),1,0)</x:f>
        <x:v>0</x:v>
      </x:c>
      <x:c r="L45" s="2" t="n">
        <x:f>IF(AND(B45=1,'Trial Rows'!G45="B",'Trial Rows'!R45=1,'Trial Rows'!Q45=0,'Trial Rows'!S45=0),1,0)</x:f>
        <x:v>0</x:v>
      </x:c>
      <x:c r="M45" s="2" t="n">
        <x:f>IF(AND(B45=1,'Trial Rows'!G45="B"),1,0)</x:f>
        <x:v>0</x:v>
      </x:c>
      <x:c r="N45" s="2" t="n">
        <x:f>IF(AND(B45=1,'Trial Rows'!I45=1,COUNTIFS('Trial Rows'!$B$2:$B$201,'Trial Rows'!B45,'Trial Rows'!$C$2:$C$201,'Trial Rows'!C45,'Trial Rows'!$F$2:$F$201,'Trial Rows'!F45,'Trial Rows'!$G$2:$G$201,'Trial Rows'!G45,'Trial Rows'!$Y$2:$Y$201,'Trial Rows'!Y45)=4,COUNTIFS('Trial Rows'!$B$2:$B$201,'Trial Rows'!B45,'Trial Rows'!$C$2:$C$201,'Trial Rows'!C45,'Trial Rows'!$F$2:$F$201,'Trial Rows'!F45,'Trial Rows'!$G$2:$G$201,'Trial Rows'!G45,'Trial Rows'!$Y$2:$Y$201,'Trial Rows'!Y45,'Trial Rows'!$I$2:$I$201,1)=1,COUNTIFS('Trial Rows'!$B$2:$B$201,'Trial Rows'!B45,'Trial Rows'!$C$2:$C$201,'Trial Rows'!C45,'Trial Rows'!$F$2:$F$201,'Trial Rows'!F45,'Trial Rows'!$G$2:$G$201,'Trial Rows'!G45,'Trial Rows'!$Y$2:$Y$201,'Trial Rows'!Y45,'Trial Rows'!$I$2:$I$201,2)=1,COUNTIFS('Trial Rows'!$B$2:$B$201,'Trial Rows'!B45,'Trial Rows'!$C$2:$C$201,'Trial Rows'!C45,'Trial Rows'!$F$2:$F$201,'Trial Rows'!F45,'Trial Rows'!$G$2:$G$201,'Trial Rows'!G45,'Trial Rows'!$Y$2:$Y$201,'Trial Rows'!Y45,'Trial Rows'!$I$2:$I$201,3)=1,COUNTIFS('Trial Rows'!$B$2:$B$201,'Trial Rows'!B45,'Trial Rows'!$C$2:$C$201,'Trial Rows'!C45,'Trial Rows'!$F$2:$F$201,'Trial Rows'!F45,'Trial Rows'!$G$2:$G$201,'Trial Rows'!G45,'Trial Rows'!$Y$2:$Y$201,'Trial Rows'!Y45,'Trial Rows'!$I$2:$I$201,4)=1,COUNTIFS('Trial Rows'!$B$2:$B$201,'Trial Rows'!B45,'Trial Rows'!$C$2:$C$201,'Trial Rows'!C45,'Trial Rows'!$F$2:$F$201,'Trial Rows'!F45,'Trial Rows'!$G$2:$G$201,'Trial Rows'!G45,'Trial Rows'!$Y$2:$Y$201,'Trial Rows'!Y45,'Trial Rows'!$W$2:$W$201,"&lt;&gt;")=4,ISNUMBER('Trial Rows'!U45),COUNTIFS('Trial Rows'!$B$2:$B$201,'Trial Rows'!B45,'Trial Rows'!$C$2:$C$201,'Trial Rows'!C45,'Trial Rows'!$F$2:$F$201,'Trial Rows'!F45,'Trial Rows'!$G$2:$G$201,'Trial Rows'!G45,'Trial Rows'!$Y$2:$Y$201,'Trial Rows'!Y45,'Trial Rows'!$U$2:$U$201,'Trial Rows'!U45)=4,'Trial Rows'!U45&gt;=0),1,0)</x:f>
        <x:v>0</x:v>
      </x:c>
      <x:c r="O45" s="2" t="str">
        <x:f>IF(N45=1,'Trial Rows'!U45/1000,"")</x:f>
      </x:c>
      <x:c r="P45" s="2" t="str">
        <x:f>IF(AND(N45=1,'Trial Rows'!G45="A"),O45,"")</x:f>
      </x:c>
      <x:c r="Q45" s="2" t="str">
        <x:f>IF(AND(N45=1,'Trial Rows'!G45="B"),O45,"")</x:f>
      </x:c>
      <x:c r="R45" s="2" t="str">
        <x:f>IF(AND(N45=1,COUNTIFS('Trial Rows'!$B$2:$B$201,'Trial Rows'!B45,'Trial Rows'!$C$2:$C$201,'Trial Rows'!C45,'Trial Rows'!$F$2:$F$201,'Trial Rows'!F45,'Trial Rows'!$G$2:$G$201,'Trial Rows'!G45,'Trial Rows'!$Y$2:$Y$201,'Trial Rows'!Y45,'Trial Rows'!$N$2:$N$201,"&gt;=0",'Trial Rows'!$N$2:$N$201,"&lt;=4",'Trial Rows'!$N$2:$N$201,"&lt;&gt;")=4),SUMIFS('Trial Rows'!$N$2:$N$201,'Trial Rows'!$B$2:$B$201,'Trial Rows'!B45,'Trial Rows'!$C$2:$C$201,'Trial Rows'!C45,'Trial Rows'!$F$2:$F$201,'Trial Rows'!F45,'Trial Rows'!$G$2:$G$201,'Trial Rows'!G45,'Trial Rows'!$Y$2:$Y$201,'Trial Rows'!Y45,'Trial Rows'!$I$2:$I$201,1)+4-SUMIFS('Trial Rows'!$N$2:$N$201,'Trial Rows'!$B$2:$B$201,'Trial Rows'!B45,'Trial Rows'!$C$2:$C$201,'Trial Rows'!C45,'Trial Rows'!$F$2:$F$201,'Trial Rows'!F45,'Trial Rows'!$G$2:$G$201,'Trial Rows'!G45,'Trial Rows'!$Y$2:$Y$201,'Trial Rows'!Y45,'Trial Rows'!$I$2:$I$201,2)+4-SUMIFS('Trial Rows'!$N$2:$N$201,'Trial Rows'!$B$2:$B$201,'Trial Rows'!B45,'Trial Rows'!$C$2:$C$201,'Trial Rows'!C45,'Trial Rows'!$F$2:$F$201,'Trial Rows'!F45,'Trial Rows'!$G$2:$G$201,'Trial Rows'!G45,'Trial Rows'!$Y$2:$Y$201,'Trial Rows'!Y45,'Trial Rows'!$I$2:$I$201,3)+SUMIFS('Trial Rows'!$N$2:$N$201,'Trial Rows'!$B$2:$B$201,'Trial Rows'!B45,'Trial Rows'!$C$2:$C$201,'Trial Rows'!C45,'Trial Rows'!$F$2:$F$201,'Trial Rows'!F45,'Trial Rows'!$G$2:$G$201,'Trial Rows'!G45,'Trial Rows'!$Y$2:$Y$201,'Trial Rows'!Y45,'Trial Rows'!$I$2:$I$201,4),"")</x:f>
      </x:c>
      <x:c r="S45" s="2" t="n">
        <x:f>IF(AND(B45=1,COUNTIFS('Trial Rows'!$C$2:C45,'Trial Rows'!C45,'Trial Rows'!$F$2:F45,Summary!$B$5,'Trial Rows'!$Y$2:Y45,Summary!$B$4)=1),1,0)</x:f>
        <x:v>0</x:v>
      </x:c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 t="str">
        <x:f>IF('Trial Rows'!A46="","",'Trial Rows'!F46&amp;"|"&amp;'Trial Rows'!B46&amp;"|"&amp;'Trial Rows'!C46&amp;"|"&amp;'Trial Rows'!I46)</x:f>
      </x:c>
      <x:c r="B46" s="2" t="n">
        <x:f>IF(AND('Trial Rows'!A46&lt;&gt;"",'Trial Rows'!Y46=Summary!$B$4,'Trial Rows'!F46=Summary!$B$5),1,0)</x:f>
        <x:v>0</x:v>
      </x:c>
      <x:c r="C46" s="2" t="n">
        <x:f>IF(B46=1,COUNTIFS('Trial Rows'!$B$2:$B$201,'Trial Rows'!B46,'Trial Rows'!$C$2:$C$201,'Trial Rows'!C46,'Trial Rows'!$F$2:$F$201,'Trial Rows'!F46,'Trial Rows'!$I$2:$I$201,'Trial Rows'!I46,'Trial Rows'!$Y$2:$Y$201,'Trial Rows'!Y46,'Trial Rows'!$G$2:$G$201,"A"),0)</x:f>
        <x:v>0</x:v>
      </x:c>
      <x:c r="D46" s="2" t="n">
        <x:f>IF(B46=1,COUNTIFS('Trial Rows'!$B$2:$B$201,'Trial Rows'!B46,'Trial Rows'!$C$2:$C$201,'Trial Rows'!C46,'Trial Rows'!$F$2:$F$201,'Trial Rows'!F46,'Trial Rows'!$I$2:$I$201,'Trial Rows'!I46,'Trial Rows'!$Y$2:$Y$201,'Trial Rows'!Y46,'Trial Rows'!$G$2:$G$201,"B"),0)</x:f>
        <x:v>0</x:v>
      </x:c>
      <x:c r="E46" s="2" t="str">
        <x:f>IF(AND(C46=1,COUNTIFS('Trial Rows'!$B$2:$B$201,'Trial Rows'!B46,'Trial Rows'!$C$2:$C$201,'Trial Rows'!C46,'Trial Rows'!$F$2:$F$201,'Trial Rows'!F46,'Trial Rows'!$I$2:$I$201,'Trial Rows'!I46,'Trial Rows'!$Y$2:$Y$201,'Trial Rows'!Y46,'Trial Rows'!$G$2:$G$201,"A",'Trial Rows'!$K$2:$K$201,"&gt;=0",'Trial Rows'!$K$2:$K$201,"&lt;=4",'Trial Rows'!$K$2:$K$201,"&lt;&gt;")=1),SUMIFS('Trial Rows'!$K$2:$K$201,'Trial Rows'!$B$2:$B$201,'Trial Rows'!B46,'Trial Rows'!$C$2:$C$201,'Trial Rows'!C46,'Trial Rows'!$F$2:$F$201,'Trial Rows'!F46,'Trial Rows'!$I$2:$I$201,'Trial Rows'!I46,'Trial Rows'!$Y$2:$Y$201,'Trial Rows'!Y46,'Trial Rows'!$G$2:$G$201,"A"),"")</x:f>
      </x:c>
      <x:c r="F46" s="2" t="n">
        <x:f>IF(AND(B46=1,'Trial Rows'!G46="B",C46=1,D46=1,ISNUMBER(E46),ISNUMBER('Trial Rows'!M46),'Trial Rows'!M46&gt;=0,'Trial Rows'!M46&lt;=4,'Trial Rows'!Q46=0,'Trial Rows'!S46=0),1,0)</x:f>
        <x:v>0</x:v>
      </x:c>
      <x:c r="G46" s="2" t="n">
        <x:f>IF(F46=1,IF(E46='Trial Rows'!M46,1,0),0)</x:f>
        <x:v>0</x:v>
      </x:c>
      <x:c r="H46" s="2" t="n">
        <x:f>IF(AND(B46=1,'Trial Rows'!G46="B",C46=1,D46=1,ISNUMBER(E46),'Trial Rows'!R46=1,'Trial Rows'!Q46=0,'Trial Rows'!S46=0,ISNUMBER('Trial Rows'!L46),'Trial Rows'!L46&gt;=0,'Trial Rows'!L46&lt;=4),1,0)</x:f>
        <x:v>0</x:v>
      </x:c>
      <x:c r="I46" s="2" t="n">
        <x:f>IF(H46=1,IF(E46='Trial Rows'!L46,1,0),0)</x:f>
        <x:v>0</x:v>
      </x:c>
      <x:c r="J46" s="2" t="n">
        <x:f>IF(AND(B46=1,'Trial Rows'!G46="B",'Trial Rows'!P46&gt;0),1,0)</x:f>
        <x:v>0</x:v>
      </x:c>
      <x:c r="K46" s="2" t="n">
        <x:f>IF(AND(B46=1,'Trial Rows'!G46="B",'Trial Rows'!Q46=1),1,0)</x:f>
        <x:v>0</x:v>
      </x:c>
      <x:c r="L46" s="2" t="n">
        <x:f>IF(AND(B46=1,'Trial Rows'!G46="B",'Trial Rows'!R46=1,'Trial Rows'!Q46=0,'Trial Rows'!S46=0),1,0)</x:f>
        <x:v>0</x:v>
      </x:c>
      <x:c r="M46" s="2" t="n">
        <x:f>IF(AND(B46=1,'Trial Rows'!G46="B"),1,0)</x:f>
        <x:v>0</x:v>
      </x:c>
      <x:c r="N46" s="2" t="n">
        <x:f>IF(AND(B46=1,'Trial Rows'!I46=1,COUNTIFS('Trial Rows'!$B$2:$B$201,'Trial Rows'!B46,'Trial Rows'!$C$2:$C$201,'Trial Rows'!C46,'Trial Rows'!$F$2:$F$201,'Trial Rows'!F46,'Trial Rows'!$G$2:$G$201,'Trial Rows'!G46,'Trial Rows'!$Y$2:$Y$201,'Trial Rows'!Y46)=4,COUNTIFS('Trial Rows'!$B$2:$B$201,'Trial Rows'!B46,'Trial Rows'!$C$2:$C$201,'Trial Rows'!C46,'Trial Rows'!$F$2:$F$201,'Trial Rows'!F46,'Trial Rows'!$G$2:$G$201,'Trial Rows'!G46,'Trial Rows'!$Y$2:$Y$201,'Trial Rows'!Y46,'Trial Rows'!$I$2:$I$201,1)=1,COUNTIFS('Trial Rows'!$B$2:$B$201,'Trial Rows'!B46,'Trial Rows'!$C$2:$C$201,'Trial Rows'!C46,'Trial Rows'!$F$2:$F$201,'Trial Rows'!F46,'Trial Rows'!$G$2:$G$201,'Trial Rows'!G46,'Trial Rows'!$Y$2:$Y$201,'Trial Rows'!Y46,'Trial Rows'!$I$2:$I$201,2)=1,COUNTIFS('Trial Rows'!$B$2:$B$201,'Trial Rows'!B46,'Trial Rows'!$C$2:$C$201,'Trial Rows'!C46,'Trial Rows'!$F$2:$F$201,'Trial Rows'!F46,'Trial Rows'!$G$2:$G$201,'Trial Rows'!G46,'Trial Rows'!$Y$2:$Y$201,'Trial Rows'!Y46,'Trial Rows'!$I$2:$I$201,3)=1,COUNTIFS('Trial Rows'!$B$2:$B$201,'Trial Rows'!B46,'Trial Rows'!$C$2:$C$201,'Trial Rows'!C46,'Trial Rows'!$F$2:$F$201,'Trial Rows'!F46,'Trial Rows'!$G$2:$G$201,'Trial Rows'!G46,'Trial Rows'!$Y$2:$Y$201,'Trial Rows'!Y46,'Trial Rows'!$I$2:$I$201,4)=1,COUNTIFS('Trial Rows'!$B$2:$B$201,'Trial Rows'!B46,'Trial Rows'!$C$2:$C$201,'Trial Rows'!C46,'Trial Rows'!$F$2:$F$201,'Trial Rows'!F46,'Trial Rows'!$G$2:$G$201,'Trial Rows'!G46,'Trial Rows'!$Y$2:$Y$201,'Trial Rows'!Y46,'Trial Rows'!$W$2:$W$201,"&lt;&gt;")=4,ISNUMBER('Trial Rows'!U46),COUNTIFS('Trial Rows'!$B$2:$B$201,'Trial Rows'!B46,'Trial Rows'!$C$2:$C$201,'Trial Rows'!C46,'Trial Rows'!$F$2:$F$201,'Trial Rows'!F46,'Trial Rows'!$G$2:$G$201,'Trial Rows'!G46,'Trial Rows'!$Y$2:$Y$201,'Trial Rows'!Y46,'Trial Rows'!$U$2:$U$201,'Trial Rows'!U46)=4,'Trial Rows'!U46&gt;=0),1,0)</x:f>
        <x:v>0</x:v>
      </x:c>
      <x:c r="O46" s="2" t="str">
        <x:f>IF(N46=1,'Trial Rows'!U46/1000,"")</x:f>
      </x:c>
      <x:c r="P46" s="2" t="str">
        <x:f>IF(AND(N46=1,'Trial Rows'!G46="A"),O46,"")</x:f>
      </x:c>
      <x:c r="Q46" s="2" t="str">
        <x:f>IF(AND(N46=1,'Trial Rows'!G46="B"),O46,"")</x:f>
      </x:c>
      <x:c r="R46" s="2" t="str">
        <x:f>IF(AND(N46=1,COUNTIFS('Trial Rows'!$B$2:$B$201,'Trial Rows'!B46,'Trial Rows'!$C$2:$C$201,'Trial Rows'!C46,'Trial Rows'!$F$2:$F$201,'Trial Rows'!F46,'Trial Rows'!$G$2:$G$201,'Trial Rows'!G46,'Trial Rows'!$Y$2:$Y$201,'Trial Rows'!Y46,'Trial Rows'!$N$2:$N$201,"&gt;=0",'Trial Rows'!$N$2:$N$201,"&lt;=4",'Trial Rows'!$N$2:$N$201,"&lt;&gt;")=4),SUMIFS('Trial Rows'!$N$2:$N$201,'Trial Rows'!$B$2:$B$201,'Trial Rows'!B46,'Trial Rows'!$C$2:$C$201,'Trial Rows'!C46,'Trial Rows'!$F$2:$F$201,'Trial Rows'!F46,'Trial Rows'!$G$2:$G$201,'Trial Rows'!G46,'Trial Rows'!$Y$2:$Y$201,'Trial Rows'!Y46,'Trial Rows'!$I$2:$I$201,1)+4-SUMIFS('Trial Rows'!$N$2:$N$201,'Trial Rows'!$B$2:$B$201,'Trial Rows'!B46,'Trial Rows'!$C$2:$C$201,'Trial Rows'!C46,'Trial Rows'!$F$2:$F$201,'Trial Rows'!F46,'Trial Rows'!$G$2:$G$201,'Trial Rows'!G46,'Trial Rows'!$Y$2:$Y$201,'Trial Rows'!Y46,'Trial Rows'!$I$2:$I$201,2)+4-SUMIFS('Trial Rows'!$N$2:$N$201,'Trial Rows'!$B$2:$B$201,'Trial Rows'!B46,'Trial Rows'!$C$2:$C$201,'Trial Rows'!C46,'Trial Rows'!$F$2:$F$201,'Trial Rows'!F46,'Trial Rows'!$G$2:$G$201,'Trial Rows'!G46,'Trial Rows'!$Y$2:$Y$201,'Trial Rows'!Y46,'Trial Rows'!$I$2:$I$201,3)+SUMIFS('Trial Rows'!$N$2:$N$201,'Trial Rows'!$B$2:$B$201,'Trial Rows'!B46,'Trial Rows'!$C$2:$C$201,'Trial Rows'!C46,'Trial Rows'!$F$2:$F$201,'Trial Rows'!F46,'Trial Rows'!$G$2:$G$201,'Trial Rows'!G46,'Trial Rows'!$Y$2:$Y$201,'Trial Rows'!Y46,'Trial Rows'!$I$2:$I$201,4),"")</x:f>
      </x:c>
      <x:c r="S46" s="2" t="n">
        <x:f>IF(AND(B46=1,COUNTIFS('Trial Rows'!$C$2:C46,'Trial Rows'!C46,'Trial Rows'!$F$2:F46,Summary!$B$5,'Trial Rows'!$Y$2:Y46,Summary!$B$4)=1),1,0)</x:f>
        <x:v>0</x:v>
      </x:c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 t="str">
        <x:f>IF('Trial Rows'!A47="","",'Trial Rows'!F47&amp;"|"&amp;'Trial Rows'!B47&amp;"|"&amp;'Trial Rows'!C47&amp;"|"&amp;'Trial Rows'!I47)</x:f>
      </x:c>
      <x:c r="B47" s="2" t="n">
        <x:f>IF(AND('Trial Rows'!A47&lt;&gt;"",'Trial Rows'!Y47=Summary!$B$4,'Trial Rows'!F47=Summary!$B$5),1,0)</x:f>
        <x:v>0</x:v>
      </x:c>
      <x:c r="C47" s="2" t="n">
        <x:f>IF(B47=1,COUNTIFS('Trial Rows'!$B$2:$B$201,'Trial Rows'!B47,'Trial Rows'!$C$2:$C$201,'Trial Rows'!C47,'Trial Rows'!$F$2:$F$201,'Trial Rows'!F47,'Trial Rows'!$I$2:$I$201,'Trial Rows'!I47,'Trial Rows'!$Y$2:$Y$201,'Trial Rows'!Y47,'Trial Rows'!$G$2:$G$201,"A"),0)</x:f>
        <x:v>0</x:v>
      </x:c>
      <x:c r="D47" s="2" t="n">
        <x:f>IF(B47=1,COUNTIFS('Trial Rows'!$B$2:$B$201,'Trial Rows'!B47,'Trial Rows'!$C$2:$C$201,'Trial Rows'!C47,'Trial Rows'!$F$2:$F$201,'Trial Rows'!F47,'Trial Rows'!$I$2:$I$201,'Trial Rows'!I47,'Trial Rows'!$Y$2:$Y$201,'Trial Rows'!Y47,'Trial Rows'!$G$2:$G$201,"B"),0)</x:f>
        <x:v>0</x:v>
      </x:c>
      <x:c r="E47" s="2" t="str">
        <x:f>IF(AND(C47=1,COUNTIFS('Trial Rows'!$B$2:$B$201,'Trial Rows'!B47,'Trial Rows'!$C$2:$C$201,'Trial Rows'!C47,'Trial Rows'!$F$2:$F$201,'Trial Rows'!F47,'Trial Rows'!$I$2:$I$201,'Trial Rows'!I47,'Trial Rows'!$Y$2:$Y$201,'Trial Rows'!Y47,'Trial Rows'!$G$2:$G$201,"A",'Trial Rows'!$K$2:$K$201,"&gt;=0",'Trial Rows'!$K$2:$K$201,"&lt;=4",'Trial Rows'!$K$2:$K$201,"&lt;&gt;")=1),SUMIFS('Trial Rows'!$K$2:$K$201,'Trial Rows'!$B$2:$B$201,'Trial Rows'!B47,'Trial Rows'!$C$2:$C$201,'Trial Rows'!C47,'Trial Rows'!$F$2:$F$201,'Trial Rows'!F47,'Trial Rows'!$I$2:$I$201,'Trial Rows'!I47,'Trial Rows'!$Y$2:$Y$201,'Trial Rows'!Y47,'Trial Rows'!$G$2:$G$201,"A"),"")</x:f>
      </x:c>
      <x:c r="F47" s="2" t="n">
        <x:f>IF(AND(B47=1,'Trial Rows'!G47="B",C47=1,D47=1,ISNUMBER(E47),ISNUMBER('Trial Rows'!M47),'Trial Rows'!M47&gt;=0,'Trial Rows'!M47&lt;=4,'Trial Rows'!Q47=0,'Trial Rows'!S47=0),1,0)</x:f>
        <x:v>0</x:v>
      </x:c>
      <x:c r="G47" s="2" t="n">
        <x:f>IF(F47=1,IF(E47='Trial Rows'!M47,1,0),0)</x:f>
        <x:v>0</x:v>
      </x:c>
      <x:c r="H47" s="2" t="n">
        <x:f>IF(AND(B47=1,'Trial Rows'!G47="B",C47=1,D47=1,ISNUMBER(E47),'Trial Rows'!R47=1,'Trial Rows'!Q47=0,'Trial Rows'!S47=0,ISNUMBER('Trial Rows'!L47),'Trial Rows'!L47&gt;=0,'Trial Rows'!L47&lt;=4),1,0)</x:f>
        <x:v>0</x:v>
      </x:c>
      <x:c r="I47" s="2" t="n">
        <x:f>IF(H47=1,IF(E47='Trial Rows'!L47,1,0),0)</x:f>
        <x:v>0</x:v>
      </x:c>
      <x:c r="J47" s="2" t="n">
        <x:f>IF(AND(B47=1,'Trial Rows'!G47="B",'Trial Rows'!P47&gt;0),1,0)</x:f>
        <x:v>0</x:v>
      </x:c>
      <x:c r="K47" s="2" t="n">
        <x:f>IF(AND(B47=1,'Trial Rows'!G47="B",'Trial Rows'!Q47=1),1,0)</x:f>
        <x:v>0</x:v>
      </x:c>
      <x:c r="L47" s="2" t="n">
        <x:f>IF(AND(B47=1,'Trial Rows'!G47="B",'Trial Rows'!R47=1,'Trial Rows'!Q47=0,'Trial Rows'!S47=0),1,0)</x:f>
        <x:v>0</x:v>
      </x:c>
      <x:c r="M47" s="2" t="n">
        <x:f>IF(AND(B47=1,'Trial Rows'!G47="B"),1,0)</x:f>
        <x:v>0</x:v>
      </x:c>
      <x:c r="N47" s="2" t="n">
        <x:f>IF(AND(B47=1,'Trial Rows'!I47=1,COUNTIFS('Trial Rows'!$B$2:$B$201,'Trial Rows'!B47,'Trial Rows'!$C$2:$C$201,'Trial Rows'!C47,'Trial Rows'!$F$2:$F$201,'Trial Rows'!F47,'Trial Rows'!$G$2:$G$201,'Trial Rows'!G47,'Trial Rows'!$Y$2:$Y$201,'Trial Rows'!Y47)=4,COUNTIFS('Trial Rows'!$B$2:$B$201,'Trial Rows'!B47,'Trial Rows'!$C$2:$C$201,'Trial Rows'!C47,'Trial Rows'!$F$2:$F$201,'Trial Rows'!F47,'Trial Rows'!$G$2:$G$201,'Trial Rows'!G47,'Trial Rows'!$Y$2:$Y$201,'Trial Rows'!Y47,'Trial Rows'!$I$2:$I$201,1)=1,COUNTIFS('Trial Rows'!$B$2:$B$201,'Trial Rows'!B47,'Trial Rows'!$C$2:$C$201,'Trial Rows'!C47,'Trial Rows'!$F$2:$F$201,'Trial Rows'!F47,'Trial Rows'!$G$2:$G$201,'Trial Rows'!G47,'Trial Rows'!$Y$2:$Y$201,'Trial Rows'!Y47,'Trial Rows'!$I$2:$I$201,2)=1,COUNTIFS('Trial Rows'!$B$2:$B$201,'Trial Rows'!B47,'Trial Rows'!$C$2:$C$201,'Trial Rows'!C47,'Trial Rows'!$F$2:$F$201,'Trial Rows'!F47,'Trial Rows'!$G$2:$G$201,'Trial Rows'!G47,'Trial Rows'!$Y$2:$Y$201,'Trial Rows'!Y47,'Trial Rows'!$I$2:$I$201,3)=1,COUNTIFS('Trial Rows'!$B$2:$B$201,'Trial Rows'!B47,'Trial Rows'!$C$2:$C$201,'Trial Rows'!C47,'Trial Rows'!$F$2:$F$201,'Trial Rows'!F47,'Trial Rows'!$G$2:$G$201,'Trial Rows'!G47,'Trial Rows'!$Y$2:$Y$201,'Trial Rows'!Y47,'Trial Rows'!$I$2:$I$201,4)=1,COUNTIFS('Trial Rows'!$B$2:$B$201,'Trial Rows'!B47,'Trial Rows'!$C$2:$C$201,'Trial Rows'!C47,'Trial Rows'!$F$2:$F$201,'Trial Rows'!F47,'Trial Rows'!$G$2:$G$201,'Trial Rows'!G47,'Trial Rows'!$Y$2:$Y$201,'Trial Rows'!Y47,'Trial Rows'!$W$2:$W$201,"&lt;&gt;")=4,ISNUMBER('Trial Rows'!U47),COUNTIFS('Trial Rows'!$B$2:$B$201,'Trial Rows'!B47,'Trial Rows'!$C$2:$C$201,'Trial Rows'!C47,'Trial Rows'!$F$2:$F$201,'Trial Rows'!F47,'Trial Rows'!$G$2:$G$201,'Trial Rows'!G47,'Trial Rows'!$Y$2:$Y$201,'Trial Rows'!Y47,'Trial Rows'!$U$2:$U$201,'Trial Rows'!U47)=4,'Trial Rows'!U47&gt;=0),1,0)</x:f>
        <x:v>0</x:v>
      </x:c>
      <x:c r="O47" s="2" t="str">
        <x:f>IF(N47=1,'Trial Rows'!U47/1000,"")</x:f>
      </x:c>
      <x:c r="P47" s="2" t="str">
        <x:f>IF(AND(N47=1,'Trial Rows'!G47="A"),O47,"")</x:f>
      </x:c>
      <x:c r="Q47" s="2" t="str">
        <x:f>IF(AND(N47=1,'Trial Rows'!G47="B"),O47,"")</x:f>
      </x:c>
      <x:c r="R47" s="2" t="str">
        <x:f>IF(AND(N47=1,COUNTIFS('Trial Rows'!$B$2:$B$201,'Trial Rows'!B47,'Trial Rows'!$C$2:$C$201,'Trial Rows'!C47,'Trial Rows'!$F$2:$F$201,'Trial Rows'!F47,'Trial Rows'!$G$2:$G$201,'Trial Rows'!G47,'Trial Rows'!$Y$2:$Y$201,'Trial Rows'!Y47,'Trial Rows'!$N$2:$N$201,"&gt;=0",'Trial Rows'!$N$2:$N$201,"&lt;=4",'Trial Rows'!$N$2:$N$201,"&lt;&gt;")=4),SUMIFS('Trial Rows'!$N$2:$N$201,'Trial Rows'!$B$2:$B$201,'Trial Rows'!B47,'Trial Rows'!$C$2:$C$201,'Trial Rows'!C47,'Trial Rows'!$F$2:$F$201,'Trial Rows'!F47,'Trial Rows'!$G$2:$G$201,'Trial Rows'!G47,'Trial Rows'!$Y$2:$Y$201,'Trial Rows'!Y47,'Trial Rows'!$I$2:$I$201,1)+4-SUMIFS('Trial Rows'!$N$2:$N$201,'Trial Rows'!$B$2:$B$201,'Trial Rows'!B47,'Trial Rows'!$C$2:$C$201,'Trial Rows'!C47,'Trial Rows'!$F$2:$F$201,'Trial Rows'!F47,'Trial Rows'!$G$2:$G$201,'Trial Rows'!G47,'Trial Rows'!$Y$2:$Y$201,'Trial Rows'!Y47,'Trial Rows'!$I$2:$I$201,2)+4-SUMIFS('Trial Rows'!$N$2:$N$201,'Trial Rows'!$B$2:$B$201,'Trial Rows'!B47,'Trial Rows'!$C$2:$C$201,'Trial Rows'!C47,'Trial Rows'!$F$2:$F$201,'Trial Rows'!F47,'Trial Rows'!$G$2:$G$201,'Trial Rows'!G47,'Trial Rows'!$Y$2:$Y$201,'Trial Rows'!Y47,'Trial Rows'!$I$2:$I$201,3)+SUMIFS('Trial Rows'!$N$2:$N$201,'Trial Rows'!$B$2:$B$201,'Trial Rows'!B47,'Trial Rows'!$C$2:$C$201,'Trial Rows'!C47,'Trial Rows'!$F$2:$F$201,'Trial Rows'!F47,'Trial Rows'!$G$2:$G$201,'Trial Rows'!G47,'Trial Rows'!$Y$2:$Y$201,'Trial Rows'!Y47,'Trial Rows'!$I$2:$I$201,4),"")</x:f>
      </x:c>
      <x:c r="S47" s="2" t="n">
        <x:f>IF(AND(B47=1,COUNTIFS('Trial Rows'!$C$2:C47,'Trial Rows'!C47,'Trial Rows'!$F$2:F47,Summary!$B$5,'Trial Rows'!$Y$2:Y47,Summary!$B$4)=1),1,0)</x:f>
        <x:v>0</x:v>
      </x:c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 t="str">
        <x:f>IF('Trial Rows'!A48="","",'Trial Rows'!F48&amp;"|"&amp;'Trial Rows'!B48&amp;"|"&amp;'Trial Rows'!C48&amp;"|"&amp;'Trial Rows'!I48)</x:f>
      </x:c>
      <x:c r="B48" s="2" t="n">
        <x:f>IF(AND('Trial Rows'!A48&lt;&gt;"",'Trial Rows'!Y48=Summary!$B$4,'Trial Rows'!F48=Summary!$B$5),1,0)</x:f>
        <x:v>0</x:v>
      </x:c>
      <x:c r="C48" s="2" t="n">
        <x:f>IF(B48=1,COUNTIFS('Trial Rows'!$B$2:$B$201,'Trial Rows'!B48,'Trial Rows'!$C$2:$C$201,'Trial Rows'!C48,'Trial Rows'!$F$2:$F$201,'Trial Rows'!F48,'Trial Rows'!$I$2:$I$201,'Trial Rows'!I48,'Trial Rows'!$Y$2:$Y$201,'Trial Rows'!Y48,'Trial Rows'!$G$2:$G$201,"A"),0)</x:f>
        <x:v>0</x:v>
      </x:c>
      <x:c r="D48" s="2" t="n">
        <x:f>IF(B48=1,COUNTIFS('Trial Rows'!$B$2:$B$201,'Trial Rows'!B48,'Trial Rows'!$C$2:$C$201,'Trial Rows'!C48,'Trial Rows'!$F$2:$F$201,'Trial Rows'!F48,'Trial Rows'!$I$2:$I$201,'Trial Rows'!I48,'Trial Rows'!$Y$2:$Y$201,'Trial Rows'!Y48,'Trial Rows'!$G$2:$G$201,"B"),0)</x:f>
        <x:v>0</x:v>
      </x:c>
      <x:c r="E48" s="2" t="str">
        <x:f>IF(AND(C48=1,COUNTIFS('Trial Rows'!$B$2:$B$201,'Trial Rows'!B48,'Trial Rows'!$C$2:$C$201,'Trial Rows'!C48,'Trial Rows'!$F$2:$F$201,'Trial Rows'!F48,'Trial Rows'!$I$2:$I$201,'Trial Rows'!I48,'Trial Rows'!$Y$2:$Y$201,'Trial Rows'!Y48,'Trial Rows'!$G$2:$G$201,"A",'Trial Rows'!$K$2:$K$201,"&gt;=0",'Trial Rows'!$K$2:$K$201,"&lt;=4",'Trial Rows'!$K$2:$K$201,"&lt;&gt;")=1),SUMIFS('Trial Rows'!$K$2:$K$201,'Trial Rows'!$B$2:$B$201,'Trial Rows'!B48,'Trial Rows'!$C$2:$C$201,'Trial Rows'!C48,'Trial Rows'!$F$2:$F$201,'Trial Rows'!F48,'Trial Rows'!$I$2:$I$201,'Trial Rows'!I48,'Trial Rows'!$Y$2:$Y$201,'Trial Rows'!Y48,'Trial Rows'!$G$2:$G$201,"A"),"")</x:f>
      </x:c>
      <x:c r="F48" s="2" t="n">
        <x:f>IF(AND(B48=1,'Trial Rows'!G48="B",C48=1,D48=1,ISNUMBER(E48),ISNUMBER('Trial Rows'!M48),'Trial Rows'!M48&gt;=0,'Trial Rows'!M48&lt;=4,'Trial Rows'!Q48=0,'Trial Rows'!S48=0),1,0)</x:f>
        <x:v>0</x:v>
      </x:c>
      <x:c r="G48" s="2" t="n">
        <x:f>IF(F48=1,IF(E48='Trial Rows'!M48,1,0),0)</x:f>
        <x:v>0</x:v>
      </x:c>
      <x:c r="H48" s="2" t="n">
        <x:f>IF(AND(B48=1,'Trial Rows'!G48="B",C48=1,D48=1,ISNUMBER(E48),'Trial Rows'!R48=1,'Trial Rows'!Q48=0,'Trial Rows'!S48=0,ISNUMBER('Trial Rows'!L48),'Trial Rows'!L48&gt;=0,'Trial Rows'!L48&lt;=4),1,0)</x:f>
        <x:v>0</x:v>
      </x:c>
      <x:c r="I48" s="2" t="n">
        <x:f>IF(H48=1,IF(E48='Trial Rows'!L48,1,0),0)</x:f>
        <x:v>0</x:v>
      </x:c>
      <x:c r="J48" s="2" t="n">
        <x:f>IF(AND(B48=1,'Trial Rows'!G48="B",'Trial Rows'!P48&gt;0),1,0)</x:f>
        <x:v>0</x:v>
      </x:c>
      <x:c r="K48" s="2" t="n">
        <x:f>IF(AND(B48=1,'Trial Rows'!G48="B",'Trial Rows'!Q48=1),1,0)</x:f>
        <x:v>0</x:v>
      </x:c>
      <x:c r="L48" s="2" t="n">
        <x:f>IF(AND(B48=1,'Trial Rows'!G48="B",'Trial Rows'!R48=1,'Trial Rows'!Q48=0,'Trial Rows'!S48=0),1,0)</x:f>
        <x:v>0</x:v>
      </x:c>
      <x:c r="M48" s="2" t="n">
        <x:f>IF(AND(B48=1,'Trial Rows'!G48="B"),1,0)</x:f>
        <x:v>0</x:v>
      </x:c>
      <x:c r="N48" s="2" t="n">
        <x:f>IF(AND(B48=1,'Trial Rows'!I48=1,COUNTIFS('Trial Rows'!$B$2:$B$201,'Trial Rows'!B48,'Trial Rows'!$C$2:$C$201,'Trial Rows'!C48,'Trial Rows'!$F$2:$F$201,'Trial Rows'!F48,'Trial Rows'!$G$2:$G$201,'Trial Rows'!G48,'Trial Rows'!$Y$2:$Y$201,'Trial Rows'!Y48)=4,COUNTIFS('Trial Rows'!$B$2:$B$201,'Trial Rows'!B48,'Trial Rows'!$C$2:$C$201,'Trial Rows'!C48,'Trial Rows'!$F$2:$F$201,'Trial Rows'!F48,'Trial Rows'!$G$2:$G$201,'Trial Rows'!G48,'Trial Rows'!$Y$2:$Y$201,'Trial Rows'!Y48,'Trial Rows'!$I$2:$I$201,1)=1,COUNTIFS('Trial Rows'!$B$2:$B$201,'Trial Rows'!B48,'Trial Rows'!$C$2:$C$201,'Trial Rows'!C48,'Trial Rows'!$F$2:$F$201,'Trial Rows'!F48,'Trial Rows'!$G$2:$G$201,'Trial Rows'!G48,'Trial Rows'!$Y$2:$Y$201,'Trial Rows'!Y48,'Trial Rows'!$I$2:$I$201,2)=1,COUNTIFS('Trial Rows'!$B$2:$B$201,'Trial Rows'!B48,'Trial Rows'!$C$2:$C$201,'Trial Rows'!C48,'Trial Rows'!$F$2:$F$201,'Trial Rows'!F48,'Trial Rows'!$G$2:$G$201,'Trial Rows'!G48,'Trial Rows'!$Y$2:$Y$201,'Trial Rows'!Y48,'Trial Rows'!$I$2:$I$201,3)=1,COUNTIFS('Trial Rows'!$B$2:$B$201,'Trial Rows'!B48,'Trial Rows'!$C$2:$C$201,'Trial Rows'!C48,'Trial Rows'!$F$2:$F$201,'Trial Rows'!F48,'Trial Rows'!$G$2:$G$201,'Trial Rows'!G48,'Trial Rows'!$Y$2:$Y$201,'Trial Rows'!Y48,'Trial Rows'!$I$2:$I$201,4)=1,COUNTIFS('Trial Rows'!$B$2:$B$201,'Trial Rows'!B48,'Trial Rows'!$C$2:$C$201,'Trial Rows'!C48,'Trial Rows'!$F$2:$F$201,'Trial Rows'!F48,'Trial Rows'!$G$2:$G$201,'Trial Rows'!G48,'Trial Rows'!$Y$2:$Y$201,'Trial Rows'!Y48,'Trial Rows'!$W$2:$W$201,"&lt;&gt;")=4,ISNUMBER('Trial Rows'!U48),COUNTIFS('Trial Rows'!$B$2:$B$201,'Trial Rows'!B48,'Trial Rows'!$C$2:$C$201,'Trial Rows'!C48,'Trial Rows'!$F$2:$F$201,'Trial Rows'!F48,'Trial Rows'!$G$2:$G$201,'Trial Rows'!G48,'Trial Rows'!$Y$2:$Y$201,'Trial Rows'!Y48,'Trial Rows'!$U$2:$U$201,'Trial Rows'!U48)=4,'Trial Rows'!U48&gt;=0),1,0)</x:f>
        <x:v>0</x:v>
      </x:c>
      <x:c r="O48" s="2" t="str">
        <x:f>IF(N48=1,'Trial Rows'!U48/1000,"")</x:f>
      </x:c>
      <x:c r="P48" s="2" t="str">
        <x:f>IF(AND(N48=1,'Trial Rows'!G48="A"),O48,"")</x:f>
      </x:c>
      <x:c r="Q48" s="2" t="str">
        <x:f>IF(AND(N48=1,'Trial Rows'!G48="B"),O48,"")</x:f>
      </x:c>
      <x:c r="R48" s="2" t="str">
        <x:f>IF(AND(N48=1,COUNTIFS('Trial Rows'!$B$2:$B$201,'Trial Rows'!B48,'Trial Rows'!$C$2:$C$201,'Trial Rows'!C48,'Trial Rows'!$F$2:$F$201,'Trial Rows'!F48,'Trial Rows'!$G$2:$G$201,'Trial Rows'!G48,'Trial Rows'!$Y$2:$Y$201,'Trial Rows'!Y48,'Trial Rows'!$N$2:$N$201,"&gt;=0",'Trial Rows'!$N$2:$N$201,"&lt;=4",'Trial Rows'!$N$2:$N$201,"&lt;&gt;")=4),SUMIFS('Trial Rows'!$N$2:$N$201,'Trial Rows'!$B$2:$B$201,'Trial Rows'!B48,'Trial Rows'!$C$2:$C$201,'Trial Rows'!C48,'Trial Rows'!$F$2:$F$201,'Trial Rows'!F48,'Trial Rows'!$G$2:$G$201,'Trial Rows'!G48,'Trial Rows'!$Y$2:$Y$201,'Trial Rows'!Y48,'Trial Rows'!$I$2:$I$201,1)+4-SUMIFS('Trial Rows'!$N$2:$N$201,'Trial Rows'!$B$2:$B$201,'Trial Rows'!B48,'Trial Rows'!$C$2:$C$201,'Trial Rows'!C48,'Trial Rows'!$F$2:$F$201,'Trial Rows'!F48,'Trial Rows'!$G$2:$G$201,'Trial Rows'!G48,'Trial Rows'!$Y$2:$Y$201,'Trial Rows'!Y48,'Trial Rows'!$I$2:$I$201,2)+4-SUMIFS('Trial Rows'!$N$2:$N$201,'Trial Rows'!$B$2:$B$201,'Trial Rows'!B48,'Trial Rows'!$C$2:$C$201,'Trial Rows'!C48,'Trial Rows'!$F$2:$F$201,'Trial Rows'!F48,'Trial Rows'!$G$2:$G$201,'Trial Rows'!G48,'Trial Rows'!$Y$2:$Y$201,'Trial Rows'!Y48,'Trial Rows'!$I$2:$I$201,3)+SUMIFS('Trial Rows'!$N$2:$N$201,'Trial Rows'!$B$2:$B$201,'Trial Rows'!B48,'Trial Rows'!$C$2:$C$201,'Trial Rows'!C48,'Trial Rows'!$F$2:$F$201,'Trial Rows'!F48,'Trial Rows'!$G$2:$G$201,'Trial Rows'!G48,'Trial Rows'!$Y$2:$Y$201,'Trial Rows'!Y48,'Trial Rows'!$I$2:$I$201,4),"")</x:f>
      </x:c>
      <x:c r="S48" s="2" t="n">
        <x:f>IF(AND(B48=1,COUNTIFS('Trial Rows'!$C$2:C48,'Trial Rows'!C48,'Trial Rows'!$F$2:F48,Summary!$B$5,'Trial Rows'!$Y$2:Y48,Summary!$B$4)=1),1,0)</x:f>
        <x:v>0</x:v>
      </x:c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 t="str">
        <x:f>IF('Trial Rows'!A49="","",'Trial Rows'!F49&amp;"|"&amp;'Trial Rows'!B49&amp;"|"&amp;'Trial Rows'!C49&amp;"|"&amp;'Trial Rows'!I49)</x:f>
      </x:c>
      <x:c r="B49" s="2" t="n">
        <x:f>IF(AND('Trial Rows'!A49&lt;&gt;"",'Trial Rows'!Y49=Summary!$B$4,'Trial Rows'!F49=Summary!$B$5),1,0)</x:f>
        <x:v>0</x:v>
      </x:c>
      <x:c r="C49" s="2" t="n">
        <x:f>IF(B49=1,COUNTIFS('Trial Rows'!$B$2:$B$201,'Trial Rows'!B49,'Trial Rows'!$C$2:$C$201,'Trial Rows'!C49,'Trial Rows'!$F$2:$F$201,'Trial Rows'!F49,'Trial Rows'!$I$2:$I$201,'Trial Rows'!I49,'Trial Rows'!$Y$2:$Y$201,'Trial Rows'!Y49,'Trial Rows'!$G$2:$G$201,"A"),0)</x:f>
        <x:v>0</x:v>
      </x:c>
      <x:c r="D49" s="2" t="n">
        <x:f>IF(B49=1,COUNTIFS('Trial Rows'!$B$2:$B$201,'Trial Rows'!B49,'Trial Rows'!$C$2:$C$201,'Trial Rows'!C49,'Trial Rows'!$F$2:$F$201,'Trial Rows'!F49,'Trial Rows'!$I$2:$I$201,'Trial Rows'!I49,'Trial Rows'!$Y$2:$Y$201,'Trial Rows'!Y49,'Trial Rows'!$G$2:$G$201,"B"),0)</x:f>
        <x:v>0</x:v>
      </x:c>
      <x:c r="E49" s="2" t="str">
        <x:f>IF(AND(C49=1,COUNTIFS('Trial Rows'!$B$2:$B$201,'Trial Rows'!B49,'Trial Rows'!$C$2:$C$201,'Trial Rows'!C49,'Trial Rows'!$F$2:$F$201,'Trial Rows'!F49,'Trial Rows'!$I$2:$I$201,'Trial Rows'!I49,'Trial Rows'!$Y$2:$Y$201,'Trial Rows'!Y49,'Trial Rows'!$G$2:$G$201,"A",'Trial Rows'!$K$2:$K$201,"&gt;=0",'Trial Rows'!$K$2:$K$201,"&lt;=4",'Trial Rows'!$K$2:$K$201,"&lt;&gt;")=1),SUMIFS('Trial Rows'!$K$2:$K$201,'Trial Rows'!$B$2:$B$201,'Trial Rows'!B49,'Trial Rows'!$C$2:$C$201,'Trial Rows'!C49,'Trial Rows'!$F$2:$F$201,'Trial Rows'!F49,'Trial Rows'!$I$2:$I$201,'Trial Rows'!I49,'Trial Rows'!$Y$2:$Y$201,'Trial Rows'!Y49,'Trial Rows'!$G$2:$G$201,"A"),"")</x:f>
      </x:c>
      <x:c r="F49" s="2" t="n">
        <x:f>IF(AND(B49=1,'Trial Rows'!G49="B",C49=1,D49=1,ISNUMBER(E49),ISNUMBER('Trial Rows'!M49),'Trial Rows'!M49&gt;=0,'Trial Rows'!M49&lt;=4,'Trial Rows'!Q49=0,'Trial Rows'!S49=0),1,0)</x:f>
        <x:v>0</x:v>
      </x:c>
      <x:c r="G49" s="2" t="n">
        <x:f>IF(F49=1,IF(E49='Trial Rows'!M49,1,0),0)</x:f>
        <x:v>0</x:v>
      </x:c>
      <x:c r="H49" s="2" t="n">
        <x:f>IF(AND(B49=1,'Trial Rows'!G49="B",C49=1,D49=1,ISNUMBER(E49),'Trial Rows'!R49=1,'Trial Rows'!Q49=0,'Trial Rows'!S49=0,ISNUMBER('Trial Rows'!L49),'Trial Rows'!L49&gt;=0,'Trial Rows'!L49&lt;=4),1,0)</x:f>
        <x:v>0</x:v>
      </x:c>
      <x:c r="I49" s="2" t="n">
        <x:f>IF(H49=1,IF(E49='Trial Rows'!L49,1,0),0)</x:f>
        <x:v>0</x:v>
      </x:c>
      <x:c r="J49" s="2" t="n">
        <x:f>IF(AND(B49=1,'Trial Rows'!G49="B",'Trial Rows'!P49&gt;0),1,0)</x:f>
        <x:v>0</x:v>
      </x:c>
      <x:c r="K49" s="2" t="n">
        <x:f>IF(AND(B49=1,'Trial Rows'!G49="B",'Trial Rows'!Q49=1),1,0)</x:f>
        <x:v>0</x:v>
      </x:c>
      <x:c r="L49" s="2" t="n">
        <x:f>IF(AND(B49=1,'Trial Rows'!G49="B",'Trial Rows'!R49=1,'Trial Rows'!Q49=0,'Trial Rows'!S49=0),1,0)</x:f>
        <x:v>0</x:v>
      </x:c>
      <x:c r="M49" s="2" t="n">
        <x:f>IF(AND(B49=1,'Trial Rows'!G49="B"),1,0)</x:f>
        <x:v>0</x:v>
      </x:c>
      <x:c r="N49" s="2" t="n">
        <x:f>IF(AND(B49=1,'Trial Rows'!I49=1,COUNTIFS('Trial Rows'!$B$2:$B$201,'Trial Rows'!B49,'Trial Rows'!$C$2:$C$201,'Trial Rows'!C49,'Trial Rows'!$F$2:$F$201,'Trial Rows'!F49,'Trial Rows'!$G$2:$G$201,'Trial Rows'!G49,'Trial Rows'!$Y$2:$Y$201,'Trial Rows'!Y49)=4,COUNTIFS('Trial Rows'!$B$2:$B$201,'Trial Rows'!B49,'Trial Rows'!$C$2:$C$201,'Trial Rows'!C49,'Trial Rows'!$F$2:$F$201,'Trial Rows'!F49,'Trial Rows'!$G$2:$G$201,'Trial Rows'!G49,'Trial Rows'!$Y$2:$Y$201,'Trial Rows'!Y49,'Trial Rows'!$I$2:$I$201,1)=1,COUNTIFS('Trial Rows'!$B$2:$B$201,'Trial Rows'!B49,'Trial Rows'!$C$2:$C$201,'Trial Rows'!C49,'Trial Rows'!$F$2:$F$201,'Trial Rows'!F49,'Trial Rows'!$G$2:$G$201,'Trial Rows'!G49,'Trial Rows'!$Y$2:$Y$201,'Trial Rows'!Y49,'Trial Rows'!$I$2:$I$201,2)=1,COUNTIFS('Trial Rows'!$B$2:$B$201,'Trial Rows'!B49,'Trial Rows'!$C$2:$C$201,'Trial Rows'!C49,'Trial Rows'!$F$2:$F$201,'Trial Rows'!F49,'Trial Rows'!$G$2:$G$201,'Trial Rows'!G49,'Trial Rows'!$Y$2:$Y$201,'Trial Rows'!Y49,'Trial Rows'!$I$2:$I$201,3)=1,COUNTIFS('Trial Rows'!$B$2:$B$201,'Trial Rows'!B49,'Trial Rows'!$C$2:$C$201,'Trial Rows'!C49,'Trial Rows'!$F$2:$F$201,'Trial Rows'!F49,'Trial Rows'!$G$2:$G$201,'Trial Rows'!G49,'Trial Rows'!$Y$2:$Y$201,'Trial Rows'!Y49,'Trial Rows'!$I$2:$I$201,4)=1,COUNTIFS('Trial Rows'!$B$2:$B$201,'Trial Rows'!B49,'Trial Rows'!$C$2:$C$201,'Trial Rows'!C49,'Trial Rows'!$F$2:$F$201,'Trial Rows'!F49,'Trial Rows'!$G$2:$G$201,'Trial Rows'!G49,'Trial Rows'!$Y$2:$Y$201,'Trial Rows'!Y49,'Trial Rows'!$W$2:$W$201,"&lt;&gt;")=4,ISNUMBER('Trial Rows'!U49),COUNTIFS('Trial Rows'!$B$2:$B$201,'Trial Rows'!B49,'Trial Rows'!$C$2:$C$201,'Trial Rows'!C49,'Trial Rows'!$F$2:$F$201,'Trial Rows'!F49,'Trial Rows'!$G$2:$G$201,'Trial Rows'!G49,'Trial Rows'!$Y$2:$Y$201,'Trial Rows'!Y49,'Trial Rows'!$U$2:$U$201,'Trial Rows'!U49)=4,'Trial Rows'!U49&gt;=0),1,0)</x:f>
        <x:v>0</x:v>
      </x:c>
      <x:c r="O49" s="2" t="str">
        <x:f>IF(N49=1,'Trial Rows'!U49/1000,"")</x:f>
      </x:c>
      <x:c r="P49" s="2" t="str">
        <x:f>IF(AND(N49=1,'Trial Rows'!G49="A"),O49,"")</x:f>
      </x:c>
      <x:c r="Q49" s="2" t="str">
        <x:f>IF(AND(N49=1,'Trial Rows'!G49="B"),O49,"")</x:f>
      </x:c>
      <x:c r="R49" s="2" t="str">
        <x:f>IF(AND(N49=1,COUNTIFS('Trial Rows'!$B$2:$B$201,'Trial Rows'!B49,'Trial Rows'!$C$2:$C$201,'Trial Rows'!C49,'Trial Rows'!$F$2:$F$201,'Trial Rows'!F49,'Trial Rows'!$G$2:$G$201,'Trial Rows'!G49,'Trial Rows'!$Y$2:$Y$201,'Trial Rows'!Y49,'Trial Rows'!$N$2:$N$201,"&gt;=0",'Trial Rows'!$N$2:$N$201,"&lt;=4",'Trial Rows'!$N$2:$N$201,"&lt;&gt;")=4),SUMIFS('Trial Rows'!$N$2:$N$201,'Trial Rows'!$B$2:$B$201,'Trial Rows'!B49,'Trial Rows'!$C$2:$C$201,'Trial Rows'!C49,'Trial Rows'!$F$2:$F$201,'Trial Rows'!F49,'Trial Rows'!$G$2:$G$201,'Trial Rows'!G49,'Trial Rows'!$Y$2:$Y$201,'Trial Rows'!Y49,'Trial Rows'!$I$2:$I$201,1)+4-SUMIFS('Trial Rows'!$N$2:$N$201,'Trial Rows'!$B$2:$B$201,'Trial Rows'!B49,'Trial Rows'!$C$2:$C$201,'Trial Rows'!C49,'Trial Rows'!$F$2:$F$201,'Trial Rows'!F49,'Trial Rows'!$G$2:$G$201,'Trial Rows'!G49,'Trial Rows'!$Y$2:$Y$201,'Trial Rows'!Y49,'Trial Rows'!$I$2:$I$201,2)+4-SUMIFS('Trial Rows'!$N$2:$N$201,'Trial Rows'!$B$2:$B$201,'Trial Rows'!B49,'Trial Rows'!$C$2:$C$201,'Trial Rows'!C49,'Trial Rows'!$F$2:$F$201,'Trial Rows'!F49,'Trial Rows'!$G$2:$G$201,'Trial Rows'!G49,'Trial Rows'!$Y$2:$Y$201,'Trial Rows'!Y49,'Trial Rows'!$I$2:$I$201,3)+SUMIFS('Trial Rows'!$N$2:$N$201,'Trial Rows'!$B$2:$B$201,'Trial Rows'!B49,'Trial Rows'!$C$2:$C$201,'Trial Rows'!C49,'Trial Rows'!$F$2:$F$201,'Trial Rows'!F49,'Trial Rows'!$G$2:$G$201,'Trial Rows'!G49,'Trial Rows'!$Y$2:$Y$201,'Trial Rows'!Y49,'Trial Rows'!$I$2:$I$201,4),"")</x:f>
      </x:c>
      <x:c r="S49" s="2" t="n">
        <x:f>IF(AND(B49=1,COUNTIFS('Trial Rows'!$C$2:C49,'Trial Rows'!C49,'Trial Rows'!$F$2:F49,Summary!$B$5,'Trial Rows'!$Y$2:Y49,Summary!$B$4)=1),1,0)</x:f>
        <x:v>0</x:v>
      </x:c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 t="str">
        <x:f>IF('Trial Rows'!A50="","",'Trial Rows'!F50&amp;"|"&amp;'Trial Rows'!B50&amp;"|"&amp;'Trial Rows'!C50&amp;"|"&amp;'Trial Rows'!I50)</x:f>
      </x:c>
      <x:c r="B50" s="2" t="n">
        <x:f>IF(AND('Trial Rows'!A50&lt;&gt;"",'Trial Rows'!Y50=Summary!$B$4,'Trial Rows'!F50=Summary!$B$5),1,0)</x:f>
        <x:v>0</x:v>
      </x:c>
      <x:c r="C50" s="2" t="n">
        <x:f>IF(B50=1,COUNTIFS('Trial Rows'!$B$2:$B$201,'Trial Rows'!B50,'Trial Rows'!$C$2:$C$201,'Trial Rows'!C50,'Trial Rows'!$F$2:$F$201,'Trial Rows'!F50,'Trial Rows'!$I$2:$I$201,'Trial Rows'!I50,'Trial Rows'!$Y$2:$Y$201,'Trial Rows'!Y50,'Trial Rows'!$G$2:$G$201,"A"),0)</x:f>
        <x:v>0</x:v>
      </x:c>
      <x:c r="D50" s="2" t="n">
        <x:f>IF(B50=1,COUNTIFS('Trial Rows'!$B$2:$B$201,'Trial Rows'!B50,'Trial Rows'!$C$2:$C$201,'Trial Rows'!C50,'Trial Rows'!$F$2:$F$201,'Trial Rows'!F50,'Trial Rows'!$I$2:$I$201,'Trial Rows'!I50,'Trial Rows'!$Y$2:$Y$201,'Trial Rows'!Y50,'Trial Rows'!$G$2:$G$201,"B"),0)</x:f>
        <x:v>0</x:v>
      </x:c>
      <x:c r="E50" s="2" t="str">
        <x:f>IF(AND(C50=1,COUNTIFS('Trial Rows'!$B$2:$B$201,'Trial Rows'!B50,'Trial Rows'!$C$2:$C$201,'Trial Rows'!C50,'Trial Rows'!$F$2:$F$201,'Trial Rows'!F50,'Trial Rows'!$I$2:$I$201,'Trial Rows'!I50,'Trial Rows'!$Y$2:$Y$201,'Trial Rows'!Y50,'Trial Rows'!$G$2:$G$201,"A",'Trial Rows'!$K$2:$K$201,"&gt;=0",'Trial Rows'!$K$2:$K$201,"&lt;=4",'Trial Rows'!$K$2:$K$201,"&lt;&gt;")=1),SUMIFS('Trial Rows'!$K$2:$K$201,'Trial Rows'!$B$2:$B$201,'Trial Rows'!B50,'Trial Rows'!$C$2:$C$201,'Trial Rows'!C50,'Trial Rows'!$F$2:$F$201,'Trial Rows'!F50,'Trial Rows'!$I$2:$I$201,'Trial Rows'!I50,'Trial Rows'!$Y$2:$Y$201,'Trial Rows'!Y50,'Trial Rows'!$G$2:$G$201,"A"),"")</x:f>
      </x:c>
      <x:c r="F50" s="2" t="n">
        <x:f>IF(AND(B50=1,'Trial Rows'!G50="B",C50=1,D50=1,ISNUMBER(E50),ISNUMBER('Trial Rows'!M50),'Trial Rows'!M50&gt;=0,'Trial Rows'!M50&lt;=4,'Trial Rows'!Q50=0,'Trial Rows'!S50=0),1,0)</x:f>
        <x:v>0</x:v>
      </x:c>
      <x:c r="G50" s="2" t="n">
        <x:f>IF(F50=1,IF(E50='Trial Rows'!M50,1,0),0)</x:f>
        <x:v>0</x:v>
      </x:c>
      <x:c r="H50" s="2" t="n">
        <x:f>IF(AND(B50=1,'Trial Rows'!G50="B",C50=1,D50=1,ISNUMBER(E50),'Trial Rows'!R50=1,'Trial Rows'!Q50=0,'Trial Rows'!S50=0,ISNUMBER('Trial Rows'!L50),'Trial Rows'!L50&gt;=0,'Trial Rows'!L50&lt;=4),1,0)</x:f>
        <x:v>0</x:v>
      </x:c>
      <x:c r="I50" s="2" t="n">
        <x:f>IF(H50=1,IF(E50='Trial Rows'!L50,1,0),0)</x:f>
        <x:v>0</x:v>
      </x:c>
      <x:c r="J50" s="2" t="n">
        <x:f>IF(AND(B50=1,'Trial Rows'!G50="B",'Trial Rows'!P50&gt;0),1,0)</x:f>
        <x:v>0</x:v>
      </x:c>
      <x:c r="K50" s="2" t="n">
        <x:f>IF(AND(B50=1,'Trial Rows'!G50="B",'Trial Rows'!Q50=1),1,0)</x:f>
        <x:v>0</x:v>
      </x:c>
      <x:c r="L50" s="2" t="n">
        <x:f>IF(AND(B50=1,'Trial Rows'!G50="B",'Trial Rows'!R50=1,'Trial Rows'!Q50=0,'Trial Rows'!S50=0),1,0)</x:f>
        <x:v>0</x:v>
      </x:c>
      <x:c r="M50" s="2" t="n">
        <x:f>IF(AND(B50=1,'Trial Rows'!G50="B"),1,0)</x:f>
        <x:v>0</x:v>
      </x:c>
      <x:c r="N50" s="2" t="n">
        <x:f>IF(AND(B50=1,'Trial Rows'!I50=1,COUNTIFS('Trial Rows'!$B$2:$B$201,'Trial Rows'!B50,'Trial Rows'!$C$2:$C$201,'Trial Rows'!C50,'Trial Rows'!$F$2:$F$201,'Trial Rows'!F50,'Trial Rows'!$G$2:$G$201,'Trial Rows'!G50,'Trial Rows'!$Y$2:$Y$201,'Trial Rows'!Y50)=4,COUNTIFS('Trial Rows'!$B$2:$B$201,'Trial Rows'!B50,'Trial Rows'!$C$2:$C$201,'Trial Rows'!C50,'Trial Rows'!$F$2:$F$201,'Trial Rows'!F50,'Trial Rows'!$G$2:$G$201,'Trial Rows'!G50,'Trial Rows'!$Y$2:$Y$201,'Trial Rows'!Y50,'Trial Rows'!$I$2:$I$201,1)=1,COUNTIFS('Trial Rows'!$B$2:$B$201,'Trial Rows'!B50,'Trial Rows'!$C$2:$C$201,'Trial Rows'!C50,'Trial Rows'!$F$2:$F$201,'Trial Rows'!F50,'Trial Rows'!$G$2:$G$201,'Trial Rows'!G50,'Trial Rows'!$Y$2:$Y$201,'Trial Rows'!Y50,'Trial Rows'!$I$2:$I$201,2)=1,COUNTIFS('Trial Rows'!$B$2:$B$201,'Trial Rows'!B50,'Trial Rows'!$C$2:$C$201,'Trial Rows'!C50,'Trial Rows'!$F$2:$F$201,'Trial Rows'!F50,'Trial Rows'!$G$2:$G$201,'Trial Rows'!G50,'Trial Rows'!$Y$2:$Y$201,'Trial Rows'!Y50,'Trial Rows'!$I$2:$I$201,3)=1,COUNTIFS('Trial Rows'!$B$2:$B$201,'Trial Rows'!B50,'Trial Rows'!$C$2:$C$201,'Trial Rows'!C50,'Trial Rows'!$F$2:$F$201,'Trial Rows'!F50,'Trial Rows'!$G$2:$G$201,'Trial Rows'!G50,'Trial Rows'!$Y$2:$Y$201,'Trial Rows'!Y50,'Trial Rows'!$I$2:$I$201,4)=1,COUNTIFS('Trial Rows'!$B$2:$B$201,'Trial Rows'!B50,'Trial Rows'!$C$2:$C$201,'Trial Rows'!C50,'Trial Rows'!$F$2:$F$201,'Trial Rows'!F50,'Trial Rows'!$G$2:$G$201,'Trial Rows'!G50,'Trial Rows'!$Y$2:$Y$201,'Trial Rows'!Y50,'Trial Rows'!$W$2:$W$201,"&lt;&gt;")=4,ISNUMBER('Trial Rows'!U50),COUNTIFS('Trial Rows'!$B$2:$B$201,'Trial Rows'!B50,'Trial Rows'!$C$2:$C$201,'Trial Rows'!C50,'Trial Rows'!$F$2:$F$201,'Trial Rows'!F50,'Trial Rows'!$G$2:$G$201,'Trial Rows'!G50,'Trial Rows'!$Y$2:$Y$201,'Trial Rows'!Y50,'Trial Rows'!$U$2:$U$201,'Trial Rows'!U50)=4,'Trial Rows'!U50&gt;=0),1,0)</x:f>
        <x:v>0</x:v>
      </x:c>
      <x:c r="O50" s="2" t="str">
        <x:f>IF(N50=1,'Trial Rows'!U50/1000,"")</x:f>
      </x:c>
      <x:c r="P50" s="2" t="str">
        <x:f>IF(AND(N50=1,'Trial Rows'!G50="A"),O50,"")</x:f>
      </x:c>
      <x:c r="Q50" s="2" t="str">
        <x:f>IF(AND(N50=1,'Trial Rows'!G50="B"),O50,"")</x:f>
      </x:c>
      <x:c r="R50" s="2" t="str">
        <x:f>IF(AND(N50=1,COUNTIFS('Trial Rows'!$B$2:$B$201,'Trial Rows'!B50,'Trial Rows'!$C$2:$C$201,'Trial Rows'!C50,'Trial Rows'!$F$2:$F$201,'Trial Rows'!F50,'Trial Rows'!$G$2:$G$201,'Trial Rows'!G50,'Trial Rows'!$Y$2:$Y$201,'Trial Rows'!Y50,'Trial Rows'!$N$2:$N$201,"&gt;=0",'Trial Rows'!$N$2:$N$201,"&lt;=4",'Trial Rows'!$N$2:$N$201,"&lt;&gt;")=4),SUMIFS('Trial Rows'!$N$2:$N$201,'Trial Rows'!$B$2:$B$201,'Trial Rows'!B50,'Trial Rows'!$C$2:$C$201,'Trial Rows'!C50,'Trial Rows'!$F$2:$F$201,'Trial Rows'!F50,'Trial Rows'!$G$2:$G$201,'Trial Rows'!G50,'Trial Rows'!$Y$2:$Y$201,'Trial Rows'!Y50,'Trial Rows'!$I$2:$I$201,1)+4-SUMIFS('Trial Rows'!$N$2:$N$201,'Trial Rows'!$B$2:$B$201,'Trial Rows'!B50,'Trial Rows'!$C$2:$C$201,'Trial Rows'!C50,'Trial Rows'!$F$2:$F$201,'Trial Rows'!F50,'Trial Rows'!$G$2:$G$201,'Trial Rows'!G50,'Trial Rows'!$Y$2:$Y$201,'Trial Rows'!Y50,'Trial Rows'!$I$2:$I$201,2)+4-SUMIFS('Trial Rows'!$N$2:$N$201,'Trial Rows'!$B$2:$B$201,'Trial Rows'!B50,'Trial Rows'!$C$2:$C$201,'Trial Rows'!C50,'Trial Rows'!$F$2:$F$201,'Trial Rows'!F50,'Trial Rows'!$G$2:$G$201,'Trial Rows'!G50,'Trial Rows'!$Y$2:$Y$201,'Trial Rows'!Y50,'Trial Rows'!$I$2:$I$201,3)+SUMIFS('Trial Rows'!$N$2:$N$201,'Trial Rows'!$B$2:$B$201,'Trial Rows'!B50,'Trial Rows'!$C$2:$C$201,'Trial Rows'!C50,'Trial Rows'!$F$2:$F$201,'Trial Rows'!F50,'Trial Rows'!$G$2:$G$201,'Trial Rows'!G50,'Trial Rows'!$Y$2:$Y$201,'Trial Rows'!Y50,'Trial Rows'!$I$2:$I$201,4),"")</x:f>
      </x:c>
      <x:c r="S50" s="2" t="n">
        <x:f>IF(AND(B50=1,COUNTIFS('Trial Rows'!$C$2:C50,'Trial Rows'!C50,'Trial Rows'!$F$2:F50,Summary!$B$5,'Trial Rows'!$Y$2:Y50,Summary!$B$4)=1),1,0)</x:f>
        <x:v>0</x:v>
      </x:c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 t="str">
        <x:f>IF('Trial Rows'!A51="","",'Trial Rows'!F51&amp;"|"&amp;'Trial Rows'!B51&amp;"|"&amp;'Trial Rows'!C51&amp;"|"&amp;'Trial Rows'!I51)</x:f>
      </x:c>
      <x:c r="B51" s="2" t="n">
        <x:f>IF(AND('Trial Rows'!A51&lt;&gt;"",'Trial Rows'!Y51=Summary!$B$4,'Trial Rows'!F51=Summary!$B$5),1,0)</x:f>
        <x:v>0</x:v>
      </x:c>
      <x:c r="C51" s="2" t="n">
        <x:f>IF(B51=1,COUNTIFS('Trial Rows'!$B$2:$B$201,'Trial Rows'!B51,'Trial Rows'!$C$2:$C$201,'Trial Rows'!C51,'Trial Rows'!$F$2:$F$201,'Trial Rows'!F51,'Trial Rows'!$I$2:$I$201,'Trial Rows'!I51,'Trial Rows'!$Y$2:$Y$201,'Trial Rows'!Y51,'Trial Rows'!$G$2:$G$201,"A"),0)</x:f>
        <x:v>0</x:v>
      </x:c>
      <x:c r="D51" s="2" t="n">
        <x:f>IF(B51=1,COUNTIFS('Trial Rows'!$B$2:$B$201,'Trial Rows'!B51,'Trial Rows'!$C$2:$C$201,'Trial Rows'!C51,'Trial Rows'!$F$2:$F$201,'Trial Rows'!F51,'Trial Rows'!$I$2:$I$201,'Trial Rows'!I51,'Trial Rows'!$Y$2:$Y$201,'Trial Rows'!Y51,'Trial Rows'!$G$2:$G$201,"B"),0)</x:f>
        <x:v>0</x:v>
      </x:c>
      <x:c r="E51" s="2" t="str">
        <x:f>IF(AND(C51=1,COUNTIFS('Trial Rows'!$B$2:$B$201,'Trial Rows'!B51,'Trial Rows'!$C$2:$C$201,'Trial Rows'!C51,'Trial Rows'!$F$2:$F$201,'Trial Rows'!F51,'Trial Rows'!$I$2:$I$201,'Trial Rows'!I51,'Trial Rows'!$Y$2:$Y$201,'Trial Rows'!Y51,'Trial Rows'!$G$2:$G$201,"A",'Trial Rows'!$K$2:$K$201,"&gt;=0",'Trial Rows'!$K$2:$K$201,"&lt;=4",'Trial Rows'!$K$2:$K$201,"&lt;&gt;")=1),SUMIFS('Trial Rows'!$K$2:$K$201,'Trial Rows'!$B$2:$B$201,'Trial Rows'!B51,'Trial Rows'!$C$2:$C$201,'Trial Rows'!C51,'Trial Rows'!$F$2:$F$201,'Trial Rows'!F51,'Trial Rows'!$I$2:$I$201,'Trial Rows'!I51,'Trial Rows'!$Y$2:$Y$201,'Trial Rows'!Y51,'Trial Rows'!$G$2:$G$201,"A"),"")</x:f>
      </x:c>
      <x:c r="F51" s="2" t="n">
        <x:f>IF(AND(B51=1,'Trial Rows'!G51="B",C51=1,D51=1,ISNUMBER(E51),ISNUMBER('Trial Rows'!M51),'Trial Rows'!M51&gt;=0,'Trial Rows'!M51&lt;=4,'Trial Rows'!Q51=0,'Trial Rows'!S51=0),1,0)</x:f>
        <x:v>0</x:v>
      </x:c>
      <x:c r="G51" s="2" t="n">
        <x:f>IF(F51=1,IF(E51='Trial Rows'!M51,1,0),0)</x:f>
        <x:v>0</x:v>
      </x:c>
      <x:c r="H51" s="2" t="n">
        <x:f>IF(AND(B51=1,'Trial Rows'!G51="B",C51=1,D51=1,ISNUMBER(E51),'Trial Rows'!R51=1,'Trial Rows'!Q51=0,'Trial Rows'!S51=0,ISNUMBER('Trial Rows'!L51),'Trial Rows'!L51&gt;=0,'Trial Rows'!L51&lt;=4),1,0)</x:f>
        <x:v>0</x:v>
      </x:c>
      <x:c r="I51" s="2" t="n">
        <x:f>IF(H51=1,IF(E51='Trial Rows'!L51,1,0),0)</x:f>
        <x:v>0</x:v>
      </x:c>
      <x:c r="J51" s="2" t="n">
        <x:f>IF(AND(B51=1,'Trial Rows'!G51="B",'Trial Rows'!P51&gt;0),1,0)</x:f>
        <x:v>0</x:v>
      </x:c>
      <x:c r="K51" s="2" t="n">
        <x:f>IF(AND(B51=1,'Trial Rows'!G51="B",'Trial Rows'!Q51=1),1,0)</x:f>
        <x:v>0</x:v>
      </x:c>
      <x:c r="L51" s="2" t="n">
        <x:f>IF(AND(B51=1,'Trial Rows'!G51="B",'Trial Rows'!R51=1,'Trial Rows'!Q51=0,'Trial Rows'!S51=0),1,0)</x:f>
        <x:v>0</x:v>
      </x:c>
      <x:c r="M51" s="2" t="n">
        <x:f>IF(AND(B51=1,'Trial Rows'!G51="B"),1,0)</x:f>
        <x:v>0</x:v>
      </x:c>
      <x:c r="N51" s="2" t="n">
        <x:f>IF(AND(B51=1,'Trial Rows'!I51=1,COUNTIFS('Trial Rows'!$B$2:$B$201,'Trial Rows'!B51,'Trial Rows'!$C$2:$C$201,'Trial Rows'!C51,'Trial Rows'!$F$2:$F$201,'Trial Rows'!F51,'Trial Rows'!$G$2:$G$201,'Trial Rows'!G51,'Trial Rows'!$Y$2:$Y$201,'Trial Rows'!Y51)=4,COUNTIFS('Trial Rows'!$B$2:$B$201,'Trial Rows'!B51,'Trial Rows'!$C$2:$C$201,'Trial Rows'!C51,'Trial Rows'!$F$2:$F$201,'Trial Rows'!F51,'Trial Rows'!$G$2:$G$201,'Trial Rows'!G51,'Trial Rows'!$Y$2:$Y$201,'Trial Rows'!Y51,'Trial Rows'!$I$2:$I$201,1)=1,COUNTIFS('Trial Rows'!$B$2:$B$201,'Trial Rows'!B51,'Trial Rows'!$C$2:$C$201,'Trial Rows'!C51,'Trial Rows'!$F$2:$F$201,'Trial Rows'!F51,'Trial Rows'!$G$2:$G$201,'Trial Rows'!G51,'Trial Rows'!$Y$2:$Y$201,'Trial Rows'!Y51,'Trial Rows'!$I$2:$I$201,2)=1,COUNTIFS('Trial Rows'!$B$2:$B$201,'Trial Rows'!B51,'Trial Rows'!$C$2:$C$201,'Trial Rows'!C51,'Trial Rows'!$F$2:$F$201,'Trial Rows'!F51,'Trial Rows'!$G$2:$G$201,'Trial Rows'!G51,'Trial Rows'!$Y$2:$Y$201,'Trial Rows'!Y51,'Trial Rows'!$I$2:$I$201,3)=1,COUNTIFS('Trial Rows'!$B$2:$B$201,'Trial Rows'!B51,'Trial Rows'!$C$2:$C$201,'Trial Rows'!C51,'Trial Rows'!$F$2:$F$201,'Trial Rows'!F51,'Trial Rows'!$G$2:$G$201,'Trial Rows'!G51,'Trial Rows'!$Y$2:$Y$201,'Trial Rows'!Y51,'Trial Rows'!$I$2:$I$201,4)=1,COUNTIFS('Trial Rows'!$B$2:$B$201,'Trial Rows'!B51,'Trial Rows'!$C$2:$C$201,'Trial Rows'!C51,'Trial Rows'!$F$2:$F$201,'Trial Rows'!F51,'Trial Rows'!$G$2:$G$201,'Trial Rows'!G51,'Trial Rows'!$Y$2:$Y$201,'Trial Rows'!Y51,'Trial Rows'!$W$2:$W$201,"&lt;&gt;")=4,ISNUMBER('Trial Rows'!U51),COUNTIFS('Trial Rows'!$B$2:$B$201,'Trial Rows'!B51,'Trial Rows'!$C$2:$C$201,'Trial Rows'!C51,'Trial Rows'!$F$2:$F$201,'Trial Rows'!F51,'Trial Rows'!$G$2:$G$201,'Trial Rows'!G51,'Trial Rows'!$Y$2:$Y$201,'Trial Rows'!Y51,'Trial Rows'!$U$2:$U$201,'Trial Rows'!U51)=4,'Trial Rows'!U51&gt;=0),1,0)</x:f>
        <x:v>0</x:v>
      </x:c>
      <x:c r="O51" s="2" t="str">
        <x:f>IF(N51=1,'Trial Rows'!U51/1000,"")</x:f>
      </x:c>
      <x:c r="P51" s="2" t="str">
        <x:f>IF(AND(N51=1,'Trial Rows'!G51="A"),O51,"")</x:f>
      </x:c>
      <x:c r="Q51" s="2" t="str">
        <x:f>IF(AND(N51=1,'Trial Rows'!G51="B"),O51,"")</x:f>
      </x:c>
      <x:c r="R51" s="2" t="str">
        <x:f>IF(AND(N51=1,COUNTIFS('Trial Rows'!$B$2:$B$201,'Trial Rows'!B51,'Trial Rows'!$C$2:$C$201,'Trial Rows'!C51,'Trial Rows'!$F$2:$F$201,'Trial Rows'!F51,'Trial Rows'!$G$2:$G$201,'Trial Rows'!G51,'Trial Rows'!$Y$2:$Y$201,'Trial Rows'!Y51,'Trial Rows'!$N$2:$N$201,"&gt;=0",'Trial Rows'!$N$2:$N$201,"&lt;=4",'Trial Rows'!$N$2:$N$201,"&lt;&gt;")=4),SUMIFS('Trial Rows'!$N$2:$N$201,'Trial Rows'!$B$2:$B$201,'Trial Rows'!B51,'Trial Rows'!$C$2:$C$201,'Trial Rows'!C51,'Trial Rows'!$F$2:$F$201,'Trial Rows'!F51,'Trial Rows'!$G$2:$G$201,'Trial Rows'!G51,'Trial Rows'!$Y$2:$Y$201,'Trial Rows'!Y51,'Trial Rows'!$I$2:$I$201,1)+4-SUMIFS('Trial Rows'!$N$2:$N$201,'Trial Rows'!$B$2:$B$201,'Trial Rows'!B51,'Trial Rows'!$C$2:$C$201,'Trial Rows'!C51,'Trial Rows'!$F$2:$F$201,'Trial Rows'!F51,'Trial Rows'!$G$2:$G$201,'Trial Rows'!G51,'Trial Rows'!$Y$2:$Y$201,'Trial Rows'!Y51,'Trial Rows'!$I$2:$I$201,2)+4-SUMIFS('Trial Rows'!$N$2:$N$201,'Trial Rows'!$B$2:$B$201,'Trial Rows'!B51,'Trial Rows'!$C$2:$C$201,'Trial Rows'!C51,'Trial Rows'!$F$2:$F$201,'Trial Rows'!F51,'Trial Rows'!$G$2:$G$201,'Trial Rows'!G51,'Trial Rows'!$Y$2:$Y$201,'Trial Rows'!Y51,'Trial Rows'!$I$2:$I$201,3)+SUMIFS('Trial Rows'!$N$2:$N$201,'Trial Rows'!$B$2:$B$201,'Trial Rows'!B51,'Trial Rows'!$C$2:$C$201,'Trial Rows'!C51,'Trial Rows'!$F$2:$F$201,'Trial Rows'!F51,'Trial Rows'!$G$2:$G$201,'Trial Rows'!G51,'Trial Rows'!$Y$2:$Y$201,'Trial Rows'!Y51,'Trial Rows'!$I$2:$I$201,4),"")</x:f>
      </x:c>
      <x:c r="S51" s="2" t="n">
        <x:f>IF(AND(B51=1,COUNTIFS('Trial Rows'!$C$2:C51,'Trial Rows'!C51,'Trial Rows'!$F$2:F51,Summary!$B$5,'Trial Rows'!$Y$2:Y51,Summary!$B$4)=1),1,0)</x:f>
        <x:v>0</x:v>
      </x:c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 t="str">
        <x:f>IF('Trial Rows'!A52="","",'Trial Rows'!F52&amp;"|"&amp;'Trial Rows'!B52&amp;"|"&amp;'Trial Rows'!C52&amp;"|"&amp;'Trial Rows'!I52)</x:f>
      </x:c>
      <x:c r="B52" s="2" t="n">
        <x:f>IF(AND('Trial Rows'!A52&lt;&gt;"",'Trial Rows'!Y52=Summary!$B$4,'Trial Rows'!F52=Summary!$B$5),1,0)</x:f>
        <x:v>0</x:v>
      </x:c>
      <x:c r="C52" s="2" t="n">
        <x:f>IF(B52=1,COUNTIFS('Trial Rows'!$B$2:$B$201,'Trial Rows'!B52,'Trial Rows'!$C$2:$C$201,'Trial Rows'!C52,'Trial Rows'!$F$2:$F$201,'Trial Rows'!F52,'Trial Rows'!$I$2:$I$201,'Trial Rows'!I52,'Trial Rows'!$Y$2:$Y$201,'Trial Rows'!Y52,'Trial Rows'!$G$2:$G$201,"A"),0)</x:f>
        <x:v>0</x:v>
      </x:c>
      <x:c r="D52" s="2" t="n">
        <x:f>IF(B52=1,COUNTIFS('Trial Rows'!$B$2:$B$201,'Trial Rows'!B52,'Trial Rows'!$C$2:$C$201,'Trial Rows'!C52,'Trial Rows'!$F$2:$F$201,'Trial Rows'!F52,'Trial Rows'!$I$2:$I$201,'Trial Rows'!I52,'Trial Rows'!$Y$2:$Y$201,'Trial Rows'!Y52,'Trial Rows'!$G$2:$G$201,"B"),0)</x:f>
        <x:v>0</x:v>
      </x:c>
      <x:c r="E52" s="2" t="str">
        <x:f>IF(AND(C52=1,COUNTIFS('Trial Rows'!$B$2:$B$201,'Trial Rows'!B52,'Trial Rows'!$C$2:$C$201,'Trial Rows'!C52,'Trial Rows'!$F$2:$F$201,'Trial Rows'!F52,'Trial Rows'!$I$2:$I$201,'Trial Rows'!I52,'Trial Rows'!$Y$2:$Y$201,'Trial Rows'!Y52,'Trial Rows'!$G$2:$G$201,"A",'Trial Rows'!$K$2:$K$201,"&gt;=0",'Trial Rows'!$K$2:$K$201,"&lt;=4",'Trial Rows'!$K$2:$K$201,"&lt;&gt;")=1),SUMIFS('Trial Rows'!$K$2:$K$201,'Trial Rows'!$B$2:$B$201,'Trial Rows'!B52,'Trial Rows'!$C$2:$C$201,'Trial Rows'!C52,'Trial Rows'!$F$2:$F$201,'Trial Rows'!F52,'Trial Rows'!$I$2:$I$201,'Trial Rows'!I52,'Trial Rows'!$Y$2:$Y$201,'Trial Rows'!Y52,'Trial Rows'!$G$2:$G$201,"A"),"")</x:f>
      </x:c>
      <x:c r="F52" s="2" t="n">
        <x:f>IF(AND(B52=1,'Trial Rows'!G52="B",C52=1,D52=1,ISNUMBER(E52),ISNUMBER('Trial Rows'!M52),'Trial Rows'!M52&gt;=0,'Trial Rows'!M52&lt;=4,'Trial Rows'!Q52=0,'Trial Rows'!S52=0),1,0)</x:f>
        <x:v>0</x:v>
      </x:c>
      <x:c r="G52" s="2" t="n">
        <x:f>IF(F52=1,IF(E52='Trial Rows'!M52,1,0),0)</x:f>
        <x:v>0</x:v>
      </x:c>
      <x:c r="H52" s="2" t="n">
        <x:f>IF(AND(B52=1,'Trial Rows'!G52="B",C52=1,D52=1,ISNUMBER(E52),'Trial Rows'!R52=1,'Trial Rows'!Q52=0,'Trial Rows'!S52=0,ISNUMBER('Trial Rows'!L52),'Trial Rows'!L52&gt;=0,'Trial Rows'!L52&lt;=4),1,0)</x:f>
        <x:v>0</x:v>
      </x:c>
      <x:c r="I52" s="2" t="n">
        <x:f>IF(H52=1,IF(E52='Trial Rows'!L52,1,0),0)</x:f>
        <x:v>0</x:v>
      </x:c>
      <x:c r="J52" s="2" t="n">
        <x:f>IF(AND(B52=1,'Trial Rows'!G52="B",'Trial Rows'!P52&gt;0),1,0)</x:f>
        <x:v>0</x:v>
      </x:c>
      <x:c r="K52" s="2" t="n">
        <x:f>IF(AND(B52=1,'Trial Rows'!G52="B",'Trial Rows'!Q52=1),1,0)</x:f>
        <x:v>0</x:v>
      </x:c>
      <x:c r="L52" s="2" t="n">
        <x:f>IF(AND(B52=1,'Trial Rows'!G52="B",'Trial Rows'!R52=1,'Trial Rows'!Q52=0,'Trial Rows'!S52=0),1,0)</x:f>
        <x:v>0</x:v>
      </x:c>
      <x:c r="M52" s="2" t="n">
        <x:f>IF(AND(B52=1,'Trial Rows'!G52="B"),1,0)</x:f>
        <x:v>0</x:v>
      </x:c>
      <x:c r="N52" s="2" t="n">
        <x:f>IF(AND(B52=1,'Trial Rows'!I52=1,COUNTIFS('Trial Rows'!$B$2:$B$201,'Trial Rows'!B52,'Trial Rows'!$C$2:$C$201,'Trial Rows'!C52,'Trial Rows'!$F$2:$F$201,'Trial Rows'!F52,'Trial Rows'!$G$2:$G$201,'Trial Rows'!G52,'Trial Rows'!$Y$2:$Y$201,'Trial Rows'!Y52)=4,COUNTIFS('Trial Rows'!$B$2:$B$201,'Trial Rows'!B52,'Trial Rows'!$C$2:$C$201,'Trial Rows'!C52,'Trial Rows'!$F$2:$F$201,'Trial Rows'!F52,'Trial Rows'!$G$2:$G$201,'Trial Rows'!G52,'Trial Rows'!$Y$2:$Y$201,'Trial Rows'!Y52,'Trial Rows'!$I$2:$I$201,1)=1,COUNTIFS('Trial Rows'!$B$2:$B$201,'Trial Rows'!B52,'Trial Rows'!$C$2:$C$201,'Trial Rows'!C52,'Trial Rows'!$F$2:$F$201,'Trial Rows'!F52,'Trial Rows'!$G$2:$G$201,'Trial Rows'!G52,'Trial Rows'!$Y$2:$Y$201,'Trial Rows'!Y52,'Trial Rows'!$I$2:$I$201,2)=1,COUNTIFS('Trial Rows'!$B$2:$B$201,'Trial Rows'!B52,'Trial Rows'!$C$2:$C$201,'Trial Rows'!C52,'Trial Rows'!$F$2:$F$201,'Trial Rows'!F52,'Trial Rows'!$G$2:$G$201,'Trial Rows'!G52,'Trial Rows'!$Y$2:$Y$201,'Trial Rows'!Y52,'Trial Rows'!$I$2:$I$201,3)=1,COUNTIFS('Trial Rows'!$B$2:$B$201,'Trial Rows'!B52,'Trial Rows'!$C$2:$C$201,'Trial Rows'!C52,'Trial Rows'!$F$2:$F$201,'Trial Rows'!F52,'Trial Rows'!$G$2:$G$201,'Trial Rows'!G52,'Trial Rows'!$Y$2:$Y$201,'Trial Rows'!Y52,'Trial Rows'!$I$2:$I$201,4)=1,COUNTIFS('Trial Rows'!$B$2:$B$201,'Trial Rows'!B52,'Trial Rows'!$C$2:$C$201,'Trial Rows'!C52,'Trial Rows'!$F$2:$F$201,'Trial Rows'!F52,'Trial Rows'!$G$2:$G$201,'Trial Rows'!G52,'Trial Rows'!$Y$2:$Y$201,'Trial Rows'!Y52,'Trial Rows'!$W$2:$W$201,"&lt;&gt;")=4,ISNUMBER('Trial Rows'!U52),COUNTIFS('Trial Rows'!$B$2:$B$201,'Trial Rows'!B52,'Trial Rows'!$C$2:$C$201,'Trial Rows'!C52,'Trial Rows'!$F$2:$F$201,'Trial Rows'!F52,'Trial Rows'!$G$2:$G$201,'Trial Rows'!G52,'Trial Rows'!$Y$2:$Y$201,'Trial Rows'!Y52,'Trial Rows'!$U$2:$U$201,'Trial Rows'!U52)=4,'Trial Rows'!U52&gt;=0),1,0)</x:f>
        <x:v>0</x:v>
      </x:c>
      <x:c r="O52" s="2" t="str">
        <x:f>IF(N52=1,'Trial Rows'!U52/1000,"")</x:f>
      </x:c>
      <x:c r="P52" s="2" t="str">
        <x:f>IF(AND(N52=1,'Trial Rows'!G52="A"),O52,"")</x:f>
      </x:c>
      <x:c r="Q52" s="2" t="str">
        <x:f>IF(AND(N52=1,'Trial Rows'!G52="B"),O52,"")</x:f>
      </x:c>
      <x:c r="R52" s="2" t="str">
        <x:f>IF(AND(N52=1,COUNTIFS('Trial Rows'!$B$2:$B$201,'Trial Rows'!B52,'Trial Rows'!$C$2:$C$201,'Trial Rows'!C52,'Trial Rows'!$F$2:$F$201,'Trial Rows'!F52,'Trial Rows'!$G$2:$G$201,'Trial Rows'!G52,'Trial Rows'!$Y$2:$Y$201,'Trial Rows'!Y52,'Trial Rows'!$N$2:$N$201,"&gt;=0",'Trial Rows'!$N$2:$N$201,"&lt;=4",'Trial Rows'!$N$2:$N$201,"&lt;&gt;")=4),SUMIFS('Trial Rows'!$N$2:$N$201,'Trial Rows'!$B$2:$B$201,'Trial Rows'!B52,'Trial Rows'!$C$2:$C$201,'Trial Rows'!C52,'Trial Rows'!$F$2:$F$201,'Trial Rows'!F52,'Trial Rows'!$G$2:$G$201,'Trial Rows'!G52,'Trial Rows'!$Y$2:$Y$201,'Trial Rows'!Y52,'Trial Rows'!$I$2:$I$201,1)+4-SUMIFS('Trial Rows'!$N$2:$N$201,'Trial Rows'!$B$2:$B$201,'Trial Rows'!B52,'Trial Rows'!$C$2:$C$201,'Trial Rows'!C52,'Trial Rows'!$F$2:$F$201,'Trial Rows'!F52,'Trial Rows'!$G$2:$G$201,'Trial Rows'!G52,'Trial Rows'!$Y$2:$Y$201,'Trial Rows'!Y52,'Trial Rows'!$I$2:$I$201,2)+4-SUMIFS('Trial Rows'!$N$2:$N$201,'Trial Rows'!$B$2:$B$201,'Trial Rows'!B52,'Trial Rows'!$C$2:$C$201,'Trial Rows'!C52,'Trial Rows'!$F$2:$F$201,'Trial Rows'!F52,'Trial Rows'!$G$2:$G$201,'Trial Rows'!G52,'Trial Rows'!$Y$2:$Y$201,'Trial Rows'!Y52,'Trial Rows'!$I$2:$I$201,3)+SUMIFS('Trial Rows'!$N$2:$N$201,'Trial Rows'!$B$2:$B$201,'Trial Rows'!B52,'Trial Rows'!$C$2:$C$201,'Trial Rows'!C52,'Trial Rows'!$F$2:$F$201,'Trial Rows'!F52,'Trial Rows'!$G$2:$G$201,'Trial Rows'!G52,'Trial Rows'!$Y$2:$Y$201,'Trial Rows'!Y52,'Trial Rows'!$I$2:$I$201,4),"")</x:f>
      </x:c>
      <x:c r="S52" s="2" t="n">
        <x:f>IF(AND(B52=1,COUNTIFS('Trial Rows'!$C$2:C52,'Trial Rows'!C52,'Trial Rows'!$F$2:F52,Summary!$B$5,'Trial Rows'!$Y$2:Y52,Summary!$B$4)=1),1,0)</x:f>
        <x:v>0</x:v>
      </x:c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 t="str">
        <x:f>IF('Trial Rows'!A53="","",'Trial Rows'!F53&amp;"|"&amp;'Trial Rows'!B53&amp;"|"&amp;'Trial Rows'!C53&amp;"|"&amp;'Trial Rows'!I53)</x:f>
      </x:c>
      <x:c r="B53" s="2" t="n">
        <x:f>IF(AND('Trial Rows'!A53&lt;&gt;"",'Trial Rows'!Y53=Summary!$B$4,'Trial Rows'!F53=Summary!$B$5),1,0)</x:f>
        <x:v>0</x:v>
      </x:c>
      <x:c r="C53" s="2" t="n">
        <x:f>IF(B53=1,COUNTIFS('Trial Rows'!$B$2:$B$201,'Trial Rows'!B53,'Trial Rows'!$C$2:$C$201,'Trial Rows'!C53,'Trial Rows'!$F$2:$F$201,'Trial Rows'!F53,'Trial Rows'!$I$2:$I$201,'Trial Rows'!I53,'Trial Rows'!$Y$2:$Y$201,'Trial Rows'!Y53,'Trial Rows'!$G$2:$G$201,"A"),0)</x:f>
        <x:v>0</x:v>
      </x:c>
      <x:c r="D53" s="2" t="n">
        <x:f>IF(B53=1,COUNTIFS('Trial Rows'!$B$2:$B$201,'Trial Rows'!B53,'Trial Rows'!$C$2:$C$201,'Trial Rows'!C53,'Trial Rows'!$F$2:$F$201,'Trial Rows'!F53,'Trial Rows'!$I$2:$I$201,'Trial Rows'!I53,'Trial Rows'!$Y$2:$Y$201,'Trial Rows'!Y53,'Trial Rows'!$G$2:$G$201,"B"),0)</x:f>
        <x:v>0</x:v>
      </x:c>
      <x:c r="E53" s="2" t="str">
        <x:f>IF(AND(C53=1,COUNTIFS('Trial Rows'!$B$2:$B$201,'Trial Rows'!B53,'Trial Rows'!$C$2:$C$201,'Trial Rows'!C53,'Trial Rows'!$F$2:$F$201,'Trial Rows'!F53,'Trial Rows'!$I$2:$I$201,'Trial Rows'!I53,'Trial Rows'!$Y$2:$Y$201,'Trial Rows'!Y53,'Trial Rows'!$G$2:$G$201,"A",'Trial Rows'!$K$2:$K$201,"&gt;=0",'Trial Rows'!$K$2:$K$201,"&lt;=4",'Trial Rows'!$K$2:$K$201,"&lt;&gt;")=1),SUMIFS('Trial Rows'!$K$2:$K$201,'Trial Rows'!$B$2:$B$201,'Trial Rows'!B53,'Trial Rows'!$C$2:$C$201,'Trial Rows'!C53,'Trial Rows'!$F$2:$F$201,'Trial Rows'!F53,'Trial Rows'!$I$2:$I$201,'Trial Rows'!I53,'Trial Rows'!$Y$2:$Y$201,'Trial Rows'!Y53,'Trial Rows'!$G$2:$G$201,"A"),"")</x:f>
      </x:c>
      <x:c r="F53" s="2" t="n">
        <x:f>IF(AND(B53=1,'Trial Rows'!G53="B",C53=1,D53=1,ISNUMBER(E53),ISNUMBER('Trial Rows'!M53),'Trial Rows'!M53&gt;=0,'Trial Rows'!M53&lt;=4,'Trial Rows'!Q53=0,'Trial Rows'!S53=0),1,0)</x:f>
        <x:v>0</x:v>
      </x:c>
      <x:c r="G53" s="2" t="n">
        <x:f>IF(F53=1,IF(E53='Trial Rows'!M53,1,0),0)</x:f>
        <x:v>0</x:v>
      </x:c>
      <x:c r="H53" s="2" t="n">
        <x:f>IF(AND(B53=1,'Trial Rows'!G53="B",C53=1,D53=1,ISNUMBER(E53),'Trial Rows'!R53=1,'Trial Rows'!Q53=0,'Trial Rows'!S53=0,ISNUMBER('Trial Rows'!L53),'Trial Rows'!L53&gt;=0,'Trial Rows'!L53&lt;=4),1,0)</x:f>
        <x:v>0</x:v>
      </x:c>
      <x:c r="I53" s="2" t="n">
        <x:f>IF(H53=1,IF(E53='Trial Rows'!L53,1,0),0)</x:f>
        <x:v>0</x:v>
      </x:c>
      <x:c r="J53" s="2" t="n">
        <x:f>IF(AND(B53=1,'Trial Rows'!G53="B",'Trial Rows'!P53&gt;0),1,0)</x:f>
        <x:v>0</x:v>
      </x:c>
      <x:c r="K53" s="2" t="n">
        <x:f>IF(AND(B53=1,'Trial Rows'!G53="B",'Trial Rows'!Q53=1),1,0)</x:f>
        <x:v>0</x:v>
      </x:c>
      <x:c r="L53" s="2" t="n">
        <x:f>IF(AND(B53=1,'Trial Rows'!G53="B",'Trial Rows'!R53=1,'Trial Rows'!Q53=0,'Trial Rows'!S53=0),1,0)</x:f>
        <x:v>0</x:v>
      </x:c>
      <x:c r="M53" s="2" t="n">
        <x:f>IF(AND(B53=1,'Trial Rows'!G53="B"),1,0)</x:f>
        <x:v>0</x:v>
      </x:c>
      <x:c r="N53" s="2" t="n">
        <x:f>IF(AND(B53=1,'Trial Rows'!I53=1,COUNTIFS('Trial Rows'!$B$2:$B$201,'Trial Rows'!B53,'Trial Rows'!$C$2:$C$201,'Trial Rows'!C53,'Trial Rows'!$F$2:$F$201,'Trial Rows'!F53,'Trial Rows'!$G$2:$G$201,'Trial Rows'!G53,'Trial Rows'!$Y$2:$Y$201,'Trial Rows'!Y53)=4,COUNTIFS('Trial Rows'!$B$2:$B$201,'Trial Rows'!B53,'Trial Rows'!$C$2:$C$201,'Trial Rows'!C53,'Trial Rows'!$F$2:$F$201,'Trial Rows'!F53,'Trial Rows'!$G$2:$G$201,'Trial Rows'!G53,'Trial Rows'!$Y$2:$Y$201,'Trial Rows'!Y53,'Trial Rows'!$I$2:$I$201,1)=1,COUNTIFS('Trial Rows'!$B$2:$B$201,'Trial Rows'!B53,'Trial Rows'!$C$2:$C$201,'Trial Rows'!C53,'Trial Rows'!$F$2:$F$201,'Trial Rows'!F53,'Trial Rows'!$G$2:$G$201,'Trial Rows'!G53,'Trial Rows'!$Y$2:$Y$201,'Trial Rows'!Y53,'Trial Rows'!$I$2:$I$201,2)=1,COUNTIFS('Trial Rows'!$B$2:$B$201,'Trial Rows'!B53,'Trial Rows'!$C$2:$C$201,'Trial Rows'!C53,'Trial Rows'!$F$2:$F$201,'Trial Rows'!F53,'Trial Rows'!$G$2:$G$201,'Trial Rows'!G53,'Trial Rows'!$Y$2:$Y$201,'Trial Rows'!Y53,'Trial Rows'!$I$2:$I$201,3)=1,COUNTIFS('Trial Rows'!$B$2:$B$201,'Trial Rows'!B53,'Trial Rows'!$C$2:$C$201,'Trial Rows'!C53,'Trial Rows'!$F$2:$F$201,'Trial Rows'!F53,'Trial Rows'!$G$2:$G$201,'Trial Rows'!G53,'Trial Rows'!$Y$2:$Y$201,'Trial Rows'!Y53,'Trial Rows'!$I$2:$I$201,4)=1,COUNTIFS('Trial Rows'!$B$2:$B$201,'Trial Rows'!B53,'Trial Rows'!$C$2:$C$201,'Trial Rows'!C53,'Trial Rows'!$F$2:$F$201,'Trial Rows'!F53,'Trial Rows'!$G$2:$G$201,'Trial Rows'!G53,'Trial Rows'!$Y$2:$Y$201,'Trial Rows'!Y53,'Trial Rows'!$W$2:$W$201,"&lt;&gt;")=4,ISNUMBER('Trial Rows'!U53),COUNTIFS('Trial Rows'!$B$2:$B$201,'Trial Rows'!B53,'Trial Rows'!$C$2:$C$201,'Trial Rows'!C53,'Trial Rows'!$F$2:$F$201,'Trial Rows'!F53,'Trial Rows'!$G$2:$G$201,'Trial Rows'!G53,'Trial Rows'!$Y$2:$Y$201,'Trial Rows'!Y53,'Trial Rows'!$U$2:$U$201,'Trial Rows'!U53)=4,'Trial Rows'!U53&gt;=0),1,0)</x:f>
        <x:v>0</x:v>
      </x:c>
      <x:c r="O53" s="2" t="str">
        <x:f>IF(N53=1,'Trial Rows'!U53/1000,"")</x:f>
      </x:c>
      <x:c r="P53" s="2" t="str">
        <x:f>IF(AND(N53=1,'Trial Rows'!G53="A"),O53,"")</x:f>
      </x:c>
      <x:c r="Q53" s="2" t="str">
        <x:f>IF(AND(N53=1,'Trial Rows'!G53="B"),O53,"")</x:f>
      </x:c>
      <x:c r="R53" s="2" t="str">
        <x:f>IF(AND(N53=1,COUNTIFS('Trial Rows'!$B$2:$B$201,'Trial Rows'!B53,'Trial Rows'!$C$2:$C$201,'Trial Rows'!C53,'Trial Rows'!$F$2:$F$201,'Trial Rows'!F53,'Trial Rows'!$G$2:$G$201,'Trial Rows'!G53,'Trial Rows'!$Y$2:$Y$201,'Trial Rows'!Y53,'Trial Rows'!$N$2:$N$201,"&gt;=0",'Trial Rows'!$N$2:$N$201,"&lt;=4",'Trial Rows'!$N$2:$N$201,"&lt;&gt;")=4),SUMIFS('Trial Rows'!$N$2:$N$201,'Trial Rows'!$B$2:$B$201,'Trial Rows'!B53,'Trial Rows'!$C$2:$C$201,'Trial Rows'!C53,'Trial Rows'!$F$2:$F$201,'Trial Rows'!F53,'Trial Rows'!$G$2:$G$201,'Trial Rows'!G53,'Trial Rows'!$Y$2:$Y$201,'Trial Rows'!Y53,'Trial Rows'!$I$2:$I$201,1)+4-SUMIFS('Trial Rows'!$N$2:$N$201,'Trial Rows'!$B$2:$B$201,'Trial Rows'!B53,'Trial Rows'!$C$2:$C$201,'Trial Rows'!C53,'Trial Rows'!$F$2:$F$201,'Trial Rows'!F53,'Trial Rows'!$G$2:$G$201,'Trial Rows'!G53,'Trial Rows'!$Y$2:$Y$201,'Trial Rows'!Y53,'Trial Rows'!$I$2:$I$201,2)+4-SUMIFS('Trial Rows'!$N$2:$N$201,'Trial Rows'!$B$2:$B$201,'Trial Rows'!B53,'Trial Rows'!$C$2:$C$201,'Trial Rows'!C53,'Trial Rows'!$F$2:$F$201,'Trial Rows'!F53,'Trial Rows'!$G$2:$G$201,'Trial Rows'!G53,'Trial Rows'!$Y$2:$Y$201,'Trial Rows'!Y53,'Trial Rows'!$I$2:$I$201,3)+SUMIFS('Trial Rows'!$N$2:$N$201,'Trial Rows'!$B$2:$B$201,'Trial Rows'!B53,'Trial Rows'!$C$2:$C$201,'Trial Rows'!C53,'Trial Rows'!$F$2:$F$201,'Trial Rows'!F53,'Trial Rows'!$G$2:$G$201,'Trial Rows'!G53,'Trial Rows'!$Y$2:$Y$201,'Trial Rows'!Y53,'Trial Rows'!$I$2:$I$201,4),"")</x:f>
      </x:c>
      <x:c r="S53" s="2" t="n">
        <x:f>IF(AND(B53=1,COUNTIFS('Trial Rows'!$C$2:C53,'Trial Rows'!C53,'Trial Rows'!$F$2:F53,Summary!$B$5,'Trial Rows'!$Y$2:Y53,Summary!$B$4)=1),1,0)</x:f>
        <x:v>0</x:v>
      </x:c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 t="str">
        <x:f>IF('Trial Rows'!A54="","",'Trial Rows'!F54&amp;"|"&amp;'Trial Rows'!B54&amp;"|"&amp;'Trial Rows'!C54&amp;"|"&amp;'Trial Rows'!I54)</x:f>
      </x:c>
      <x:c r="B54" s="2" t="n">
        <x:f>IF(AND('Trial Rows'!A54&lt;&gt;"",'Trial Rows'!Y54=Summary!$B$4,'Trial Rows'!F54=Summary!$B$5),1,0)</x:f>
        <x:v>0</x:v>
      </x:c>
      <x:c r="C54" s="2" t="n">
        <x:f>IF(B54=1,COUNTIFS('Trial Rows'!$B$2:$B$201,'Trial Rows'!B54,'Trial Rows'!$C$2:$C$201,'Trial Rows'!C54,'Trial Rows'!$F$2:$F$201,'Trial Rows'!F54,'Trial Rows'!$I$2:$I$201,'Trial Rows'!I54,'Trial Rows'!$Y$2:$Y$201,'Trial Rows'!Y54,'Trial Rows'!$G$2:$G$201,"A"),0)</x:f>
        <x:v>0</x:v>
      </x:c>
      <x:c r="D54" s="2" t="n">
        <x:f>IF(B54=1,COUNTIFS('Trial Rows'!$B$2:$B$201,'Trial Rows'!B54,'Trial Rows'!$C$2:$C$201,'Trial Rows'!C54,'Trial Rows'!$F$2:$F$201,'Trial Rows'!F54,'Trial Rows'!$I$2:$I$201,'Trial Rows'!I54,'Trial Rows'!$Y$2:$Y$201,'Trial Rows'!Y54,'Trial Rows'!$G$2:$G$201,"B"),0)</x:f>
        <x:v>0</x:v>
      </x:c>
      <x:c r="E54" s="2" t="str">
        <x:f>IF(AND(C54=1,COUNTIFS('Trial Rows'!$B$2:$B$201,'Trial Rows'!B54,'Trial Rows'!$C$2:$C$201,'Trial Rows'!C54,'Trial Rows'!$F$2:$F$201,'Trial Rows'!F54,'Trial Rows'!$I$2:$I$201,'Trial Rows'!I54,'Trial Rows'!$Y$2:$Y$201,'Trial Rows'!Y54,'Trial Rows'!$G$2:$G$201,"A",'Trial Rows'!$K$2:$K$201,"&gt;=0",'Trial Rows'!$K$2:$K$201,"&lt;=4",'Trial Rows'!$K$2:$K$201,"&lt;&gt;")=1),SUMIFS('Trial Rows'!$K$2:$K$201,'Trial Rows'!$B$2:$B$201,'Trial Rows'!B54,'Trial Rows'!$C$2:$C$201,'Trial Rows'!C54,'Trial Rows'!$F$2:$F$201,'Trial Rows'!F54,'Trial Rows'!$I$2:$I$201,'Trial Rows'!I54,'Trial Rows'!$Y$2:$Y$201,'Trial Rows'!Y54,'Trial Rows'!$G$2:$G$201,"A"),"")</x:f>
      </x:c>
      <x:c r="F54" s="2" t="n">
        <x:f>IF(AND(B54=1,'Trial Rows'!G54="B",C54=1,D54=1,ISNUMBER(E54),ISNUMBER('Trial Rows'!M54),'Trial Rows'!M54&gt;=0,'Trial Rows'!M54&lt;=4,'Trial Rows'!Q54=0,'Trial Rows'!S54=0),1,0)</x:f>
        <x:v>0</x:v>
      </x:c>
      <x:c r="G54" s="2" t="n">
        <x:f>IF(F54=1,IF(E54='Trial Rows'!M54,1,0),0)</x:f>
        <x:v>0</x:v>
      </x:c>
      <x:c r="H54" s="2" t="n">
        <x:f>IF(AND(B54=1,'Trial Rows'!G54="B",C54=1,D54=1,ISNUMBER(E54),'Trial Rows'!R54=1,'Trial Rows'!Q54=0,'Trial Rows'!S54=0,ISNUMBER('Trial Rows'!L54),'Trial Rows'!L54&gt;=0,'Trial Rows'!L54&lt;=4),1,0)</x:f>
        <x:v>0</x:v>
      </x:c>
      <x:c r="I54" s="2" t="n">
        <x:f>IF(H54=1,IF(E54='Trial Rows'!L54,1,0),0)</x:f>
        <x:v>0</x:v>
      </x:c>
      <x:c r="J54" s="2" t="n">
        <x:f>IF(AND(B54=1,'Trial Rows'!G54="B",'Trial Rows'!P54&gt;0),1,0)</x:f>
        <x:v>0</x:v>
      </x:c>
      <x:c r="K54" s="2" t="n">
        <x:f>IF(AND(B54=1,'Trial Rows'!G54="B",'Trial Rows'!Q54=1),1,0)</x:f>
        <x:v>0</x:v>
      </x:c>
      <x:c r="L54" s="2" t="n">
        <x:f>IF(AND(B54=1,'Trial Rows'!G54="B",'Trial Rows'!R54=1,'Trial Rows'!Q54=0,'Trial Rows'!S54=0),1,0)</x:f>
        <x:v>0</x:v>
      </x:c>
      <x:c r="M54" s="2" t="n">
        <x:f>IF(AND(B54=1,'Trial Rows'!G54="B"),1,0)</x:f>
        <x:v>0</x:v>
      </x:c>
      <x:c r="N54" s="2" t="n">
        <x:f>IF(AND(B54=1,'Trial Rows'!I54=1,COUNTIFS('Trial Rows'!$B$2:$B$201,'Trial Rows'!B54,'Trial Rows'!$C$2:$C$201,'Trial Rows'!C54,'Trial Rows'!$F$2:$F$201,'Trial Rows'!F54,'Trial Rows'!$G$2:$G$201,'Trial Rows'!G54,'Trial Rows'!$Y$2:$Y$201,'Trial Rows'!Y54)=4,COUNTIFS('Trial Rows'!$B$2:$B$201,'Trial Rows'!B54,'Trial Rows'!$C$2:$C$201,'Trial Rows'!C54,'Trial Rows'!$F$2:$F$201,'Trial Rows'!F54,'Trial Rows'!$G$2:$G$201,'Trial Rows'!G54,'Trial Rows'!$Y$2:$Y$201,'Trial Rows'!Y54,'Trial Rows'!$I$2:$I$201,1)=1,COUNTIFS('Trial Rows'!$B$2:$B$201,'Trial Rows'!B54,'Trial Rows'!$C$2:$C$201,'Trial Rows'!C54,'Trial Rows'!$F$2:$F$201,'Trial Rows'!F54,'Trial Rows'!$G$2:$G$201,'Trial Rows'!G54,'Trial Rows'!$Y$2:$Y$201,'Trial Rows'!Y54,'Trial Rows'!$I$2:$I$201,2)=1,COUNTIFS('Trial Rows'!$B$2:$B$201,'Trial Rows'!B54,'Trial Rows'!$C$2:$C$201,'Trial Rows'!C54,'Trial Rows'!$F$2:$F$201,'Trial Rows'!F54,'Trial Rows'!$G$2:$G$201,'Trial Rows'!G54,'Trial Rows'!$Y$2:$Y$201,'Trial Rows'!Y54,'Trial Rows'!$I$2:$I$201,3)=1,COUNTIFS('Trial Rows'!$B$2:$B$201,'Trial Rows'!B54,'Trial Rows'!$C$2:$C$201,'Trial Rows'!C54,'Trial Rows'!$F$2:$F$201,'Trial Rows'!F54,'Trial Rows'!$G$2:$G$201,'Trial Rows'!G54,'Trial Rows'!$Y$2:$Y$201,'Trial Rows'!Y54,'Trial Rows'!$I$2:$I$201,4)=1,COUNTIFS('Trial Rows'!$B$2:$B$201,'Trial Rows'!B54,'Trial Rows'!$C$2:$C$201,'Trial Rows'!C54,'Trial Rows'!$F$2:$F$201,'Trial Rows'!F54,'Trial Rows'!$G$2:$G$201,'Trial Rows'!G54,'Trial Rows'!$Y$2:$Y$201,'Trial Rows'!Y54,'Trial Rows'!$W$2:$W$201,"&lt;&gt;")=4,ISNUMBER('Trial Rows'!U54),COUNTIFS('Trial Rows'!$B$2:$B$201,'Trial Rows'!B54,'Trial Rows'!$C$2:$C$201,'Trial Rows'!C54,'Trial Rows'!$F$2:$F$201,'Trial Rows'!F54,'Trial Rows'!$G$2:$G$201,'Trial Rows'!G54,'Trial Rows'!$Y$2:$Y$201,'Trial Rows'!Y54,'Trial Rows'!$U$2:$U$201,'Trial Rows'!U54)=4,'Trial Rows'!U54&gt;=0),1,0)</x:f>
        <x:v>0</x:v>
      </x:c>
      <x:c r="O54" s="2" t="str">
        <x:f>IF(N54=1,'Trial Rows'!U54/1000,"")</x:f>
      </x:c>
      <x:c r="P54" s="2" t="str">
        <x:f>IF(AND(N54=1,'Trial Rows'!G54="A"),O54,"")</x:f>
      </x:c>
      <x:c r="Q54" s="2" t="str">
        <x:f>IF(AND(N54=1,'Trial Rows'!G54="B"),O54,"")</x:f>
      </x:c>
      <x:c r="R54" s="2" t="str">
        <x:f>IF(AND(N54=1,COUNTIFS('Trial Rows'!$B$2:$B$201,'Trial Rows'!B54,'Trial Rows'!$C$2:$C$201,'Trial Rows'!C54,'Trial Rows'!$F$2:$F$201,'Trial Rows'!F54,'Trial Rows'!$G$2:$G$201,'Trial Rows'!G54,'Trial Rows'!$Y$2:$Y$201,'Trial Rows'!Y54,'Trial Rows'!$N$2:$N$201,"&gt;=0",'Trial Rows'!$N$2:$N$201,"&lt;=4",'Trial Rows'!$N$2:$N$201,"&lt;&gt;")=4),SUMIFS('Trial Rows'!$N$2:$N$201,'Trial Rows'!$B$2:$B$201,'Trial Rows'!B54,'Trial Rows'!$C$2:$C$201,'Trial Rows'!C54,'Trial Rows'!$F$2:$F$201,'Trial Rows'!F54,'Trial Rows'!$G$2:$G$201,'Trial Rows'!G54,'Trial Rows'!$Y$2:$Y$201,'Trial Rows'!Y54,'Trial Rows'!$I$2:$I$201,1)+4-SUMIFS('Trial Rows'!$N$2:$N$201,'Trial Rows'!$B$2:$B$201,'Trial Rows'!B54,'Trial Rows'!$C$2:$C$201,'Trial Rows'!C54,'Trial Rows'!$F$2:$F$201,'Trial Rows'!F54,'Trial Rows'!$G$2:$G$201,'Trial Rows'!G54,'Trial Rows'!$Y$2:$Y$201,'Trial Rows'!Y54,'Trial Rows'!$I$2:$I$201,2)+4-SUMIFS('Trial Rows'!$N$2:$N$201,'Trial Rows'!$B$2:$B$201,'Trial Rows'!B54,'Trial Rows'!$C$2:$C$201,'Trial Rows'!C54,'Trial Rows'!$F$2:$F$201,'Trial Rows'!F54,'Trial Rows'!$G$2:$G$201,'Trial Rows'!G54,'Trial Rows'!$Y$2:$Y$201,'Trial Rows'!Y54,'Trial Rows'!$I$2:$I$201,3)+SUMIFS('Trial Rows'!$N$2:$N$201,'Trial Rows'!$B$2:$B$201,'Trial Rows'!B54,'Trial Rows'!$C$2:$C$201,'Trial Rows'!C54,'Trial Rows'!$F$2:$F$201,'Trial Rows'!F54,'Trial Rows'!$G$2:$G$201,'Trial Rows'!G54,'Trial Rows'!$Y$2:$Y$201,'Trial Rows'!Y54,'Trial Rows'!$I$2:$I$201,4),"")</x:f>
      </x:c>
      <x:c r="S54" s="2" t="n">
        <x:f>IF(AND(B54=1,COUNTIFS('Trial Rows'!$C$2:C54,'Trial Rows'!C54,'Trial Rows'!$F$2:F54,Summary!$B$5,'Trial Rows'!$Y$2:Y54,Summary!$B$4)=1),1,0)</x:f>
        <x:v>0</x:v>
      </x:c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 t="str">
        <x:f>IF('Trial Rows'!A55="","",'Trial Rows'!F55&amp;"|"&amp;'Trial Rows'!B55&amp;"|"&amp;'Trial Rows'!C55&amp;"|"&amp;'Trial Rows'!I55)</x:f>
      </x:c>
      <x:c r="B55" s="2" t="n">
        <x:f>IF(AND('Trial Rows'!A55&lt;&gt;"",'Trial Rows'!Y55=Summary!$B$4,'Trial Rows'!F55=Summary!$B$5),1,0)</x:f>
        <x:v>0</x:v>
      </x:c>
      <x:c r="C55" s="2" t="n">
        <x:f>IF(B55=1,COUNTIFS('Trial Rows'!$B$2:$B$201,'Trial Rows'!B55,'Trial Rows'!$C$2:$C$201,'Trial Rows'!C55,'Trial Rows'!$F$2:$F$201,'Trial Rows'!F55,'Trial Rows'!$I$2:$I$201,'Trial Rows'!I55,'Trial Rows'!$Y$2:$Y$201,'Trial Rows'!Y55,'Trial Rows'!$G$2:$G$201,"A"),0)</x:f>
        <x:v>0</x:v>
      </x:c>
      <x:c r="D55" s="2" t="n">
        <x:f>IF(B55=1,COUNTIFS('Trial Rows'!$B$2:$B$201,'Trial Rows'!B55,'Trial Rows'!$C$2:$C$201,'Trial Rows'!C55,'Trial Rows'!$F$2:$F$201,'Trial Rows'!F55,'Trial Rows'!$I$2:$I$201,'Trial Rows'!I55,'Trial Rows'!$Y$2:$Y$201,'Trial Rows'!Y55,'Trial Rows'!$G$2:$G$201,"B"),0)</x:f>
        <x:v>0</x:v>
      </x:c>
      <x:c r="E55" s="2" t="str">
        <x:f>IF(AND(C55=1,COUNTIFS('Trial Rows'!$B$2:$B$201,'Trial Rows'!B55,'Trial Rows'!$C$2:$C$201,'Trial Rows'!C55,'Trial Rows'!$F$2:$F$201,'Trial Rows'!F55,'Trial Rows'!$I$2:$I$201,'Trial Rows'!I55,'Trial Rows'!$Y$2:$Y$201,'Trial Rows'!Y55,'Trial Rows'!$G$2:$G$201,"A",'Trial Rows'!$K$2:$K$201,"&gt;=0",'Trial Rows'!$K$2:$K$201,"&lt;=4",'Trial Rows'!$K$2:$K$201,"&lt;&gt;")=1),SUMIFS('Trial Rows'!$K$2:$K$201,'Trial Rows'!$B$2:$B$201,'Trial Rows'!B55,'Trial Rows'!$C$2:$C$201,'Trial Rows'!C55,'Trial Rows'!$F$2:$F$201,'Trial Rows'!F55,'Trial Rows'!$I$2:$I$201,'Trial Rows'!I55,'Trial Rows'!$Y$2:$Y$201,'Trial Rows'!Y55,'Trial Rows'!$G$2:$G$201,"A"),"")</x:f>
      </x:c>
      <x:c r="F55" s="2" t="n">
        <x:f>IF(AND(B55=1,'Trial Rows'!G55="B",C55=1,D55=1,ISNUMBER(E55),ISNUMBER('Trial Rows'!M55),'Trial Rows'!M55&gt;=0,'Trial Rows'!M55&lt;=4,'Trial Rows'!Q55=0,'Trial Rows'!S55=0),1,0)</x:f>
        <x:v>0</x:v>
      </x:c>
      <x:c r="G55" s="2" t="n">
        <x:f>IF(F55=1,IF(E55='Trial Rows'!M55,1,0),0)</x:f>
        <x:v>0</x:v>
      </x:c>
      <x:c r="H55" s="2" t="n">
        <x:f>IF(AND(B55=1,'Trial Rows'!G55="B",C55=1,D55=1,ISNUMBER(E55),'Trial Rows'!R55=1,'Trial Rows'!Q55=0,'Trial Rows'!S55=0,ISNUMBER('Trial Rows'!L55),'Trial Rows'!L55&gt;=0,'Trial Rows'!L55&lt;=4),1,0)</x:f>
        <x:v>0</x:v>
      </x:c>
      <x:c r="I55" s="2" t="n">
        <x:f>IF(H55=1,IF(E55='Trial Rows'!L55,1,0),0)</x:f>
        <x:v>0</x:v>
      </x:c>
      <x:c r="J55" s="2" t="n">
        <x:f>IF(AND(B55=1,'Trial Rows'!G55="B",'Trial Rows'!P55&gt;0),1,0)</x:f>
        <x:v>0</x:v>
      </x:c>
      <x:c r="K55" s="2" t="n">
        <x:f>IF(AND(B55=1,'Trial Rows'!G55="B",'Trial Rows'!Q55=1),1,0)</x:f>
        <x:v>0</x:v>
      </x:c>
      <x:c r="L55" s="2" t="n">
        <x:f>IF(AND(B55=1,'Trial Rows'!G55="B",'Trial Rows'!R55=1,'Trial Rows'!Q55=0,'Trial Rows'!S55=0),1,0)</x:f>
        <x:v>0</x:v>
      </x:c>
      <x:c r="M55" s="2" t="n">
        <x:f>IF(AND(B55=1,'Trial Rows'!G55="B"),1,0)</x:f>
        <x:v>0</x:v>
      </x:c>
      <x:c r="N55" s="2" t="n">
        <x:f>IF(AND(B55=1,'Trial Rows'!I55=1,COUNTIFS('Trial Rows'!$B$2:$B$201,'Trial Rows'!B55,'Trial Rows'!$C$2:$C$201,'Trial Rows'!C55,'Trial Rows'!$F$2:$F$201,'Trial Rows'!F55,'Trial Rows'!$G$2:$G$201,'Trial Rows'!G55,'Trial Rows'!$Y$2:$Y$201,'Trial Rows'!Y55)=4,COUNTIFS('Trial Rows'!$B$2:$B$201,'Trial Rows'!B55,'Trial Rows'!$C$2:$C$201,'Trial Rows'!C55,'Trial Rows'!$F$2:$F$201,'Trial Rows'!F55,'Trial Rows'!$G$2:$G$201,'Trial Rows'!G55,'Trial Rows'!$Y$2:$Y$201,'Trial Rows'!Y55,'Trial Rows'!$I$2:$I$201,1)=1,COUNTIFS('Trial Rows'!$B$2:$B$201,'Trial Rows'!B55,'Trial Rows'!$C$2:$C$201,'Trial Rows'!C55,'Trial Rows'!$F$2:$F$201,'Trial Rows'!F55,'Trial Rows'!$G$2:$G$201,'Trial Rows'!G55,'Trial Rows'!$Y$2:$Y$201,'Trial Rows'!Y55,'Trial Rows'!$I$2:$I$201,2)=1,COUNTIFS('Trial Rows'!$B$2:$B$201,'Trial Rows'!B55,'Trial Rows'!$C$2:$C$201,'Trial Rows'!C55,'Trial Rows'!$F$2:$F$201,'Trial Rows'!F55,'Trial Rows'!$G$2:$G$201,'Trial Rows'!G55,'Trial Rows'!$Y$2:$Y$201,'Trial Rows'!Y55,'Trial Rows'!$I$2:$I$201,3)=1,COUNTIFS('Trial Rows'!$B$2:$B$201,'Trial Rows'!B55,'Trial Rows'!$C$2:$C$201,'Trial Rows'!C55,'Trial Rows'!$F$2:$F$201,'Trial Rows'!F55,'Trial Rows'!$G$2:$G$201,'Trial Rows'!G55,'Trial Rows'!$Y$2:$Y$201,'Trial Rows'!Y55,'Trial Rows'!$I$2:$I$201,4)=1,COUNTIFS('Trial Rows'!$B$2:$B$201,'Trial Rows'!B55,'Trial Rows'!$C$2:$C$201,'Trial Rows'!C55,'Trial Rows'!$F$2:$F$201,'Trial Rows'!F55,'Trial Rows'!$G$2:$G$201,'Trial Rows'!G55,'Trial Rows'!$Y$2:$Y$201,'Trial Rows'!Y55,'Trial Rows'!$W$2:$W$201,"&lt;&gt;")=4,ISNUMBER('Trial Rows'!U55),COUNTIFS('Trial Rows'!$B$2:$B$201,'Trial Rows'!B55,'Trial Rows'!$C$2:$C$201,'Trial Rows'!C55,'Trial Rows'!$F$2:$F$201,'Trial Rows'!F55,'Trial Rows'!$G$2:$G$201,'Trial Rows'!G55,'Trial Rows'!$Y$2:$Y$201,'Trial Rows'!Y55,'Trial Rows'!$U$2:$U$201,'Trial Rows'!U55)=4,'Trial Rows'!U55&gt;=0),1,0)</x:f>
        <x:v>0</x:v>
      </x:c>
      <x:c r="O55" s="2" t="str">
        <x:f>IF(N55=1,'Trial Rows'!U55/1000,"")</x:f>
      </x:c>
      <x:c r="P55" s="2" t="str">
        <x:f>IF(AND(N55=1,'Trial Rows'!G55="A"),O55,"")</x:f>
      </x:c>
      <x:c r="Q55" s="2" t="str">
        <x:f>IF(AND(N55=1,'Trial Rows'!G55="B"),O55,"")</x:f>
      </x:c>
      <x:c r="R55" s="2" t="str">
        <x:f>IF(AND(N55=1,COUNTIFS('Trial Rows'!$B$2:$B$201,'Trial Rows'!B55,'Trial Rows'!$C$2:$C$201,'Trial Rows'!C55,'Trial Rows'!$F$2:$F$201,'Trial Rows'!F55,'Trial Rows'!$G$2:$G$201,'Trial Rows'!G55,'Trial Rows'!$Y$2:$Y$201,'Trial Rows'!Y55,'Trial Rows'!$N$2:$N$201,"&gt;=0",'Trial Rows'!$N$2:$N$201,"&lt;=4",'Trial Rows'!$N$2:$N$201,"&lt;&gt;")=4),SUMIFS('Trial Rows'!$N$2:$N$201,'Trial Rows'!$B$2:$B$201,'Trial Rows'!B55,'Trial Rows'!$C$2:$C$201,'Trial Rows'!C55,'Trial Rows'!$F$2:$F$201,'Trial Rows'!F55,'Trial Rows'!$G$2:$G$201,'Trial Rows'!G55,'Trial Rows'!$Y$2:$Y$201,'Trial Rows'!Y55,'Trial Rows'!$I$2:$I$201,1)+4-SUMIFS('Trial Rows'!$N$2:$N$201,'Trial Rows'!$B$2:$B$201,'Trial Rows'!B55,'Trial Rows'!$C$2:$C$201,'Trial Rows'!C55,'Trial Rows'!$F$2:$F$201,'Trial Rows'!F55,'Trial Rows'!$G$2:$G$201,'Trial Rows'!G55,'Trial Rows'!$Y$2:$Y$201,'Trial Rows'!Y55,'Trial Rows'!$I$2:$I$201,2)+4-SUMIFS('Trial Rows'!$N$2:$N$201,'Trial Rows'!$B$2:$B$201,'Trial Rows'!B55,'Trial Rows'!$C$2:$C$201,'Trial Rows'!C55,'Trial Rows'!$F$2:$F$201,'Trial Rows'!F55,'Trial Rows'!$G$2:$G$201,'Trial Rows'!G55,'Trial Rows'!$Y$2:$Y$201,'Trial Rows'!Y55,'Trial Rows'!$I$2:$I$201,3)+SUMIFS('Trial Rows'!$N$2:$N$201,'Trial Rows'!$B$2:$B$201,'Trial Rows'!B55,'Trial Rows'!$C$2:$C$201,'Trial Rows'!C55,'Trial Rows'!$F$2:$F$201,'Trial Rows'!F55,'Trial Rows'!$G$2:$G$201,'Trial Rows'!G55,'Trial Rows'!$Y$2:$Y$201,'Trial Rows'!Y55,'Trial Rows'!$I$2:$I$201,4),"")</x:f>
      </x:c>
      <x:c r="S55" s="2" t="n">
        <x:f>IF(AND(B55=1,COUNTIFS('Trial Rows'!$C$2:C55,'Trial Rows'!C55,'Trial Rows'!$F$2:F55,Summary!$B$5,'Trial Rows'!$Y$2:Y55,Summary!$B$4)=1),1,0)</x:f>
        <x:v>0</x:v>
      </x:c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 t="str">
        <x:f>IF('Trial Rows'!A56="","",'Trial Rows'!F56&amp;"|"&amp;'Trial Rows'!B56&amp;"|"&amp;'Trial Rows'!C56&amp;"|"&amp;'Trial Rows'!I56)</x:f>
      </x:c>
      <x:c r="B56" s="2" t="n">
        <x:f>IF(AND('Trial Rows'!A56&lt;&gt;"",'Trial Rows'!Y56=Summary!$B$4,'Trial Rows'!F56=Summary!$B$5),1,0)</x:f>
        <x:v>0</x:v>
      </x:c>
      <x:c r="C56" s="2" t="n">
        <x:f>IF(B56=1,COUNTIFS('Trial Rows'!$B$2:$B$201,'Trial Rows'!B56,'Trial Rows'!$C$2:$C$201,'Trial Rows'!C56,'Trial Rows'!$F$2:$F$201,'Trial Rows'!F56,'Trial Rows'!$I$2:$I$201,'Trial Rows'!I56,'Trial Rows'!$Y$2:$Y$201,'Trial Rows'!Y56,'Trial Rows'!$G$2:$G$201,"A"),0)</x:f>
        <x:v>0</x:v>
      </x:c>
      <x:c r="D56" s="2" t="n">
        <x:f>IF(B56=1,COUNTIFS('Trial Rows'!$B$2:$B$201,'Trial Rows'!B56,'Trial Rows'!$C$2:$C$201,'Trial Rows'!C56,'Trial Rows'!$F$2:$F$201,'Trial Rows'!F56,'Trial Rows'!$I$2:$I$201,'Trial Rows'!I56,'Trial Rows'!$Y$2:$Y$201,'Trial Rows'!Y56,'Trial Rows'!$G$2:$G$201,"B"),0)</x:f>
        <x:v>0</x:v>
      </x:c>
      <x:c r="E56" s="2" t="str">
        <x:f>IF(AND(C56=1,COUNTIFS('Trial Rows'!$B$2:$B$201,'Trial Rows'!B56,'Trial Rows'!$C$2:$C$201,'Trial Rows'!C56,'Trial Rows'!$F$2:$F$201,'Trial Rows'!F56,'Trial Rows'!$I$2:$I$201,'Trial Rows'!I56,'Trial Rows'!$Y$2:$Y$201,'Trial Rows'!Y56,'Trial Rows'!$G$2:$G$201,"A",'Trial Rows'!$K$2:$K$201,"&gt;=0",'Trial Rows'!$K$2:$K$201,"&lt;=4",'Trial Rows'!$K$2:$K$201,"&lt;&gt;")=1),SUMIFS('Trial Rows'!$K$2:$K$201,'Trial Rows'!$B$2:$B$201,'Trial Rows'!B56,'Trial Rows'!$C$2:$C$201,'Trial Rows'!C56,'Trial Rows'!$F$2:$F$201,'Trial Rows'!F56,'Trial Rows'!$I$2:$I$201,'Trial Rows'!I56,'Trial Rows'!$Y$2:$Y$201,'Trial Rows'!Y56,'Trial Rows'!$G$2:$G$201,"A"),"")</x:f>
      </x:c>
      <x:c r="F56" s="2" t="n">
        <x:f>IF(AND(B56=1,'Trial Rows'!G56="B",C56=1,D56=1,ISNUMBER(E56),ISNUMBER('Trial Rows'!M56),'Trial Rows'!M56&gt;=0,'Trial Rows'!M56&lt;=4,'Trial Rows'!Q56=0,'Trial Rows'!S56=0),1,0)</x:f>
        <x:v>0</x:v>
      </x:c>
      <x:c r="G56" s="2" t="n">
        <x:f>IF(F56=1,IF(E56='Trial Rows'!M56,1,0),0)</x:f>
        <x:v>0</x:v>
      </x:c>
      <x:c r="H56" s="2" t="n">
        <x:f>IF(AND(B56=1,'Trial Rows'!G56="B",C56=1,D56=1,ISNUMBER(E56),'Trial Rows'!R56=1,'Trial Rows'!Q56=0,'Trial Rows'!S56=0,ISNUMBER('Trial Rows'!L56),'Trial Rows'!L56&gt;=0,'Trial Rows'!L56&lt;=4),1,0)</x:f>
        <x:v>0</x:v>
      </x:c>
      <x:c r="I56" s="2" t="n">
        <x:f>IF(H56=1,IF(E56='Trial Rows'!L56,1,0),0)</x:f>
        <x:v>0</x:v>
      </x:c>
      <x:c r="J56" s="2" t="n">
        <x:f>IF(AND(B56=1,'Trial Rows'!G56="B",'Trial Rows'!P56&gt;0),1,0)</x:f>
        <x:v>0</x:v>
      </x:c>
      <x:c r="K56" s="2" t="n">
        <x:f>IF(AND(B56=1,'Trial Rows'!G56="B",'Trial Rows'!Q56=1),1,0)</x:f>
        <x:v>0</x:v>
      </x:c>
      <x:c r="L56" s="2" t="n">
        <x:f>IF(AND(B56=1,'Trial Rows'!G56="B",'Trial Rows'!R56=1,'Trial Rows'!Q56=0,'Trial Rows'!S56=0),1,0)</x:f>
        <x:v>0</x:v>
      </x:c>
      <x:c r="M56" s="2" t="n">
        <x:f>IF(AND(B56=1,'Trial Rows'!G56="B"),1,0)</x:f>
        <x:v>0</x:v>
      </x:c>
      <x:c r="N56" s="2" t="n">
        <x:f>IF(AND(B56=1,'Trial Rows'!I56=1,COUNTIFS('Trial Rows'!$B$2:$B$201,'Trial Rows'!B56,'Trial Rows'!$C$2:$C$201,'Trial Rows'!C56,'Trial Rows'!$F$2:$F$201,'Trial Rows'!F56,'Trial Rows'!$G$2:$G$201,'Trial Rows'!G56,'Trial Rows'!$Y$2:$Y$201,'Trial Rows'!Y56)=4,COUNTIFS('Trial Rows'!$B$2:$B$201,'Trial Rows'!B56,'Trial Rows'!$C$2:$C$201,'Trial Rows'!C56,'Trial Rows'!$F$2:$F$201,'Trial Rows'!F56,'Trial Rows'!$G$2:$G$201,'Trial Rows'!G56,'Trial Rows'!$Y$2:$Y$201,'Trial Rows'!Y56,'Trial Rows'!$I$2:$I$201,1)=1,COUNTIFS('Trial Rows'!$B$2:$B$201,'Trial Rows'!B56,'Trial Rows'!$C$2:$C$201,'Trial Rows'!C56,'Trial Rows'!$F$2:$F$201,'Trial Rows'!F56,'Trial Rows'!$G$2:$G$201,'Trial Rows'!G56,'Trial Rows'!$Y$2:$Y$201,'Trial Rows'!Y56,'Trial Rows'!$I$2:$I$201,2)=1,COUNTIFS('Trial Rows'!$B$2:$B$201,'Trial Rows'!B56,'Trial Rows'!$C$2:$C$201,'Trial Rows'!C56,'Trial Rows'!$F$2:$F$201,'Trial Rows'!F56,'Trial Rows'!$G$2:$G$201,'Trial Rows'!G56,'Trial Rows'!$Y$2:$Y$201,'Trial Rows'!Y56,'Trial Rows'!$I$2:$I$201,3)=1,COUNTIFS('Trial Rows'!$B$2:$B$201,'Trial Rows'!B56,'Trial Rows'!$C$2:$C$201,'Trial Rows'!C56,'Trial Rows'!$F$2:$F$201,'Trial Rows'!F56,'Trial Rows'!$G$2:$G$201,'Trial Rows'!G56,'Trial Rows'!$Y$2:$Y$201,'Trial Rows'!Y56,'Trial Rows'!$I$2:$I$201,4)=1,COUNTIFS('Trial Rows'!$B$2:$B$201,'Trial Rows'!B56,'Trial Rows'!$C$2:$C$201,'Trial Rows'!C56,'Trial Rows'!$F$2:$F$201,'Trial Rows'!F56,'Trial Rows'!$G$2:$G$201,'Trial Rows'!G56,'Trial Rows'!$Y$2:$Y$201,'Trial Rows'!Y56,'Trial Rows'!$W$2:$W$201,"&lt;&gt;")=4,ISNUMBER('Trial Rows'!U56),COUNTIFS('Trial Rows'!$B$2:$B$201,'Trial Rows'!B56,'Trial Rows'!$C$2:$C$201,'Trial Rows'!C56,'Trial Rows'!$F$2:$F$201,'Trial Rows'!F56,'Trial Rows'!$G$2:$G$201,'Trial Rows'!G56,'Trial Rows'!$Y$2:$Y$201,'Trial Rows'!Y56,'Trial Rows'!$U$2:$U$201,'Trial Rows'!U56)=4,'Trial Rows'!U56&gt;=0),1,0)</x:f>
        <x:v>0</x:v>
      </x:c>
      <x:c r="O56" s="2" t="str">
        <x:f>IF(N56=1,'Trial Rows'!U56/1000,"")</x:f>
      </x:c>
      <x:c r="P56" s="2" t="str">
        <x:f>IF(AND(N56=1,'Trial Rows'!G56="A"),O56,"")</x:f>
      </x:c>
      <x:c r="Q56" s="2" t="str">
        <x:f>IF(AND(N56=1,'Trial Rows'!G56="B"),O56,"")</x:f>
      </x:c>
      <x:c r="R56" s="2" t="str">
        <x:f>IF(AND(N56=1,COUNTIFS('Trial Rows'!$B$2:$B$201,'Trial Rows'!B56,'Trial Rows'!$C$2:$C$201,'Trial Rows'!C56,'Trial Rows'!$F$2:$F$201,'Trial Rows'!F56,'Trial Rows'!$G$2:$G$201,'Trial Rows'!G56,'Trial Rows'!$Y$2:$Y$201,'Trial Rows'!Y56,'Trial Rows'!$N$2:$N$201,"&gt;=0",'Trial Rows'!$N$2:$N$201,"&lt;=4",'Trial Rows'!$N$2:$N$201,"&lt;&gt;")=4),SUMIFS('Trial Rows'!$N$2:$N$201,'Trial Rows'!$B$2:$B$201,'Trial Rows'!B56,'Trial Rows'!$C$2:$C$201,'Trial Rows'!C56,'Trial Rows'!$F$2:$F$201,'Trial Rows'!F56,'Trial Rows'!$G$2:$G$201,'Trial Rows'!G56,'Trial Rows'!$Y$2:$Y$201,'Trial Rows'!Y56,'Trial Rows'!$I$2:$I$201,1)+4-SUMIFS('Trial Rows'!$N$2:$N$201,'Trial Rows'!$B$2:$B$201,'Trial Rows'!B56,'Trial Rows'!$C$2:$C$201,'Trial Rows'!C56,'Trial Rows'!$F$2:$F$201,'Trial Rows'!F56,'Trial Rows'!$G$2:$G$201,'Trial Rows'!G56,'Trial Rows'!$Y$2:$Y$201,'Trial Rows'!Y56,'Trial Rows'!$I$2:$I$201,2)+4-SUMIFS('Trial Rows'!$N$2:$N$201,'Trial Rows'!$B$2:$B$201,'Trial Rows'!B56,'Trial Rows'!$C$2:$C$201,'Trial Rows'!C56,'Trial Rows'!$F$2:$F$201,'Trial Rows'!F56,'Trial Rows'!$G$2:$G$201,'Trial Rows'!G56,'Trial Rows'!$Y$2:$Y$201,'Trial Rows'!Y56,'Trial Rows'!$I$2:$I$201,3)+SUMIFS('Trial Rows'!$N$2:$N$201,'Trial Rows'!$B$2:$B$201,'Trial Rows'!B56,'Trial Rows'!$C$2:$C$201,'Trial Rows'!C56,'Trial Rows'!$F$2:$F$201,'Trial Rows'!F56,'Trial Rows'!$G$2:$G$201,'Trial Rows'!G56,'Trial Rows'!$Y$2:$Y$201,'Trial Rows'!Y56,'Trial Rows'!$I$2:$I$201,4),"")</x:f>
      </x:c>
      <x:c r="S56" s="2" t="n">
        <x:f>IF(AND(B56=1,COUNTIFS('Trial Rows'!$C$2:C56,'Trial Rows'!C56,'Trial Rows'!$F$2:F56,Summary!$B$5,'Trial Rows'!$Y$2:Y56,Summary!$B$4)=1),1,0)</x:f>
        <x:v>0</x:v>
      </x:c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 t="str">
        <x:f>IF('Trial Rows'!A57="","",'Trial Rows'!F57&amp;"|"&amp;'Trial Rows'!B57&amp;"|"&amp;'Trial Rows'!C57&amp;"|"&amp;'Trial Rows'!I57)</x:f>
      </x:c>
      <x:c r="B57" s="2" t="n">
        <x:f>IF(AND('Trial Rows'!A57&lt;&gt;"",'Trial Rows'!Y57=Summary!$B$4,'Trial Rows'!F57=Summary!$B$5),1,0)</x:f>
        <x:v>0</x:v>
      </x:c>
      <x:c r="C57" s="2" t="n">
        <x:f>IF(B57=1,COUNTIFS('Trial Rows'!$B$2:$B$201,'Trial Rows'!B57,'Trial Rows'!$C$2:$C$201,'Trial Rows'!C57,'Trial Rows'!$F$2:$F$201,'Trial Rows'!F57,'Trial Rows'!$I$2:$I$201,'Trial Rows'!I57,'Trial Rows'!$Y$2:$Y$201,'Trial Rows'!Y57,'Trial Rows'!$G$2:$G$201,"A"),0)</x:f>
        <x:v>0</x:v>
      </x:c>
      <x:c r="D57" s="2" t="n">
        <x:f>IF(B57=1,COUNTIFS('Trial Rows'!$B$2:$B$201,'Trial Rows'!B57,'Trial Rows'!$C$2:$C$201,'Trial Rows'!C57,'Trial Rows'!$F$2:$F$201,'Trial Rows'!F57,'Trial Rows'!$I$2:$I$201,'Trial Rows'!I57,'Trial Rows'!$Y$2:$Y$201,'Trial Rows'!Y57,'Trial Rows'!$G$2:$G$201,"B"),0)</x:f>
        <x:v>0</x:v>
      </x:c>
      <x:c r="E57" s="2" t="str">
        <x:f>IF(AND(C57=1,COUNTIFS('Trial Rows'!$B$2:$B$201,'Trial Rows'!B57,'Trial Rows'!$C$2:$C$201,'Trial Rows'!C57,'Trial Rows'!$F$2:$F$201,'Trial Rows'!F57,'Trial Rows'!$I$2:$I$201,'Trial Rows'!I57,'Trial Rows'!$Y$2:$Y$201,'Trial Rows'!Y57,'Trial Rows'!$G$2:$G$201,"A",'Trial Rows'!$K$2:$K$201,"&gt;=0",'Trial Rows'!$K$2:$K$201,"&lt;=4",'Trial Rows'!$K$2:$K$201,"&lt;&gt;")=1),SUMIFS('Trial Rows'!$K$2:$K$201,'Trial Rows'!$B$2:$B$201,'Trial Rows'!B57,'Trial Rows'!$C$2:$C$201,'Trial Rows'!C57,'Trial Rows'!$F$2:$F$201,'Trial Rows'!F57,'Trial Rows'!$I$2:$I$201,'Trial Rows'!I57,'Trial Rows'!$Y$2:$Y$201,'Trial Rows'!Y57,'Trial Rows'!$G$2:$G$201,"A"),"")</x:f>
      </x:c>
      <x:c r="F57" s="2" t="n">
        <x:f>IF(AND(B57=1,'Trial Rows'!G57="B",C57=1,D57=1,ISNUMBER(E57),ISNUMBER('Trial Rows'!M57),'Trial Rows'!M57&gt;=0,'Trial Rows'!M57&lt;=4,'Trial Rows'!Q57=0,'Trial Rows'!S57=0),1,0)</x:f>
        <x:v>0</x:v>
      </x:c>
      <x:c r="G57" s="2" t="n">
        <x:f>IF(F57=1,IF(E57='Trial Rows'!M57,1,0),0)</x:f>
        <x:v>0</x:v>
      </x:c>
      <x:c r="H57" s="2" t="n">
        <x:f>IF(AND(B57=1,'Trial Rows'!G57="B",C57=1,D57=1,ISNUMBER(E57),'Trial Rows'!R57=1,'Trial Rows'!Q57=0,'Trial Rows'!S57=0,ISNUMBER('Trial Rows'!L57),'Trial Rows'!L57&gt;=0,'Trial Rows'!L57&lt;=4),1,0)</x:f>
        <x:v>0</x:v>
      </x:c>
      <x:c r="I57" s="2" t="n">
        <x:f>IF(H57=1,IF(E57='Trial Rows'!L57,1,0),0)</x:f>
        <x:v>0</x:v>
      </x:c>
      <x:c r="J57" s="2" t="n">
        <x:f>IF(AND(B57=1,'Trial Rows'!G57="B",'Trial Rows'!P57&gt;0),1,0)</x:f>
        <x:v>0</x:v>
      </x:c>
      <x:c r="K57" s="2" t="n">
        <x:f>IF(AND(B57=1,'Trial Rows'!G57="B",'Trial Rows'!Q57=1),1,0)</x:f>
        <x:v>0</x:v>
      </x:c>
      <x:c r="L57" s="2" t="n">
        <x:f>IF(AND(B57=1,'Trial Rows'!G57="B",'Trial Rows'!R57=1,'Trial Rows'!Q57=0,'Trial Rows'!S57=0),1,0)</x:f>
        <x:v>0</x:v>
      </x:c>
      <x:c r="M57" s="2" t="n">
        <x:f>IF(AND(B57=1,'Trial Rows'!G57="B"),1,0)</x:f>
        <x:v>0</x:v>
      </x:c>
      <x:c r="N57" s="2" t="n">
        <x:f>IF(AND(B57=1,'Trial Rows'!I57=1,COUNTIFS('Trial Rows'!$B$2:$B$201,'Trial Rows'!B57,'Trial Rows'!$C$2:$C$201,'Trial Rows'!C57,'Trial Rows'!$F$2:$F$201,'Trial Rows'!F57,'Trial Rows'!$G$2:$G$201,'Trial Rows'!G57,'Trial Rows'!$Y$2:$Y$201,'Trial Rows'!Y57)=4,COUNTIFS('Trial Rows'!$B$2:$B$201,'Trial Rows'!B57,'Trial Rows'!$C$2:$C$201,'Trial Rows'!C57,'Trial Rows'!$F$2:$F$201,'Trial Rows'!F57,'Trial Rows'!$G$2:$G$201,'Trial Rows'!G57,'Trial Rows'!$Y$2:$Y$201,'Trial Rows'!Y57,'Trial Rows'!$I$2:$I$201,1)=1,COUNTIFS('Trial Rows'!$B$2:$B$201,'Trial Rows'!B57,'Trial Rows'!$C$2:$C$201,'Trial Rows'!C57,'Trial Rows'!$F$2:$F$201,'Trial Rows'!F57,'Trial Rows'!$G$2:$G$201,'Trial Rows'!G57,'Trial Rows'!$Y$2:$Y$201,'Trial Rows'!Y57,'Trial Rows'!$I$2:$I$201,2)=1,COUNTIFS('Trial Rows'!$B$2:$B$201,'Trial Rows'!B57,'Trial Rows'!$C$2:$C$201,'Trial Rows'!C57,'Trial Rows'!$F$2:$F$201,'Trial Rows'!F57,'Trial Rows'!$G$2:$G$201,'Trial Rows'!G57,'Trial Rows'!$Y$2:$Y$201,'Trial Rows'!Y57,'Trial Rows'!$I$2:$I$201,3)=1,COUNTIFS('Trial Rows'!$B$2:$B$201,'Trial Rows'!B57,'Trial Rows'!$C$2:$C$201,'Trial Rows'!C57,'Trial Rows'!$F$2:$F$201,'Trial Rows'!F57,'Trial Rows'!$G$2:$G$201,'Trial Rows'!G57,'Trial Rows'!$Y$2:$Y$201,'Trial Rows'!Y57,'Trial Rows'!$I$2:$I$201,4)=1,COUNTIFS('Trial Rows'!$B$2:$B$201,'Trial Rows'!B57,'Trial Rows'!$C$2:$C$201,'Trial Rows'!C57,'Trial Rows'!$F$2:$F$201,'Trial Rows'!F57,'Trial Rows'!$G$2:$G$201,'Trial Rows'!G57,'Trial Rows'!$Y$2:$Y$201,'Trial Rows'!Y57,'Trial Rows'!$W$2:$W$201,"&lt;&gt;")=4,ISNUMBER('Trial Rows'!U57),COUNTIFS('Trial Rows'!$B$2:$B$201,'Trial Rows'!B57,'Trial Rows'!$C$2:$C$201,'Trial Rows'!C57,'Trial Rows'!$F$2:$F$201,'Trial Rows'!F57,'Trial Rows'!$G$2:$G$201,'Trial Rows'!G57,'Trial Rows'!$Y$2:$Y$201,'Trial Rows'!Y57,'Trial Rows'!$U$2:$U$201,'Trial Rows'!U57)=4,'Trial Rows'!U57&gt;=0),1,0)</x:f>
        <x:v>0</x:v>
      </x:c>
      <x:c r="O57" s="2" t="str">
        <x:f>IF(N57=1,'Trial Rows'!U57/1000,"")</x:f>
      </x:c>
      <x:c r="P57" s="2" t="str">
        <x:f>IF(AND(N57=1,'Trial Rows'!G57="A"),O57,"")</x:f>
      </x:c>
      <x:c r="Q57" s="2" t="str">
        <x:f>IF(AND(N57=1,'Trial Rows'!G57="B"),O57,"")</x:f>
      </x:c>
      <x:c r="R57" s="2" t="str">
        <x:f>IF(AND(N57=1,COUNTIFS('Trial Rows'!$B$2:$B$201,'Trial Rows'!B57,'Trial Rows'!$C$2:$C$201,'Trial Rows'!C57,'Trial Rows'!$F$2:$F$201,'Trial Rows'!F57,'Trial Rows'!$G$2:$G$201,'Trial Rows'!G57,'Trial Rows'!$Y$2:$Y$201,'Trial Rows'!Y57,'Trial Rows'!$N$2:$N$201,"&gt;=0",'Trial Rows'!$N$2:$N$201,"&lt;=4",'Trial Rows'!$N$2:$N$201,"&lt;&gt;")=4),SUMIFS('Trial Rows'!$N$2:$N$201,'Trial Rows'!$B$2:$B$201,'Trial Rows'!B57,'Trial Rows'!$C$2:$C$201,'Trial Rows'!C57,'Trial Rows'!$F$2:$F$201,'Trial Rows'!F57,'Trial Rows'!$G$2:$G$201,'Trial Rows'!G57,'Trial Rows'!$Y$2:$Y$201,'Trial Rows'!Y57,'Trial Rows'!$I$2:$I$201,1)+4-SUMIFS('Trial Rows'!$N$2:$N$201,'Trial Rows'!$B$2:$B$201,'Trial Rows'!B57,'Trial Rows'!$C$2:$C$201,'Trial Rows'!C57,'Trial Rows'!$F$2:$F$201,'Trial Rows'!F57,'Trial Rows'!$G$2:$G$201,'Trial Rows'!G57,'Trial Rows'!$Y$2:$Y$201,'Trial Rows'!Y57,'Trial Rows'!$I$2:$I$201,2)+4-SUMIFS('Trial Rows'!$N$2:$N$201,'Trial Rows'!$B$2:$B$201,'Trial Rows'!B57,'Trial Rows'!$C$2:$C$201,'Trial Rows'!C57,'Trial Rows'!$F$2:$F$201,'Trial Rows'!F57,'Trial Rows'!$G$2:$G$201,'Trial Rows'!G57,'Trial Rows'!$Y$2:$Y$201,'Trial Rows'!Y57,'Trial Rows'!$I$2:$I$201,3)+SUMIFS('Trial Rows'!$N$2:$N$201,'Trial Rows'!$B$2:$B$201,'Trial Rows'!B57,'Trial Rows'!$C$2:$C$201,'Trial Rows'!C57,'Trial Rows'!$F$2:$F$201,'Trial Rows'!F57,'Trial Rows'!$G$2:$G$201,'Trial Rows'!G57,'Trial Rows'!$Y$2:$Y$201,'Trial Rows'!Y57,'Trial Rows'!$I$2:$I$201,4),"")</x:f>
      </x:c>
      <x:c r="S57" s="2" t="n">
        <x:f>IF(AND(B57=1,COUNTIFS('Trial Rows'!$C$2:C57,'Trial Rows'!C57,'Trial Rows'!$F$2:F57,Summary!$B$5,'Trial Rows'!$Y$2:Y57,Summary!$B$4)=1),1,0)</x:f>
        <x:v>0</x:v>
      </x:c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 t="str">
        <x:f>IF('Trial Rows'!A58="","",'Trial Rows'!F58&amp;"|"&amp;'Trial Rows'!B58&amp;"|"&amp;'Trial Rows'!C58&amp;"|"&amp;'Trial Rows'!I58)</x:f>
      </x:c>
      <x:c r="B58" s="2" t="n">
        <x:f>IF(AND('Trial Rows'!A58&lt;&gt;"",'Trial Rows'!Y58=Summary!$B$4,'Trial Rows'!F58=Summary!$B$5),1,0)</x:f>
        <x:v>0</x:v>
      </x:c>
      <x:c r="C58" s="2" t="n">
        <x:f>IF(B58=1,COUNTIFS('Trial Rows'!$B$2:$B$201,'Trial Rows'!B58,'Trial Rows'!$C$2:$C$201,'Trial Rows'!C58,'Trial Rows'!$F$2:$F$201,'Trial Rows'!F58,'Trial Rows'!$I$2:$I$201,'Trial Rows'!I58,'Trial Rows'!$Y$2:$Y$201,'Trial Rows'!Y58,'Trial Rows'!$G$2:$G$201,"A"),0)</x:f>
        <x:v>0</x:v>
      </x:c>
      <x:c r="D58" s="2" t="n">
        <x:f>IF(B58=1,COUNTIFS('Trial Rows'!$B$2:$B$201,'Trial Rows'!B58,'Trial Rows'!$C$2:$C$201,'Trial Rows'!C58,'Trial Rows'!$F$2:$F$201,'Trial Rows'!F58,'Trial Rows'!$I$2:$I$201,'Trial Rows'!I58,'Trial Rows'!$Y$2:$Y$201,'Trial Rows'!Y58,'Trial Rows'!$G$2:$G$201,"B"),0)</x:f>
        <x:v>0</x:v>
      </x:c>
      <x:c r="E58" s="2" t="str">
        <x:f>IF(AND(C58=1,COUNTIFS('Trial Rows'!$B$2:$B$201,'Trial Rows'!B58,'Trial Rows'!$C$2:$C$201,'Trial Rows'!C58,'Trial Rows'!$F$2:$F$201,'Trial Rows'!F58,'Trial Rows'!$I$2:$I$201,'Trial Rows'!I58,'Trial Rows'!$Y$2:$Y$201,'Trial Rows'!Y58,'Trial Rows'!$G$2:$G$201,"A",'Trial Rows'!$K$2:$K$201,"&gt;=0",'Trial Rows'!$K$2:$K$201,"&lt;=4",'Trial Rows'!$K$2:$K$201,"&lt;&gt;")=1),SUMIFS('Trial Rows'!$K$2:$K$201,'Trial Rows'!$B$2:$B$201,'Trial Rows'!B58,'Trial Rows'!$C$2:$C$201,'Trial Rows'!C58,'Trial Rows'!$F$2:$F$201,'Trial Rows'!F58,'Trial Rows'!$I$2:$I$201,'Trial Rows'!I58,'Trial Rows'!$Y$2:$Y$201,'Trial Rows'!Y58,'Trial Rows'!$G$2:$G$201,"A"),"")</x:f>
      </x:c>
      <x:c r="F58" s="2" t="n">
        <x:f>IF(AND(B58=1,'Trial Rows'!G58="B",C58=1,D58=1,ISNUMBER(E58),ISNUMBER('Trial Rows'!M58),'Trial Rows'!M58&gt;=0,'Trial Rows'!M58&lt;=4,'Trial Rows'!Q58=0,'Trial Rows'!S58=0),1,0)</x:f>
        <x:v>0</x:v>
      </x:c>
      <x:c r="G58" s="2" t="n">
        <x:f>IF(F58=1,IF(E58='Trial Rows'!M58,1,0),0)</x:f>
        <x:v>0</x:v>
      </x:c>
      <x:c r="H58" s="2" t="n">
        <x:f>IF(AND(B58=1,'Trial Rows'!G58="B",C58=1,D58=1,ISNUMBER(E58),'Trial Rows'!R58=1,'Trial Rows'!Q58=0,'Trial Rows'!S58=0,ISNUMBER('Trial Rows'!L58),'Trial Rows'!L58&gt;=0,'Trial Rows'!L58&lt;=4),1,0)</x:f>
        <x:v>0</x:v>
      </x:c>
      <x:c r="I58" s="2" t="n">
        <x:f>IF(H58=1,IF(E58='Trial Rows'!L58,1,0),0)</x:f>
        <x:v>0</x:v>
      </x:c>
      <x:c r="J58" s="2" t="n">
        <x:f>IF(AND(B58=1,'Trial Rows'!G58="B",'Trial Rows'!P58&gt;0),1,0)</x:f>
        <x:v>0</x:v>
      </x:c>
      <x:c r="K58" s="2" t="n">
        <x:f>IF(AND(B58=1,'Trial Rows'!G58="B",'Trial Rows'!Q58=1),1,0)</x:f>
        <x:v>0</x:v>
      </x:c>
      <x:c r="L58" s="2" t="n">
        <x:f>IF(AND(B58=1,'Trial Rows'!G58="B",'Trial Rows'!R58=1,'Trial Rows'!Q58=0,'Trial Rows'!S58=0),1,0)</x:f>
        <x:v>0</x:v>
      </x:c>
      <x:c r="M58" s="2" t="n">
        <x:f>IF(AND(B58=1,'Trial Rows'!G58="B"),1,0)</x:f>
        <x:v>0</x:v>
      </x:c>
      <x:c r="N58" s="2" t="n">
        <x:f>IF(AND(B58=1,'Trial Rows'!I58=1,COUNTIFS('Trial Rows'!$B$2:$B$201,'Trial Rows'!B58,'Trial Rows'!$C$2:$C$201,'Trial Rows'!C58,'Trial Rows'!$F$2:$F$201,'Trial Rows'!F58,'Trial Rows'!$G$2:$G$201,'Trial Rows'!G58,'Trial Rows'!$Y$2:$Y$201,'Trial Rows'!Y58)=4,COUNTIFS('Trial Rows'!$B$2:$B$201,'Trial Rows'!B58,'Trial Rows'!$C$2:$C$201,'Trial Rows'!C58,'Trial Rows'!$F$2:$F$201,'Trial Rows'!F58,'Trial Rows'!$G$2:$G$201,'Trial Rows'!G58,'Trial Rows'!$Y$2:$Y$201,'Trial Rows'!Y58,'Trial Rows'!$I$2:$I$201,1)=1,COUNTIFS('Trial Rows'!$B$2:$B$201,'Trial Rows'!B58,'Trial Rows'!$C$2:$C$201,'Trial Rows'!C58,'Trial Rows'!$F$2:$F$201,'Trial Rows'!F58,'Trial Rows'!$G$2:$G$201,'Trial Rows'!G58,'Trial Rows'!$Y$2:$Y$201,'Trial Rows'!Y58,'Trial Rows'!$I$2:$I$201,2)=1,COUNTIFS('Trial Rows'!$B$2:$B$201,'Trial Rows'!B58,'Trial Rows'!$C$2:$C$201,'Trial Rows'!C58,'Trial Rows'!$F$2:$F$201,'Trial Rows'!F58,'Trial Rows'!$G$2:$G$201,'Trial Rows'!G58,'Trial Rows'!$Y$2:$Y$201,'Trial Rows'!Y58,'Trial Rows'!$I$2:$I$201,3)=1,COUNTIFS('Trial Rows'!$B$2:$B$201,'Trial Rows'!B58,'Trial Rows'!$C$2:$C$201,'Trial Rows'!C58,'Trial Rows'!$F$2:$F$201,'Trial Rows'!F58,'Trial Rows'!$G$2:$G$201,'Trial Rows'!G58,'Trial Rows'!$Y$2:$Y$201,'Trial Rows'!Y58,'Trial Rows'!$I$2:$I$201,4)=1,COUNTIFS('Trial Rows'!$B$2:$B$201,'Trial Rows'!B58,'Trial Rows'!$C$2:$C$201,'Trial Rows'!C58,'Trial Rows'!$F$2:$F$201,'Trial Rows'!F58,'Trial Rows'!$G$2:$G$201,'Trial Rows'!G58,'Trial Rows'!$Y$2:$Y$201,'Trial Rows'!Y58,'Trial Rows'!$W$2:$W$201,"&lt;&gt;")=4,ISNUMBER('Trial Rows'!U58),COUNTIFS('Trial Rows'!$B$2:$B$201,'Trial Rows'!B58,'Trial Rows'!$C$2:$C$201,'Trial Rows'!C58,'Trial Rows'!$F$2:$F$201,'Trial Rows'!F58,'Trial Rows'!$G$2:$G$201,'Trial Rows'!G58,'Trial Rows'!$Y$2:$Y$201,'Trial Rows'!Y58,'Trial Rows'!$U$2:$U$201,'Trial Rows'!U58)=4,'Trial Rows'!U58&gt;=0),1,0)</x:f>
        <x:v>0</x:v>
      </x:c>
      <x:c r="O58" s="2" t="str">
        <x:f>IF(N58=1,'Trial Rows'!U58/1000,"")</x:f>
      </x:c>
      <x:c r="P58" s="2" t="str">
        <x:f>IF(AND(N58=1,'Trial Rows'!G58="A"),O58,"")</x:f>
      </x:c>
      <x:c r="Q58" s="2" t="str">
        <x:f>IF(AND(N58=1,'Trial Rows'!G58="B"),O58,"")</x:f>
      </x:c>
      <x:c r="R58" s="2" t="str">
        <x:f>IF(AND(N58=1,COUNTIFS('Trial Rows'!$B$2:$B$201,'Trial Rows'!B58,'Trial Rows'!$C$2:$C$201,'Trial Rows'!C58,'Trial Rows'!$F$2:$F$201,'Trial Rows'!F58,'Trial Rows'!$G$2:$G$201,'Trial Rows'!G58,'Trial Rows'!$Y$2:$Y$201,'Trial Rows'!Y58,'Trial Rows'!$N$2:$N$201,"&gt;=0",'Trial Rows'!$N$2:$N$201,"&lt;=4",'Trial Rows'!$N$2:$N$201,"&lt;&gt;")=4),SUMIFS('Trial Rows'!$N$2:$N$201,'Trial Rows'!$B$2:$B$201,'Trial Rows'!B58,'Trial Rows'!$C$2:$C$201,'Trial Rows'!C58,'Trial Rows'!$F$2:$F$201,'Trial Rows'!F58,'Trial Rows'!$G$2:$G$201,'Trial Rows'!G58,'Trial Rows'!$Y$2:$Y$201,'Trial Rows'!Y58,'Trial Rows'!$I$2:$I$201,1)+4-SUMIFS('Trial Rows'!$N$2:$N$201,'Trial Rows'!$B$2:$B$201,'Trial Rows'!B58,'Trial Rows'!$C$2:$C$201,'Trial Rows'!C58,'Trial Rows'!$F$2:$F$201,'Trial Rows'!F58,'Trial Rows'!$G$2:$G$201,'Trial Rows'!G58,'Trial Rows'!$Y$2:$Y$201,'Trial Rows'!Y58,'Trial Rows'!$I$2:$I$201,2)+4-SUMIFS('Trial Rows'!$N$2:$N$201,'Trial Rows'!$B$2:$B$201,'Trial Rows'!B58,'Trial Rows'!$C$2:$C$201,'Trial Rows'!C58,'Trial Rows'!$F$2:$F$201,'Trial Rows'!F58,'Trial Rows'!$G$2:$G$201,'Trial Rows'!G58,'Trial Rows'!$Y$2:$Y$201,'Trial Rows'!Y58,'Trial Rows'!$I$2:$I$201,3)+SUMIFS('Trial Rows'!$N$2:$N$201,'Trial Rows'!$B$2:$B$201,'Trial Rows'!B58,'Trial Rows'!$C$2:$C$201,'Trial Rows'!C58,'Trial Rows'!$F$2:$F$201,'Trial Rows'!F58,'Trial Rows'!$G$2:$G$201,'Trial Rows'!G58,'Trial Rows'!$Y$2:$Y$201,'Trial Rows'!Y58,'Trial Rows'!$I$2:$I$201,4),"")</x:f>
      </x:c>
      <x:c r="S58" s="2" t="n">
        <x:f>IF(AND(B58=1,COUNTIFS('Trial Rows'!$C$2:C58,'Trial Rows'!C58,'Trial Rows'!$F$2:F58,Summary!$B$5,'Trial Rows'!$Y$2:Y58,Summary!$B$4)=1),1,0)</x:f>
        <x:v>0</x:v>
      </x:c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 t="str">
        <x:f>IF('Trial Rows'!A59="","",'Trial Rows'!F59&amp;"|"&amp;'Trial Rows'!B59&amp;"|"&amp;'Trial Rows'!C59&amp;"|"&amp;'Trial Rows'!I59)</x:f>
      </x:c>
      <x:c r="B59" s="2" t="n">
        <x:f>IF(AND('Trial Rows'!A59&lt;&gt;"",'Trial Rows'!Y59=Summary!$B$4,'Trial Rows'!F59=Summary!$B$5),1,0)</x:f>
        <x:v>0</x:v>
      </x:c>
      <x:c r="C59" s="2" t="n">
        <x:f>IF(B59=1,COUNTIFS('Trial Rows'!$B$2:$B$201,'Trial Rows'!B59,'Trial Rows'!$C$2:$C$201,'Trial Rows'!C59,'Trial Rows'!$F$2:$F$201,'Trial Rows'!F59,'Trial Rows'!$I$2:$I$201,'Trial Rows'!I59,'Trial Rows'!$Y$2:$Y$201,'Trial Rows'!Y59,'Trial Rows'!$G$2:$G$201,"A"),0)</x:f>
        <x:v>0</x:v>
      </x:c>
      <x:c r="D59" s="2" t="n">
        <x:f>IF(B59=1,COUNTIFS('Trial Rows'!$B$2:$B$201,'Trial Rows'!B59,'Trial Rows'!$C$2:$C$201,'Trial Rows'!C59,'Trial Rows'!$F$2:$F$201,'Trial Rows'!F59,'Trial Rows'!$I$2:$I$201,'Trial Rows'!I59,'Trial Rows'!$Y$2:$Y$201,'Trial Rows'!Y59,'Trial Rows'!$G$2:$G$201,"B"),0)</x:f>
        <x:v>0</x:v>
      </x:c>
      <x:c r="E59" s="2" t="str">
        <x:f>IF(AND(C59=1,COUNTIFS('Trial Rows'!$B$2:$B$201,'Trial Rows'!B59,'Trial Rows'!$C$2:$C$201,'Trial Rows'!C59,'Trial Rows'!$F$2:$F$201,'Trial Rows'!F59,'Trial Rows'!$I$2:$I$201,'Trial Rows'!I59,'Trial Rows'!$Y$2:$Y$201,'Trial Rows'!Y59,'Trial Rows'!$G$2:$G$201,"A",'Trial Rows'!$K$2:$K$201,"&gt;=0",'Trial Rows'!$K$2:$K$201,"&lt;=4",'Trial Rows'!$K$2:$K$201,"&lt;&gt;")=1),SUMIFS('Trial Rows'!$K$2:$K$201,'Trial Rows'!$B$2:$B$201,'Trial Rows'!B59,'Trial Rows'!$C$2:$C$201,'Trial Rows'!C59,'Trial Rows'!$F$2:$F$201,'Trial Rows'!F59,'Trial Rows'!$I$2:$I$201,'Trial Rows'!I59,'Trial Rows'!$Y$2:$Y$201,'Trial Rows'!Y59,'Trial Rows'!$G$2:$G$201,"A"),"")</x:f>
      </x:c>
      <x:c r="F59" s="2" t="n">
        <x:f>IF(AND(B59=1,'Trial Rows'!G59="B",C59=1,D59=1,ISNUMBER(E59),ISNUMBER('Trial Rows'!M59),'Trial Rows'!M59&gt;=0,'Trial Rows'!M59&lt;=4,'Trial Rows'!Q59=0,'Trial Rows'!S59=0),1,0)</x:f>
        <x:v>0</x:v>
      </x:c>
      <x:c r="G59" s="2" t="n">
        <x:f>IF(F59=1,IF(E59='Trial Rows'!M59,1,0),0)</x:f>
        <x:v>0</x:v>
      </x:c>
      <x:c r="H59" s="2" t="n">
        <x:f>IF(AND(B59=1,'Trial Rows'!G59="B",C59=1,D59=1,ISNUMBER(E59),'Trial Rows'!R59=1,'Trial Rows'!Q59=0,'Trial Rows'!S59=0,ISNUMBER('Trial Rows'!L59),'Trial Rows'!L59&gt;=0,'Trial Rows'!L59&lt;=4),1,0)</x:f>
        <x:v>0</x:v>
      </x:c>
      <x:c r="I59" s="2" t="n">
        <x:f>IF(H59=1,IF(E59='Trial Rows'!L59,1,0),0)</x:f>
        <x:v>0</x:v>
      </x:c>
      <x:c r="J59" s="2" t="n">
        <x:f>IF(AND(B59=1,'Trial Rows'!G59="B",'Trial Rows'!P59&gt;0),1,0)</x:f>
        <x:v>0</x:v>
      </x:c>
      <x:c r="K59" s="2" t="n">
        <x:f>IF(AND(B59=1,'Trial Rows'!G59="B",'Trial Rows'!Q59=1),1,0)</x:f>
        <x:v>0</x:v>
      </x:c>
      <x:c r="L59" s="2" t="n">
        <x:f>IF(AND(B59=1,'Trial Rows'!G59="B",'Trial Rows'!R59=1,'Trial Rows'!Q59=0,'Trial Rows'!S59=0),1,0)</x:f>
        <x:v>0</x:v>
      </x:c>
      <x:c r="M59" s="2" t="n">
        <x:f>IF(AND(B59=1,'Trial Rows'!G59="B"),1,0)</x:f>
        <x:v>0</x:v>
      </x:c>
      <x:c r="N59" s="2" t="n">
        <x:f>IF(AND(B59=1,'Trial Rows'!I59=1,COUNTIFS('Trial Rows'!$B$2:$B$201,'Trial Rows'!B59,'Trial Rows'!$C$2:$C$201,'Trial Rows'!C59,'Trial Rows'!$F$2:$F$201,'Trial Rows'!F59,'Trial Rows'!$G$2:$G$201,'Trial Rows'!G59,'Trial Rows'!$Y$2:$Y$201,'Trial Rows'!Y59)=4,COUNTIFS('Trial Rows'!$B$2:$B$201,'Trial Rows'!B59,'Trial Rows'!$C$2:$C$201,'Trial Rows'!C59,'Trial Rows'!$F$2:$F$201,'Trial Rows'!F59,'Trial Rows'!$G$2:$G$201,'Trial Rows'!G59,'Trial Rows'!$Y$2:$Y$201,'Trial Rows'!Y59,'Trial Rows'!$I$2:$I$201,1)=1,COUNTIFS('Trial Rows'!$B$2:$B$201,'Trial Rows'!B59,'Trial Rows'!$C$2:$C$201,'Trial Rows'!C59,'Trial Rows'!$F$2:$F$201,'Trial Rows'!F59,'Trial Rows'!$G$2:$G$201,'Trial Rows'!G59,'Trial Rows'!$Y$2:$Y$201,'Trial Rows'!Y59,'Trial Rows'!$I$2:$I$201,2)=1,COUNTIFS('Trial Rows'!$B$2:$B$201,'Trial Rows'!B59,'Trial Rows'!$C$2:$C$201,'Trial Rows'!C59,'Trial Rows'!$F$2:$F$201,'Trial Rows'!F59,'Trial Rows'!$G$2:$G$201,'Trial Rows'!G59,'Trial Rows'!$Y$2:$Y$201,'Trial Rows'!Y59,'Trial Rows'!$I$2:$I$201,3)=1,COUNTIFS('Trial Rows'!$B$2:$B$201,'Trial Rows'!B59,'Trial Rows'!$C$2:$C$201,'Trial Rows'!C59,'Trial Rows'!$F$2:$F$201,'Trial Rows'!F59,'Trial Rows'!$G$2:$G$201,'Trial Rows'!G59,'Trial Rows'!$Y$2:$Y$201,'Trial Rows'!Y59,'Trial Rows'!$I$2:$I$201,4)=1,COUNTIFS('Trial Rows'!$B$2:$B$201,'Trial Rows'!B59,'Trial Rows'!$C$2:$C$201,'Trial Rows'!C59,'Trial Rows'!$F$2:$F$201,'Trial Rows'!F59,'Trial Rows'!$G$2:$G$201,'Trial Rows'!G59,'Trial Rows'!$Y$2:$Y$201,'Trial Rows'!Y59,'Trial Rows'!$W$2:$W$201,"&lt;&gt;")=4,ISNUMBER('Trial Rows'!U59),COUNTIFS('Trial Rows'!$B$2:$B$201,'Trial Rows'!B59,'Trial Rows'!$C$2:$C$201,'Trial Rows'!C59,'Trial Rows'!$F$2:$F$201,'Trial Rows'!F59,'Trial Rows'!$G$2:$G$201,'Trial Rows'!G59,'Trial Rows'!$Y$2:$Y$201,'Trial Rows'!Y59,'Trial Rows'!$U$2:$U$201,'Trial Rows'!U59)=4,'Trial Rows'!U59&gt;=0),1,0)</x:f>
        <x:v>0</x:v>
      </x:c>
      <x:c r="O59" s="2" t="str">
        <x:f>IF(N59=1,'Trial Rows'!U59/1000,"")</x:f>
      </x:c>
      <x:c r="P59" s="2" t="str">
        <x:f>IF(AND(N59=1,'Trial Rows'!G59="A"),O59,"")</x:f>
      </x:c>
      <x:c r="Q59" s="2" t="str">
        <x:f>IF(AND(N59=1,'Trial Rows'!G59="B"),O59,"")</x:f>
      </x:c>
      <x:c r="R59" s="2" t="str">
        <x:f>IF(AND(N59=1,COUNTIFS('Trial Rows'!$B$2:$B$201,'Trial Rows'!B59,'Trial Rows'!$C$2:$C$201,'Trial Rows'!C59,'Trial Rows'!$F$2:$F$201,'Trial Rows'!F59,'Trial Rows'!$G$2:$G$201,'Trial Rows'!G59,'Trial Rows'!$Y$2:$Y$201,'Trial Rows'!Y59,'Trial Rows'!$N$2:$N$201,"&gt;=0",'Trial Rows'!$N$2:$N$201,"&lt;=4",'Trial Rows'!$N$2:$N$201,"&lt;&gt;")=4),SUMIFS('Trial Rows'!$N$2:$N$201,'Trial Rows'!$B$2:$B$201,'Trial Rows'!B59,'Trial Rows'!$C$2:$C$201,'Trial Rows'!C59,'Trial Rows'!$F$2:$F$201,'Trial Rows'!F59,'Trial Rows'!$G$2:$G$201,'Trial Rows'!G59,'Trial Rows'!$Y$2:$Y$201,'Trial Rows'!Y59,'Trial Rows'!$I$2:$I$201,1)+4-SUMIFS('Trial Rows'!$N$2:$N$201,'Trial Rows'!$B$2:$B$201,'Trial Rows'!B59,'Trial Rows'!$C$2:$C$201,'Trial Rows'!C59,'Trial Rows'!$F$2:$F$201,'Trial Rows'!F59,'Trial Rows'!$G$2:$G$201,'Trial Rows'!G59,'Trial Rows'!$Y$2:$Y$201,'Trial Rows'!Y59,'Trial Rows'!$I$2:$I$201,2)+4-SUMIFS('Trial Rows'!$N$2:$N$201,'Trial Rows'!$B$2:$B$201,'Trial Rows'!B59,'Trial Rows'!$C$2:$C$201,'Trial Rows'!C59,'Trial Rows'!$F$2:$F$201,'Trial Rows'!F59,'Trial Rows'!$G$2:$G$201,'Trial Rows'!G59,'Trial Rows'!$Y$2:$Y$201,'Trial Rows'!Y59,'Trial Rows'!$I$2:$I$201,3)+SUMIFS('Trial Rows'!$N$2:$N$201,'Trial Rows'!$B$2:$B$201,'Trial Rows'!B59,'Trial Rows'!$C$2:$C$201,'Trial Rows'!C59,'Trial Rows'!$F$2:$F$201,'Trial Rows'!F59,'Trial Rows'!$G$2:$G$201,'Trial Rows'!G59,'Trial Rows'!$Y$2:$Y$201,'Trial Rows'!Y59,'Trial Rows'!$I$2:$I$201,4),"")</x:f>
      </x:c>
      <x:c r="S59" s="2" t="n">
        <x:f>IF(AND(B59=1,COUNTIFS('Trial Rows'!$C$2:C59,'Trial Rows'!C59,'Trial Rows'!$F$2:F59,Summary!$B$5,'Trial Rows'!$Y$2:Y59,Summary!$B$4)=1),1,0)</x:f>
        <x:v>0</x:v>
      </x:c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 t="str">
        <x:f>IF('Trial Rows'!A60="","",'Trial Rows'!F60&amp;"|"&amp;'Trial Rows'!B60&amp;"|"&amp;'Trial Rows'!C60&amp;"|"&amp;'Trial Rows'!I60)</x:f>
      </x:c>
      <x:c r="B60" s="2" t="n">
        <x:f>IF(AND('Trial Rows'!A60&lt;&gt;"",'Trial Rows'!Y60=Summary!$B$4,'Trial Rows'!F60=Summary!$B$5),1,0)</x:f>
        <x:v>0</x:v>
      </x:c>
      <x:c r="C60" s="2" t="n">
        <x:f>IF(B60=1,COUNTIFS('Trial Rows'!$B$2:$B$201,'Trial Rows'!B60,'Trial Rows'!$C$2:$C$201,'Trial Rows'!C60,'Trial Rows'!$F$2:$F$201,'Trial Rows'!F60,'Trial Rows'!$I$2:$I$201,'Trial Rows'!I60,'Trial Rows'!$Y$2:$Y$201,'Trial Rows'!Y60,'Trial Rows'!$G$2:$G$201,"A"),0)</x:f>
        <x:v>0</x:v>
      </x:c>
      <x:c r="D60" s="2" t="n">
        <x:f>IF(B60=1,COUNTIFS('Trial Rows'!$B$2:$B$201,'Trial Rows'!B60,'Trial Rows'!$C$2:$C$201,'Trial Rows'!C60,'Trial Rows'!$F$2:$F$201,'Trial Rows'!F60,'Trial Rows'!$I$2:$I$201,'Trial Rows'!I60,'Trial Rows'!$Y$2:$Y$201,'Trial Rows'!Y60,'Trial Rows'!$G$2:$G$201,"B"),0)</x:f>
        <x:v>0</x:v>
      </x:c>
      <x:c r="E60" s="2" t="str">
        <x:f>IF(AND(C60=1,COUNTIFS('Trial Rows'!$B$2:$B$201,'Trial Rows'!B60,'Trial Rows'!$C$2:$C$201,'Trial Rows'!C60,'Trial Rows'!$F$2:$F$201,'Trial Rows'!F60,'Trial Rows'!$I$2:$I$201,'Trial Rows'!I60,'Trial Rows'!$Y$2:$Y$201,'Trial Rows'!Y60,'Trial Rows'!$G$2:$G$201,"A",'Trial Rows'!$K$2:$K$201,"&gt;=0",'Trial Rows'!$K$2:$K$201,"&lt;=4",'Trial Rows'!$K$2:$K$201,"&lt;&gt;")=1),SUMIFS('Trial Rows'!$K$2:$K$201,'Trial Rows'!$B$2:$B$201,'Trial Rows'!B60,'Trial Rows'!$C$2:$C$201,'Trial Rows'!C60,'Trial Rows'!$F$2:$F$201,'Trial Rows'!F60,'Trial Rows'!$I$2:$I$201,'Trial Rows'!I60,'Trial Rows'!$Y$2:$Y$201,'Trial Rows'!Y60,'Trial Rows'!$G$2:$G$201,"A"),"")</x:f>
      </x:c>
      <x:c r="F60" s="2" t="n">
        <x:f>IF(AND(B60=1,'Trial Rows'!G60="B",C60=1,D60=1,ISNUMBER(E60),ISNUMBER('Trial Rows'!M60),'Trial Rows'!M60&gt;=0,'Trial Rows'!M60&lt;=4,'Trial Rows'!Q60=0,'Trial Rows'!S60=0),1,0)</x:f>
        <x:v>0</x:v>
      </x:c>
      <x:c r="G60" s="2" t="n">
        <x:f>IF(F60=1,IF(E60='Trial Rows'!M60,1,0),0)</x:f>
        <x:v>0</x:v>
      </x:c>
      <x:c r="H60" s="2" t="n">
        <x:f>IF(AND(B60=1,'Trial Rows'!G60="B",C60=1,D60=1,ISNUMBER(E60),'Trial Rows'!R60=1,'Trial Rows'!Q60=0,'Trial Rows'!S60=0,ISNUMBER('Trial Rows'!L60),'Trial Rows'!L60&gt;=0,'Trial Rows'!L60&lt;=4),1,0)</x:f>
        <x:v>0</x:v>
      </x:c>
      <x:c r="I60" s="2" t="n">
        <x:f>IF(H60=1,IF(E60='Trial Rows'!L60,1,0),0)</x:f>
        <x:v>0</x:v>
      </x:c>
      <x:c r="J60" s="2" t="n">
        <x:f>IF(AND(B60=1,'Trial Rows'!G60="B",'Trial Rows'!P60&gt;0),1,0)</x:f>
        <x:v>0</x:v>
      </x:c>
      <x:c r="K60" s="2" t="n">
        <x:f>IF(AND(B60=1,'Trial Rows'!G60="B",'Trial Rows'!Q60=1),1,0)</x:f>
        <x:v>0</x:v>
      </x:c>
      <x:c r="L60" s="2" t="n">
        <x:f>IF(AND(B60=1,'Trial Rows'!G60="B",'Trial Rows'!R60=1,'Trial Rows'!Q60=0,'Trial Rows'!S60=0),1,0)</x:f>
        <x:v>0</x:v>
      </x:c>
      <x:c r="M60" s="2" t="n">
        <x:f>IF(AND(B60=1,'Trial Rows'!G60="B"),1,0)</x:f>
        <x:v>0</x:v>
      </x:c>
      <x:c r="N60" s="2" t="n">
        <x:f>IF(AND(B60=1,'Trial Rows'!I60=1,COUNTIFS('Trial Rows'!$B$2:$B$201,'Trial Rows'!B60,'Trial Rows'!$C$2:$C$201,'Trial Rows'!C60,'Trial Rows'!$F$2:$F$201,'Trial Rows'!F60,'Trial Rows'!$G$2:$G$201,'Trial Rows'!G60,'Trial Rows'!$Y$2:$Y$201,'Trial Rows'!Y60)=4,COUNTIFS('Trial Rows'!$B$2:$B$201,'Trial Rows'!B60,'Trial Rows'!$C$2:$C$201,'Trial Rows'!C60,'Trial Rows'!$F$2:$F$201,'Trial Rows'!F60,'Trial Rows'!$G$2:$G$201,'Trial Rows'!G60,'Trial Rows'!$Y$2:$Y$201,'Trial Rows'!Y60,'Trial Rows'!$I$2:$I$201,1)=1,COUNTIFS('Trial Rows'!$B$2:$B$201,'Trial Rows'!B60,'Trial Rows'!$C$2:$C$201,'Trial Rows'!C60,'Trial Rows'!$F$2:$F$201,'Trial Rows'!F60,'Trial Rows'!$G$2:$G$201,'Trial Rows'!G60,'Trial Rows'!$Y$2:$Y$201,'Trial Rows'!Y60,'Trial Rows'!$I$2:$I$201,2)=1,COUNTIFS('Trial Rows'!$B$2:$B$201,'Trial Rows'!B60,'Trial Rows'!$C$2:$C$201,'Trial Rows'!C60,'Trial Rows'!$F$2:$F$201,'Trial Rows'!F60,'Trial Rows'!$G$2:$G$201,'Trial Rows'!G60,'Trial Rows'!$Y$2:$Y$201,'Trial Rows'!Y60,'Trial Rows'!$I$2:$I$201,3)=1,COUNTIFS('Trial Rows'!$B$2:$B$201,'Trial Rows'!B60,'Trial Rows'!$C$2:$C$201,'Trial Rows'!C60,'Trial Rows'!$F$2:$F$201,'Trial Rows'!F60,'Trial Rows'!$G$2:$G$201,'Trial Rows'!G60,'Trial Rows'!$Y$2:$Y$201,'Trial Rows'!Y60,'Trial Rows'!$I$2:$I$201,4)=1,COUNTIFS('Trial Rows'!$B$2:$B$201,'Trial Rows'!B60,'Trial Rows'!$C$2:$C$201,'Trial Rows'!C60,'Trial Rows'!$F$2:$F$201,'Trial Rows'!F60,'Trial Rows'!$G$2:$G$201,'Trial Rows'!G60,'Trial Rows'!$Y$2:$Y$201,'Trial Rows'!Y60,'Trial Rows'!$W$2:$W$201,"&lt;&gt;")=4,ISNUMBER('Trial Rows'!U60),COUNTIFS('Trial Rows'!$B$2:$B$201,'Trial Rows'!B60,'Trial Rows'!$C$2:$C$201,'Trial Rows'!C60,'Trial Rows'!$F$2:$F$201,'Trial Rows'!F60,'Trial Rows'!$G$2:$G$201,'Trial Rows'!G60,'Trial Rows'!$Y$2:$Y$201,'Trial Rows'!Y60,'Trial Rows'!$U$2:$U$201,'Trial Rows'!U60)=4,'Trial Rows'!U60&gt;=0),1,0)</x:f>
        <x:v>0</x:v>
      </x:c>
      <x:c r="O60" s="2" t="str">
        <x:f>IF(N60=1,'Trial Rows'!U60/1000,"")</x:f>
      </x:c>
      <x:c r="P60" s="2" t="str">
        <x:f>IF(AND(N60=1,'Trial Rows'!G60="A"),O60,"")</x:f>
      </x:c>
      <x:c r="Q60" s="2" t="str">
        <x:f>IF(AND(N60=1,'Trial Rows'!G60="B"),O60,"")</x:f>
      </x:c>
      <x:c r="R60" s="2" t="str">
        <x:f>IF(AND(N60=1,COUNTIFS('Trial Rows'!$B$2:$B$201,'Trial Rows'!B60,'Trial Rows'!$C$2:$C$201,'Trial Rows'!C60,'Trial Rows'!$F$2:$F$201,'Trial Rows'!F60,'Trial Rows'!$G$2:$G$201,'Trial Rows'!G60,'Trial Rows'!$Y$2:$Y$201,'Trial Rows'!Y60,'Trial Rows'!$N$2:$N$201,"&gt;=0",'Trial Rows'!$N$2:$N$201,"&lt;=4",'Trial Rows'!$N$2:$N$201,"&lt;&gt;")=4),SUMIFS('Trial Rows'!$N$2:$N$201,'Trial Rows'!$B$2:$B$201,'Trial Rows'!B60,'Trial Rows'!$C$2:$C$201,'Trial Rows'!C60,'Trial Rows'!$F$2:$F$201,'Trial Rows'!F60,'Trial Rows'!$G$2:$G$201,'Trial Rows'!G60,'Trial Rows'!$Y$2:$Y$201,'Trial Rows'!Y60,'Trial Rows'!$I$2:$I$201,1)+4-SUMIFS('Trial Rows'!$N$2:$N$201,'Trial Rows'!$B$2:$B$201,'Trial Rows'!B60,'Trial Rows'!$C$2:$C$201,'Trial Rows'!C60,'Trial Rows'!$F$2:$F$201,'Trial Rows'!F60,'Trial Rows'!$G$2:$G$201,'Trial Rows'!G60,'Trial Rows'!$Y$2:$Y$201,'Trial Rows'!Y60,'Trial Rows'!$I$2:$I$201,2)+4-SUMIFS('Trial Rows'!$N$2:$N$201,'Trial Rows'!$B$2:$B$201,'Trial Rows'!B60,'Trial Rows'!$C$2:$C$201,'Trial Rows'!C60,'Trial Rows'!$F$2:$F$201,'Trial Rows'!F60,'Trial Rows'!$G$2:$G$201,'Trial Rows'!G60,'Trial Rows'!$Y$2:$Y$201,'Trial Rows'!Y60,'Trial Rows'!$I$2:$I$201,3)+SUMIFS('Trial Rows'!$N$2:$N$201,'Trial Rows'!$B$2:$B$201,'Trial Rows'!B60,'Trial Rows'!$C$2:$C$201,'Trial Rows'!C60,'Trial Rows'!$F$2:$F$201,'Trial Rows'!F60,'Trial Rows'!$G$2:$G$201,'Trial Rows'!G60,'Trial Rows'!$Y$2:$Y$201,'Trial Rows'!Y60,'Trial Rows'!$I$2:$I$201,4),"")</x:f>
      </x:c>
      <x:c r="S60" s="2" t="n">
        <x:f>IF(AND(B60=1,COUNTIFS('Trial Rows'!$C$2:C60,'Trial Rows'!C60,'Trial Rows'!$F$2:F60,Summary!$B$5,'Trial Rows'!$Y$2:Y60,Summary!$B$4)=1),1,0)</x:f>
        <x:v>0</x:v>
      </x:c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 t="str">
        <x:f>IF('Trial Rows'!A61="","",'Trial Rows'!F61&amp;"|"&amp;'Trial Rows'!B61&amp;"|"&amp;'Trial Rows'!C61&amp;"|"&amp;'Trial Rows'!I61)</x:f>
      </x:c>
      <x:c r="B61" s="2" t="n">
        <x:f>IF(AND('Trial Rows'!A61&lt;&gt;"",'Trial Rows'!Y61=Summary!$B$4,'Trial Rows'!F61=Summary!$B$5),1,0)</x:f>
        <x:v>0</x:v>
      </x:c>
      <x:c r="C61" s="2" t="n">
        <x:f>IF(B61=1,COUNTIFS('Trial Rows'!$B$2:$B$201,'Trial Rows'!B61,'Trial Rows'!$C$2:$C$201,'Trial Rows'!C61,'Trial Rows'!$F$2:$F$201,'Trial Rows'!F61,'Trial Rows'!$I$2:$I$201,'Trial Rows'!I61,'Trial Rows'!$Y$2:$Y$201,'Trial Rows'!Y61,'Trial Rows'!$G$2:$G$201,"A"),0)</x:f>
        <x:v>0</x:v>
      </x:c>
      <x:c r="D61" s="2" t="n">
        <x:f>IF(B61=1,COUNTIFS('Trial Rows'!$B$2:$B$201,'Trial Rows'!B61,'Trial Rows'!$C$2:$C$201,'Trial Rows'!C61,'Trial Rows'!$F$2:$F$201,'Trial Rows'!F61,'Trial Rows'!$I$2:$I$201,'Trial Rows'!I61,'Trial Rows'!$Y$2:$Y$201,'Trial Rows'!Y61,'Trial Rows'!$G$2:$G$201,"B"),0)</x:f>
        <x:v>0</x:v>
      </x:c>
      <x:c r="E61" s="2" t="str">
        <x:f>IF(AND(C61=1,COUNTIFS('Trial Rows'!$B$2:$B$201,'Trial Rows'!B61,'Trial Rows'!$C$2:$C$201,'Trial Rows'!C61,'Trial Rows'!$F$2:$F$201,'Trial Rows'!F61,'Trial Rows'!$I$2:$I$201,'Trial Rows'!I61,'Trial Rows'!$Y$2:$Y$201,'Trial Rows'!Y61,'Trial Rows'!$G$2:$G$201,"A",'Trial Rows'!$K$2:$K$201,"&gt;=0",'Trial Rows'!$K$2:$K$201,"&lt;=4",'Trial Rows'!$K$2:$K$201,"&lt;&gt;")=1),SUMIFS('Trial Rows'!$K$2:$K$201,'Trial Rows'!$B$2:$B$201,'Trial Rows'!B61,'Trial Rows'!$C$2:$C$201,'Trial Rows'!C61,'Trial Rows'!$F$2:$F$201,'Trial Rows'!F61,'Trial Rows'!$I$2:$I$201,'Trial Rows'!I61,'Trial Rows'!$Y$2:$Y$201,'Trial Rows'!Y61,'Trial Rows'!$G$2:$G$201,"A"),"")</x:f>
      </x:c>
      <x:c r="F61" s="2" t="n">
        <x:f>IF(AND(B61=1,'Trial Rows'!G61="B",C61=1,D61=1,ISNUMBER(E61),ISNUMBER('Trial Rows'!M61),'Trial Rows'!M61&gt;=0,'Trial Rows'!M61&lt;=4,'Trial Rows'!Q61=0,'Trial Rows'!S61=0),1,0)</x:f>
        <x:v>0</x:v>
      </x:c>
      <x:c r="G61" s="2" t="n">
        <x:f>IF(F61=1,IF(E61='Trial Rows'!M61,1,0),0)</x:f>
        <x:v>0</x:v>
      </x:c>
      <x:c r="H61" s="2" t="n">
        <x:f>IF(AND(B61=1,'Trial Rows'!G61="B",C61=1,D61=1,ISNUMBER(E61),'Trial Rows'!R61=1,'Trial Rows'!Q61=0,'Trial Rows'!S61=0,ISNUMBER('Trial Rows'!L61),'Trial Rows'!L61&gt;=0,'Trial Rows'!L61&lt;=4),1,0)</x:f>
        <x:v>0</x:v>
      </x:c>
      <x:c r="I61" s="2" t="n">
        <x:f>IF(H61=1,IF(E61='Trial Rows'!L61,1,0),0)</x:f>
        <x:v>0</x:v>
      </x:c>
      <x:c r="J61" s="2" t="n">
        <x:f>IF(AND(B61=1,'Trial Rows'!G61="B",'Trial Rows'!P61&gt;0),1,0)</x:f>
        <x:v>0</x:v>
      </x:c>
      <x:c r="K61" s="2" t="n">
        <x:f>IF(AND(B61=1,'Trial Rows'!G61="B",'Trial Rows'!Q61=1),1,0)</x:f>
        <x:v>0</x:v>
      </x:c>
      <x:c r="L61" s="2" t="n">
        <x:f>IF(AND(B61=1,'Trial Rows'!G61="B",'Trial Rows'!R61=1,'Trial Rows'!Q61=0,'Trial Rows'!S61=0),1,0)</x:f>
        <x:v>0</x:v>
      </x:c>
      <x:c r="M61" s="2" t="n">
        <x:f>IF(AND(B61=1,'Trial Rows'!G61="B"),1,0)</x:f>
        <x:v>0</x:v>
      </x:c>
      <x:c r="N61" s="2" t="n">
        <x:f>IF(AND(B61=1,'Trial Rows'!I61=1,COUNTIFS('Trial Rows'!$B$2:$B$201,'Trial Rows'!B61,'Trial Rows'!$C$2:$C$201,'Trial Rows'!C61,'Trial Rows'!$F$2:$F$201,'Trial Rows'!F61,'Trial Rows'!$G$2:$G$201,'Trial Rows'!G61,'Trial Rows'!$Y$2:$Y$201,'Trial Rows'!Y61)=4,COUNTIFS('Trial Rows'!$B$2:$B$201,'Trial Rows'!B61,'Trial Rows'!$C$2:$C$201,'Trial Rows'!C61,'Trial Rows'!$F$2:$F$201,'Trial Rows'!F61,'Trial Rows'!$G$2:$G$201,'Trial Rows'!G61,'Trial Rows'!$Y$2:$Y$201,'Trial Rows'!Y61,'Trial Rows'!$I$2:$I$201,1)=1,COUNTIFS('Trial Rows'!$B$2:$B$201,'Trial Rows'!B61,'Trial Rows'!$C$2:$C$201,'Trial Rows'!C61,'Trial Rows'!$F$2:$F$201,'Trial Rows'!F61,'Trial Rows'!$G$2:$G$201,'Trial Rows'!G61,'Trial Rows'!$Y$2:$Y$201,'Trial Rows'!Y61,'Trial Rows'!$I$2:$I$201,2)=1,COUNTIFS('Trial Rows'!$B$2:$B$201,'Trial Rows'!B61,'Trial Rows'!$C$2:$C$201,'Trial Rows'!C61,'Trial Rows'!$F$2:$F$201,'Trial Rows'!F61,'Trial Rows'!$G$2:$G$201,'Trial Rows'!G61,'Trial Rows'!$Y$2:$Y$201,'Trial Rows'!Y61,'Trial Rows'!$I$2:$I$201,3)=1,COUNTIFS('Trial Rows'!$B$2:$B$201,'Trial Rows'!B61,'Trial Rows'!$C$2:$C$201,'Trial Rows'!C61,'Trial Rows'!$F$2:$F$201,'Trial Rows'!F61,'Trial Rows'!$G$2:$G$201,'Trial Rows'!G61,'Trial Rows'!$Y$2:$Y$201,'Trial Rows'!Y61,'Trial Rows'!$I$2:$I$201,4)=1,COUNTIFS('Trial Rows'!$B$2:$B$201,'Trial Rows'!B61,'Trial Rows'!$C$2:$C$201,'Trial Rows'!C61,'Trial Rows'!$F$2:$F$201,'Trial Rows'!F61,'Trial Rows'!$G$2:$G$201,'Trial Rows'!G61,'Trial Rows'!$Y$2:$Y$201,'Trial Rows'!Y61,'Trial Rows'!$W$2:$W$201,"&lt;&gt;")=4,ISNUMBER('Trial Rows'!U61),COUNTIFS('Trial Rows'!$B$2:$B$201,'Trial Rows'!B61,'Trial Rows'!$C$2:$C$201,'Trial Rows'!C61,'Trial Rows'!$F$2:$F$201,'Trial Rows'!F61,'Trial Rows'!$G$2:$G$201,'Trial Rows'!G61,'Trial Rows'!$Y$2:$Y$201,'Trial Rows'!Y61,'Trial Rows'!$U$2:$U$201,'Trial Rows'!U61)=4,'Trial Rows'!U61&gt;=0),1,0)</x:f>
        <x:v>0</x:v>
      </x:c>
      <x:c r="O61" s="2" t="str">
        <x:f>IF(N61=1,'Trial Rows'!U61/1000,"")</x:f>
      </x:c>
      <x:c r="P61" s="2" t="str">
        <x:f>IF(AND(N61=1,'Trial Rows'!G61="A"),O61,"")</x:f>
      </x:c>
      <x:c r="Q61" s="2" t="str">
        <x:f>IF(AND(N61=1,'Trial Rows'!G61="B"),O61,"")</x:f>
      </x:c>
      <x:c r="R61" s="2" t="str">
        <x:f>IF(AND(N61=1,COUNTIFS('Trial Rows'!$B$2:$B$201,'Trial Rows'!B61,'Trial Rows'!$C$2:$C$201,'Trial Rows'!C61,'Trial Rows'!$F$2:$F$201,'Trial Rows'!F61,'Trial Rows'!$G$2:$G$201,'Trial Rows'!G61,'Trial Rows'!$Y$2:$Y$201,'Trial Rows'!Y61,'Trial Rows'!$N$2:$N$201,"&gt;=0",'Trial Rows'!$N$2:$N$201,"&lt;=4",'Trial Rows'!$N$2:$N$201,"&lt;&gt;")=4),SUMIFS('Trial Rows'!$N$2:$N$201,'Trial Rows'!$B$2:$B$201,'Trial Rows'!B61,'Trial Rows'!$C$2:$C$201,'Trial Rows'!C61,'Trial Rows'!$F$2:$F$201,'Trial Rows'!F61,'Trial Rows'!$G$2:$G$201,'Trial Rows'!G61,'Trial Rows'!$Y$2:$Y$201,'Trial Rows'!Y61,'Trial Rows'!$I$2:$I$201,1)+4-SUMIFS('Trial Rows'!$N$2:$N$201,'Trial Rows'!$B$2:$B$201,'Trial Rows'!B61,'Trial Rows'!$C$2:$C$201,'Trial Rows'!C61,'Trial Rows'!$F$2:$F$201,'Trial Rows'!F61,'Trial Rows'!$G$2:$G$201,'Trial Rows'!G61,'Trial Rows'!$Y$2:$Y$201,'Trial Rows'!Y61,'Trial Rows'!$I$2:$I$201,2)+4-SUMIFS('Trial Rows'!$N$2:$N$201,'Trial Rows'!$B$2:$B$201,'Trial Rows'!B61,'Trial Rows'!$C$2:$C$201,'Trial Rows'!C61,'Trial Rows'!$F$2:$F$201,'Trial Rows'!F61,'Trial Rows'!$G$2:$G$201,'Trial Rows'!G61,'Trial Rows'!$Y$2:$Y$201,'Trial Rows'!Y61,'Trial Rows'!$I$2:$I$201,3)+SUMIFS('Trial Rows'!$N$2:$N$201,'Trial Rows'!$B$2:$B$201,'Trial Rows'!B61,'Trial Rows'!$C$2:$C$201,'Trial Rows'!C61,'Trial Rows'!$F$2:$F$201,'Trial Rows'!F61,'Trial Rows'!$G$2:$G$201,'Trial Rows'!G61,'Trial Rows'!$Y$2:$Y$201,'Trial Rows'!Y61,'Trial Rows'!$I$2:$I$201,4),"")</x:f>
      </x:c>
      <x:c r="S61" s="2" t="n">
        <x:f>IF(AND(B61=1,COUNTIFS('Trial Rows'!$C$2:C61,'Trial Rows'!C61,'Trial Rows'!$F$2:F61,Summary!$B$5,'Trial Rows'!$Y$2:Y61,Summary!$B$4)=1),1,0)</x:f>
        <x:v>0</x:v>
      </x:c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 t="str">
        <x:f>IF('Trial Rows'!A62="","",'Trial Rows'!F62&amp;"|"&amp;'Trial Rows'!B62&amp;"|"&amp;'Trial Rows'!C62&amp;"|"&amp;'Trial Rows'!I62)</x:f>
      </x:c>
      <x:c r="B62" s="2" t="n">
        <x:f>IF(AND('Trial Rows'!A62&lt;&gt;"",'Trial Rows'!Y62=Summary!$B$4,'Trial Rows'!F62=Summary!$B$5),1,0)</x:f>
        <x:v>0</x:v>
      </x:c>
      <x:c r="C62" s="2" t="n">
        <x:f>IF(B62=1,COUNTIFS('Trial Rows'!$B$2:$B$201,'Trial Rows'!B62,'Trial Rows'!$C$2:$C$201,'Trial Rows'!C62,'Trial Rows'!$F$2:$F$201,'Trial Rows'!F62,'Trial Rows'!$I$2:$I$201,'Trial Rows'!I62,'Trial Rows'!$Y$2:$Y$201,'Trial Rows'!Y62,'Trial Rows'!$G$2:$G$201,"A"),0)</x:f>
        <x:v>0</x:v>
      </x:c>
      <x:c r="D62" s="2" t="n">
        <x:f>IF(B62=1,COUNTIFS('Trial Rows'!$B$2:$B$201,'Trial Rows'!B62,'Trial Rows'!$C$2:$C$201,'Trial Rows'!C62,'Trial Rows'!$F$2:$F$201,'Trial Rows'!F62,'Trial Rows'!$I$2:$I$201,'Trial Rows'!I62,'Trial Rows'!$Y$2:$Y$201,'Trial Rows'!Y62,'Trial Rows'!$G$2:$G$201,"B"),0)</x:f>
        <x:v>0</x:v>
      </x:c>
      <x:c r="E62" s="2" t="str">
        <x:f>IF(AND(C62=1,COUNTIFS('Trial Rows'!$B$2:$B$201,'Trial Rows'!B62,'Trial Rows'!$C$2:$C$201,'Trial Rows'!C62,'Trial Rows'!$F$2:$F$201,'Trial Rows'!F62,'Trial Rows'!$I$2:$I$201,'Trial Rows'!I62,'Trial Rows'!$Y$2:$Y$201,'Trial Rows'!Y62,'Trial Rows'!$G$2:$G$201,"A",'Trial Rows'!$K$2:$K$201,"&gt;=0",'Trial Rows'!$K$2:$K$201,"&lt;=4",'Trial Rows'!$K$2:$K$201,"&lt;&gt;")=1),SUMIFS('Trial Rows'!$K$2:$K$201,'Trial Rows'!$B$2:$B$201,'Trial Rows'!B62,'Trial Rows'!$C$2:$C$201,'Trial Rows'!C62,'Trial Rows'!$F$2:$F$201,'Trial Rows'!F62,'Trial Rows'!$I$2:$I$201,'Trial Rows'!I62,'Trial Rows'!$Y$2:$Y$201,'Trial Rows'!Y62,'Trial Rows'!$G$2:$G$201,"A"),"")</x:f>
      </x:c>
      <x:c r="F62" s="2" t="n">
        <x:f>IF(AND(B62=1,'Trial Rows'!G62="B",C62=1,D62=1,ISNUMBER(E62),ISNUMBER('Trial Rows'!M62),'Trial Rows'!M62&gt;=0,'Trial Rows'!M62&lt;=4,'Trial Rows'!Q62=0,'Trial Rows'!S62=0),1,0)</x:f>
        <x:v>0</x:v>
      </x:c>
      <x:c r="G62" s="2" t="n">
        <x:f>IF(F62=1,IF(E62='Trial Rows'!M62,1,0),0)</x:f>
        <x:v>0</x:v>
      </x:c>
      <x:c r="H62" s="2" t="n">
        <x:f>IF(AND(B62=1,'Trial Rows'!G62="B",C62=1,D62=1,ISNUMBER(E62),'Trial Rows'!R62=1,'Trial Rows'!Q62=0,'Trial Rows'!S62=0,ISNUMBER('Trial Rows'!L62),'Trial Rows'!L62&gt;=0,'Trial Rows'!L62&lt;=4),1,0)</x:f>
        <x:v>0</x:v>
      </x:c>
      <x:c r="I62" s="2" t="n">
        <x:f>IF(H62=1,IF(E62='Trial Rows'!L62,1,0),0)</x:f>
        <x:v>0</x:v>
      </x:c>
      <x:c r="J62" s="2" t="n">
        <x:f>IF(AND(B62=1,'Trial Rows'!G62="B",'Trial Rows'!P62&gt;0),1,0)</x:f>
        <x:v>0</x:v>
      </x:c>
      <x:c r="K62" s="2" t="n">
        <x:f>IF(AND(B62=1,'Trial Rows'!G62="B",'Trial Rows'!Q62=1),1,0)</x:f>
        <x:v>0</x:v>
      </x:c>
      <x:c r="L62" s="2" t="n">
        <x:f>IF(AND(B62=1,'Trial Rows'!G62="B",'Trial Rows'!R62=1,'Trial Rows'!Q62=0,'Trial Rows'!S62=0),1,0)</x:f>
        <x:v>0</x:v>
      </x:c>
      <x:c r="M62" s="2" t="n">
        <x:f>IF(AND(B62=1,'Trial Rows'!G62="B"),1,0)</x:f>
        <x:v>0</x:v>
      </x:c>
      <x:c r="N62" s="2" t="n">
        <x:f>IF(AND(B62=1,'Trial Rows'!I62=1,COUNTIFS('Trial Rows'!$B$2:$B$201,'Trial Rows'!B62,'Trial Rows'!$C$2:$C$201,'Trial Rows'!C62,'Trial Rows'!$F$2:$F$201,'Trial Rows'!F62,'Trial Rows'!$G$2:$G$201,'Trial Rows'!G62,'Trial Rows'!$Y$2:$Y$201,'Trial Rows'!Y62)=4,COUNTIFS('Trial Rows'!$B$2:$B$201,'Trial Rows'!B62,'Trial Rows'!$C$2:$C$201,'Trial Rows'!C62,'Trial Rows'!$F$2:$F$201,'Trial Rows'!F62,'Trial Rows'!$G$2:$G$201,'Trial Rows'!G62,'Trial Rows'!$Y$2:$Y$201,'Trial Rows'!Y62,'Trial Rows'!$I$2:$I$201,1)=1,COUNTIFS('Trial Rows'!$B$2:$B$201,'Trial Rows'!B62,'Trial Rows'!$C$2:$C$201,'Trial Rows'!C62,'Trial Rows'!$F$2:$F$201,'Trial Rows'!F62,'Trial Rows'!$G$2:$G$201,'Trial Rows'!G62,'Trial Rows'!$Y$2:$Y$201,'Trial Rows'!Y62,'Trial Rows'!$I$2:$I$201,2)=1,COUNTIFS('Trial Rows'!$B$2:$B$201,'Trial Rows'!B62,'Trial Rows'!$C$2:$C$201,'Trial Rows'!C62,'Trial Rows'!$F$2:$F$201,'Trial Rows'!F62,'Trial Rows'!$G$2:$G$201,'Trial Rows'!G62,'Trial Rows'!$Y$2:$Y$201,'Trial Rows'!Y62,'Trial Rows'!$I$2:$I$201,3)=1,COUNTIFS('Trial Rows'!$B$2:$B$201,'Trial Rows'!B62,'Trial Rows'!$C$2:$C$201,'Trial Rows'!C62,'Trial Rows'!$F$2:$F$201,'Trial Rows'!F62,'Trial Rows'!$G$2:$G$201,'Trial Rows'!G62,'Trial Rows'!$Y$2:$Y$201,'Trial Rows'!Y62,'Trial Rows'!$I$2:$I$201,4)=1,COUNTIFS('Trial Rows'!$B$2:$B$201,'Trial Rows'!B62,'Trial Rows'!$C$2:$C$201,'Trial Rows'!C62,'Trial Rows'!$F$2:$F$201,'Trial Rows'!F62,'Trial Rows'!$G$2:$G$201,'Trial Rows'!G62,'Trial Rows'!$Y$2:$Y$201,'Trial Rows'!Y62,'Trial Rows'!$W$2:$W$201,"&lt;&gt;")=4,ISNUMBER('Trial Rows'!U62),COUNTIFS('Trial Rows'!$B$2:$B$201,'Trial Rows'!B62,'Trial Rows'!$C$2:$C$201,'Trial Rows'!C62,'Trial Rows'!$F$2:$F$201,'Trial Rows'!F62,'Trial Rows'!$G$2:$G$201,'Trial Rows'!G62,'Trial Rows'!$Y$2:$Y$201,'Trial Rows'!Y62,'Trial Rows'!$U$2:$U$201,'Trial Rows'!U62)=4,'Trial Rows'!U62&gt;=0),1,0)</x:f>
        <x:v>0</x:v>
      </x:c>
      <x:c r="O62" s="2" t="str">
        <x:f>IF(N62=1,'Trial Rows'!U62/1000,"")</x:f>
      </x:c>
      <x:c r="P62" s="2" t="str">
        <x:f>IF(AND(N62=1,'Trial Rows'!G62="A"),O62,"")</x:f>
      </x:c>
      <x:c r="Q62" s="2" t="str">
        <x:f>IF(AND(N62=1,'Trial Rows'!G62="B"),O62,"")</x:f>
      </x:c>
      <x:c r="R62" s="2" t="str">
        <x:f>IF(AND(N62=1,COUNTIFS('Trial Rows'!$B$2:$B$201,'Trial Rows'!B62,'Trial Rows'!$C$2:$C$201,'Trial Rows'!C62,'Trial Rows'!$F$2:$F$201,'Trial Rows'!F62,'Trial Rows'!$G$2:$G$201,'Trial Rows'!G62,'Trial Rows'!$Y$2:$Y$201,'Trial Rows'!Y62,'Trial Rows'!$N$2:$N$201,"&gt;=0",'Trial Rows'!$N$2:$N$201,"&lt;=4",'Trial Rows'!$N$2:$N$201,"&lt;&gt;")=4),SUMIFS('Trial Rows'!$N$2:$N$201,'Trial Rows'!$B$2:$B$201,'Trial Rows'!B62,'Trial Rows'!$C$2:$C$201,'Trial Rows'!C62,'Trial Rows'!$F$2:$F$201,'Trial Rows'!F62,'Trial Rows'!$G$2:$G$201,'Trial Rows'!G62,'Trial Rows'!$Y$2:$Y$201,'Trial Rows'!Y62,'Trial Rows'!$I$2:$I$201,1)+4-SUMIFS('Trial Rows'!$N$2:$N$201,'Trial Rows'!$B$2:$B$201,'Trial Rows'!B62,'Trial Rows'!$C$2:$C$201,'Trial Rows'!C62,'Trial Rows'!$F$2:$F$201,'Trial Rows'!F62,'Trial Rows'!$G$2:$G$201,'Trial Rows'!G62,'Trial Rows'!$Y$2:$Y$201,'Trial Rows'!Y62,'Trial Rows'!$I$2:$I$201,2)+4-SUMIFS('Trial Rows'!$N$2:$N$201,'Trial Rows'!$B$2:$B$201,'Trial Rows'!B62,'Trial Rows'!$C$2:$C$201,'Trial Rows'!C62,'Trial Rows'!$F$2:$F$201,'Trial Rows'!F62,'Trial Rows'!$G$2:$G$201,'Trial Rows'!G62,'Trial Rows'!$Y$2:$Y$201,'Trial Rows'!Y62,'Trial Rows'!$I$2:$I$201,3)+SUMIFS('Trial Rows'!$N$2:$N$201,'Trial Rows'!$B$2:$B$201,'Trial Rows'!B62,'Trial Rows'!$C$2:$C$201,'Trial Rows'!C62,'Trial Rows'!$F$2:$F$201,'Trial Rows'!F62,'Trial Rows'!$G$2:$G$201,'Trial Rows'!G62,'Trial Rows'!$Y$2:$Y$201,'Trial Rows'!Y62,'Trial Rows'!$I$2:$I$201,4),"")</x:f>
      </x:c>
      <x:c r="S62" s="2" t="n">
        <x:f>IF(AND(B62=1,COUNTIFS('Trial Rows'!$C$2:C62,'Trial Rows'!C62,'Trial Rows'!$F$2:F62,Summary!$B$5,'Trial Rows'!$Y$2:Y62,Summary!$B$4)=1),1,0)</x:f>
        <x:v>0</x:v>
      </x:c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 t="str">
        <x:f>IF('Trial Rows'!A63="","",'Trial Rows'!F63&amp;"|"&amp;'Trial Rows'!B63&amp;"|"&amp;'Trial Rows'!C63&amp;"|"&amp;'Trial Rows'!I63)</x:f>
      </x:c>
      <x:c r="B63" s="2" t="n">
        <x:f>IF(AND('Trial Rows'!A63&lt;&gt;"",'Trial Rows'!Y63=Summary!$B$4,'Trial Rows'!F63=Summary!$B$5),1,0)</x:f>
        <x:v>0</x:v>
      </x:c>
      <x:c r="C63" s="2" t="n">
        <x:f>IF(B63=1,COUNTIFS('Trial Rows'!$B$2:$B$201,'Trial Rows'!B63,'Trial Rows'!$C$2:$C$201,'Trial Rows'!C63,'Trial Rows'!$F$2:$F$201,'Trial Rows'!F63,'Trial Rows'!$I$2:$I$201,'Trial Rows'!I63,'Trial Rows'!$Y$2:$Y$201,'Trial Rows'!Y63,'Trial Rows'!$G$2:$G$201,"A"),0)</x:f>
        <x:v>0</x:v>
      </x:c>
      <x:c r="D63" s="2" t="n">
        <x:f>IF(B63=1,COUNTIFS('Trial Rows'!$B$2:$B$201,'Trial Rows'!B63,'Trial Rows'!$C$2:$C$201,'Trial Rows'!C63,'Trial Rows'!$F$2:$F$201,'Trial Rows'!F63,'Trial Rows'!$I$2:$I$201,'Trial Rows'!I63,'Trial Rows'!$Y$2:$Y$201,'Trial Rows'!Y63,'Trial Rows'!$G$2:$G$201,"B"),0)</x:f>
        <x:v>0</x:v>
      </x:c>
      <x:c r="E63" s="2" t="str">
        <x:f>IF(AND(C63=1,COUNTIFS('Trial Rows'!$B$2:$B$201,'Trial Rows'!B63,'Trial Rows'!$C$2:$C$201,'Trial Rows'!C63,'Trial Rows'!$F$2:$F$201,'Trial Rows'!F63,'Trial Rows'!$I$2:$I$201,'Trial Rows'!I63,'Trial Rows'!$Y$2:$Y$201,'Trial Rows'!Y63,'Trial Rows'!$G$2:$G$201,"A",'Trial Rows'!$K$2:$K$201,"&gt;=0",'Trial Rows'!$K$2:$K$201,"&lt;=4",'Trial Rows'!$K$2:$K$201,"&lt;&gt;")=1),SUMIFS('Trial Rows'!$K$2:$K$201,'Trial Rows'!$B$2:$B$201,'Trial Rows'!B63,'Trial Rows'!$C$2:$C$201,'Trial Rows'!C63,'Trial Rows'!$F$2:$F$201,'Trial Rows'!F63,'Trial Rows'!$I$2:$I$201,'Trial Rows'!I63,'Trial Rows'!$Y$2:$Y$201,'Trial Rows'!Y63,'Trial Rows'!$G$2:$G$201,"A"),"")</x:f>
      </x:c>
      <x:c r="F63" s="2" t="n">
        <x:f>IF(AND(B63=1,'Trial Rows'!G63="B",C63=1,D63=1,ISNUMBER(E63),ISNUMBER('Trial Rows'!M63),'Trial Rows'!M63&gt;=0,'Trial Rows'!M63&lt;=4,'Trial Rows'!Q63=0,'Trial Rows'!S63=0),1,0)</x:f>
        <x:v>0</x:v>
      </x:c>
      <x:c r="G63" s="2" t="n">
        <x:f>IF(F63=1,IF(E63='Trial Rows'!M63,1,0),0)</x:f>
        <x:v>0</x:v>
      </x:c>
      <x:c r="H63" s="2" t="n">
        <x:f>IF(AND(B63=1,'Trial Rows'!G63="B",C63=1,D63=1,ISNUMBER(E63),'Trial Rows'!R63=1,'Trial Rows'!Q63=0,'Trial Rows'!S63=0,ISNUMBER('Trial Rows'!L63),'Trial Rows'!L63&gt;=0,'Trial Rows'!L63&lt;=4),1,0)</x:f>
        <x:v>0</x:v>
      </x:c>
      <x:c r="I63" s="2" t="n">
        <x:f>IF(H63=1,IF(E63='Trial Rows'!L63,1,0),0)</x:f>
        <x:v>0</x:v>
      </x:c>
      <x:c r="J63" s="2" t="n">
        <x:f>IF(AND(B63=1,'Trial Rows'!G63="B",'Trial Rows'!P63&gt;0),1,0)</x:f>
        <x:v>0</x:v>
      </x:c>
      <x:c r="K63" s="2" t="n">
        <x:f>IF(AND(B63=1,'Trial Rows'!G63="B",'Trial Rows'!Q63=1),1,0)</x:f>
        <x:v>0</x:v>
      </x:c>
      <x:c r="L63" s="2" t="n">
        <x:f>IF(AND(B63=1,'Trial Rows'!G63="B",'Trial Rows'!R63=1,'Trial Rows'!Q63=0,'Trial Rows'!S63=0),1,0)</x:f>
        <x:v>0</x:v>
      </x:c>
      <x:c r="M63" s="2" t="n">
        <x:f>IF(AND(B63=1,'Trial Rows'!G63="B"),1,0)</x:f>
        <x:v>0</x:v>
      </x:c>
      <x:c r="N63" s="2" t="n">
        <x:f>IF(AND(B63=1,'Trial Rows'!I63=1,COUNTIFS('Trial Rows'!$B$2:$B$201,'Trial Rows'!B63,'Trial Rows'!$C$2:$C$201,'Trial Rows'!C63,'Trial Rows'!$F$2:$F$201,'Trial Rows'!F63,'Trial Rows'!$G$2:$G$201,'Trial Rows'!G63,'Trial Rows'!$Y$2:$Y$201,'Trial Rows'!Y63)=4,COUNTIFS('Trial Rows'!$B$2:$B$201,'Trial Rows'!B63,'Trial Rows'!$C$2:$C$201,'Trial Rows'!C63,'Trial Rows'!$F$2:$F$201,'Trial Rows'!F63,'Trial Rows'!$G$2:$G$201,'Trial Rows'!G63,'Trial Rows'!$Y$2:$Y$201,'Trial Rows'!Y63,'Trial Rows'!$I$2:$I$201,1)=1,COUNTIFS('Trial Rows'!$B$2:$B$201,'Trial Rows'!B63,'Trial Rows'!$C$2:$C$201,'Trial Rows'!C63,'Trial Rows'!$F$2:$F$201,'Trial Rows'!F63,'Trial Rows'!$G$2:$G$201,'Trial Rows'!G63,'Trial Rows'!$Y$2:$Y$201,'Trial Rows'!Y63,'Trial Rows'!$I$2:$I$201,2)=1,COUNTIFS('Trial Rows'!$B$2:$B$201,'Trial Rows'!B63,'Trial Rows'!$C$2:$C$201,'Trial Rows'!C63,'Trial Rows'!$F$2:$F$201,'Trial Rows'!F63,'Trial Rows'!$G$2:$G$201,'Trial Rows'!G63,'Trial Rows'!$Y$2:$Y$201,'Trial Rows'!Y63,'Trial Rows'!$I$2:$I$201,3)=1,COUNTIFS('Trial Rows'!$B$2:$B$201,'Trial Rows'!B63,'Trial Rows'!$C$2:$C$201,'Trial Rows'!C63,'Trial Rows'!$F$2:$F$201,'Trial Rows'!F63,'Trial Rows'!$G$2:$G$201,'Trial Rows'!G63,'Trial Rows'!$Y$2:$Y$201,'Trial Rows'!Y63,'Trial Rows'!$I$2:$I$201,4)=1,COUNTIFS('Trial Rows'!$B$2:$B$201,'Trial Rows'!B63,'Trial Rows'!$C$2:$C$201,'Trial Rows'!C63,'Trial Rows'!$F$2:$F$201,'Trial Rows'!F63,'Trial Rows'!$G$2:$G$201,'Trial Rows'!G63,'Trial Rows'!$Y$2:$Y$201,'Trial Rows'!Y63,'Trial Rows'!$W$2:$W$201,"&lt;&gt;")=4,ISNUMBER('Trial Rows'!U63),COUNTIFS('Trial Rows'!$B$2:$B$201,'Trial Rows'!B63,'Trial Rows'!$C$2:$C$201,'Trial Rows'!C63,'Trial Rows'!$F$2:$F$201,'Trial Rows'!F63,'Trial Rows'!$G$2:$G$201,'Trial Rows'!G63,'Trial Rows'!$Y$2:$Y$201,'Trial Rows'!Y63,'Trial Rows'!$U$2:$U$201,'Trial Rows'!U63)=4,'Trial Rows'!U63&gt;=0),1,0)</x:f>
        <x:v>0</x:v>
      </x:c>
      <x:c r="O63" s="2" t="str">
        <x:f>IF(N63=1,'Trial Rows'!U63/1000,"")</x:f>
      </x:c>
      <x:c r="P63" s="2" t="str">
        <x:f>IF(AND(N63=1,'Trial Rows'!G63="A"),O63,"")</x:f>
      </x:c>
      <x:c r="Q63" s="2" t="str">
        <x:f>IF(AND(N63=1,'Trial Rows'!G63="B"),O63,"")</x:f>
      </x:c>
      <x:c r="R63" s="2" t="str">
        <x:f>IF(AND(N63=1,COUNTIFS('Trial Rows'!$B$2:$B$201,'Trial Rows'!B63,'Trial Rows'!$C$2:$C$201,'Trial Rows'!C63,'Trial Rows'!$F$2:$F$201,'Trial Rows'!F63,'Trial Rows'!$G$2:$G$201,'Trial Rows'!G63,'Trial Rows'!$Y$2:$Y$201,'Trial Rows'!Y63,'Trial Rows'!$N$2:$N$201,"&gt;=0",'Trial Rows'!$N$2:$N$201,"&lt;=4",'Trial Rows'!$N$2:$N$201,"&lt;&gt;")=4),SUMIFS('Trial Rows'!$N$2:$N$201,'Trial Rows'!$B$2:$B$201,'Trial Rows'!B63,'Trial Rows'!$C$2:$C$201,'Trial Rows'!C63,'Trial Rows'!$F$2:$F$201,'Trial Rows'!F63,'Trial Rows'!$G$2:$G$201,'Trial Rows'!G63,'Trial Rows'!$Y$2:$Y$201,'Trial Rows'!Y63,'Trial Rows'!$I$2:$I$201,1)+4-SUMIFS('Trial Rows'!$N$2:$N$201,'Trial Rows'!$B$2:$B$201,'Trial Rows'!B63,'Trial Rows'!$C$2:$C$201,'Trial Rows'!C63,'Trial Rows'!$F$2:$F$201,'Trial Rows'!F63,'Trial Rows'!$G$2:$G$201,'Trial Rows'!G63,'Trial Rows'!$Y$2:$Y$201,'Trial Rows'!Y63,'Trial Rows'!$I$2:$I$201,2)+4-SUMIFS('Trial Rows'!$N$2:$N$201,'Trial Rows'!$B$2:$B$201,'Trial Rows'!B63,'Trial Rows'!$C$2:$C$201,'Trial Rows'!C63,'Trial Rows'!$F$2:$F$201,'Trial Rows'!F63,'Trial Rows'!$G$2:$G$201,'Trial Rows'!G63,'Trial Rows'!$Y$2:$Y$201,'Trial Rows'!Y63,'Trial Rows'!$I$2:$I$201,3)+SUMIFS('Trial Rows'!$N$2:$N$201,'Trial Rows'!$B$2:$B$201,'Trial Rows'!B63,'Trial Rows'!$C$2:$C$201,'Trial Rows'!C63,'Trial Rows'!$F$2:$F$201,'Trial Rows'!F63,'Trial Rows'!$G$2:$G$201,'Trial Rows'!G63,'Trial Rows'!$Y$2:$Y$201,'Trial Rows'!Y63,'Trial Rows'!$I$2:$I$201,4),"")</x:f>
      </x:c>
      <x:c r="S63" s="2" t="n">
        <x:f>IF(AND(B63=1,COUNTIFS('Trial Rows'!$C$2:C63,'Trial Rows'!C63,'Trial Rows'!$F$2:F63,Summary!$B$5,'Trial Rows'!$Y$2:Y63,Summary!$B$4)=1),1,0)</x:f>
        <x:v>0</x:v>
      </x:c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 t="str">
        <x:f>IF('Trial Rows'!A64="","",'Trial Rows'!F64&amp;"|"&amp;'Trial Rows'!B64&amp;"|"&amp;'Trial Rows'!C64&amp;"|"&amp;'Trial Rows'!I64)</x:f>
      </x:c>
      <x:c r="B64" s="2" t="n">
        <x:f>IF(AND('Trial Rows'!A64&lt;&gt;"",'Trial Rows'!Y64=Summary!$B$4,'Trial Rows'!F64=Summary!$B$5),1,0)</x:f>
        <x:v>0</x:v>
      </x:c>
      <x:c r="C64" s="2" t="n">
        <x:f>IF(B64=1,COUNTIFS('Trial Rows'!$B$2:$B$201,'Trial Rows'!B64,'Trial Rows'!$C$2:$C$201,'Trial Rows'!C64,'Trial Rows'!$F$2:$F$201,'Trial Rows'!F64,'Trial Rows'!$I$2:$I$201,'Trial Rows'!I64,'Trial Rows'!$Y$2:$Y$201,'Trial Rows'!Y64,'Trial Rows'!$G$2:$G$201,"A"),0)</x:f>
        <x:v>0</x:v>
      </x:c>
      <x:c r="D64" s="2" t="n">
        <x:f>IF(B64=1,COUNTIFS('Trial Rows'!$B$2:$B$201,'Trial Rows'!B64,'Trial Rows'!$C$2:$C$201,'Trial Rows'!C64,'Trial Rows'!$F$2:$F$201,'Trial Rows'!F64,'Trial Rows'!$I$2:$I$201,'Trial Rows'!I64,'Trial Rows'!$Y$2:$Y$201,'Trial Rows'!Y64,'Trial Rows'!$G$2:$G$201,"B"),0)</x:f>
        <x:v>0</x:v>
      </x:c>
      <x:c r="E64" s="2" t="str">
        <x:f>IF(AND(C64=1,COUNTIFS('Trial Rows'!$B$2:$B$201,'Trial Rows'!B64,'Trial Rows'!$C$2:$C$201,'Trial Rows'!C64,'Trial Rows'!$F$2:$F$201,'Trial Rows'!F64,'Trial Rows'!$I$2:$I$201,'Trial Rows'!I64,'Trial Rows'!$Y$2:$Y$201,'Trial Rows'!Y64,'Trial Rows'!$G$2:$G$201,"A",'Trial Rows'!$K$2:$K$201,"&gt;=0",'Trial Rows'!$K$2:$K$201,"&lt;=4",'Trial Rows'!$K$2:$K$201,"&lt;&gt;")=1),SUMIFS('Trial Rows'!$K$2:$K$201,'Trial Rows'!$B$2:$B$201,'Trial Rows'!B64,'Trial Rows'!$C$2:$C$201,'Trial Rows'!C64,'Trial Rows'!$F$2:$F$201,'Trial Rows'!F64,'Trial Rows'!$I$2:$I$201,'Trial Rows'!I64,'Trial Rows'!$Y$2:$Y$201,'Trial Rows'!Y64,'Trial Rows'!$G$2:$G$201,"A"),"")</x:f>
      </x:c>
      <x:c r="F64" s="2" t="n">
        <x:f>IF(AND(B64=1,'Trial Rows'!G64="B",C64=1,D64=1,ISNUMBER(E64),ISNUMBER('Trial Rows'!M64),'Trial Rows'!M64&gt;=0,'Trial Rows'!M64&lt;=4,'Trial Rows'!Q64=0,'Trial Rows'!S64=0),1,0)</x:f>
        <x:v>0</x:v>
      </x:c>
      <x:c r="G64" s="2" t="n">
        <x:f>IF(F64=1,IF(E64='Trial Rows'!M64,1,0),0)</x:f>
        <x:v>0</x:v>
      </x:c>
      <x:c r="H64" s="2" t="n">
        <x:f>IF(AND(B64=1,'Trial Rows'!G64="B",C64=1,D64=1,ISNUMBER(E64),'Trial Rows'!R64=1,'Trial Rows'!Q64=0,'Trial Rows'!S64=0,ISNUMBER('Trial Rows'!L64),'Trial Rows'!L64&gt;=0,'Trial Rows'!L64&lt;=4),1,0)</x:f>
        <x:v>0</x:v>
      </x:c>
      <x:c r="I64" s="2" t="n">
        <x:f>IF(H64=1,IF(E64='Trial Rows'!L64,1,0),0)</x:f>
        <x:v>0</x:v>
      </x:c>
      <x:c r="J64" s="2" t="n">
        <x:f>IF(AND(B64=1,'Trial Rows'!G64="B",'Trial Rows'!P64&gt;0),1,0)</x:f>
        <x:v>0</x:v>
      </x:c>
      <x:c r="K64" s="2" t="n">
        <x:f>IF(AND(B64=1,'Trial Rows'!G64="B",'Trial Rows'!Q64=1),1,0)</x:f>
        <x:v>0</x:v>
      </x:c>
      <x:c r="L64" s="2" t="n">
        <x:f>IF(AND(B64=1,'Trial Rows'!G64="B",'Trial Rows'!R64=1,'Trial Rows'!Q64=0,'Trial Rows'!S64=0),1,0)</x:f>
        <x:v>0</x:v>
      </x:c>
      <x:c r="M64" s="2" t="n">
        <x:f>IF(AND(B64=1,'Trial Rows'!G64="B"),1,0)</x:f>
        <x:v>0</x:v>
      </x:c>
      <x:c r="N64" s="2" t="n">
        <x:f>IF(AND(B64=1,'Trial Rows'!I64=1,COUNTIFS('Trial Rows'!$B$2:$B$201,'Trial Rows'!B64,'Trial Rows'!$C$2:$C$201,'Trial Rows'!C64,'Trial Rows'!$F$2:$F$201,'Trial Rows'!F64,'Trial Rows'!$G$2:$G$201,'Trial Rows'!G64,'Trial Rows'!$Y$2:$Y$201,'Trial Rows'!Y64)=4,COUNTIFS('Trial Rows'!$B$2:$B$201,'Trial Rows'!B64,'Trial Rows'!$C$2:$C$201,'Trial Rows'!C64,'Trial Rows'!$F$2:$F$201,'Trial Rows'!F64,'Trial Rows'!$G$2:$G$201,'Trial Rows'!G64,'Trial Rows'!$Y$2:$Y$201,'Trial Rows'!Y64,'Trial Rows'!$I$2:$I$201,1)=1,COUNTIFS('Trial Rows'!$B$2:$B$201,'Trial Rows'!B64,'Trial Rows'!$C$2:$C$201,'Trial Rows'!C64,'Trial Rows'!$F$2:$F$201,'Trial Rows'!F64,'Trial Rows'!$G$2:$G$201,'Trial Rows'!G64,'Trial Rows'!$Y$2:$Y$201,'Trial Rows'!Y64,'Trial Rows'!$I$2:$I$201,2)=1,COUNTIFS('Trial Rows'!$B$2:$B$201,'Trial Rows'!B64,'Trial Rows'!$C$2:$C$201,'Trial Rows'!C64,'Trial Rows'!$F$2:$F$201,'Trial Rows'!F64,'Trial Rows'!$G$2:$G$201,'Trial Rows'!G64,'Trial Rows'!$Y$2:$Y$201,'Trial Rows'!Y64,'Trial Rows'!$I$2:$I$201,3)=1,COUNTIFS('Trial Rows'!$B$2:$B$201,'Trial Rows'!B64,'Trial Rows'!$C$2:$C$201,'Trial Rows'!C64,'Trial Rows'!$F$2:$F$201,'Trial Rows'!F64,'Trial Rows'!$G$2:$G$201,'Trial Rows'!G64,'Trial Rows'!$Y$2:$Y$201,'Trial Rows'!Y64,'Trial Rows'!$I$2:$I$201,4)=1,COUNTIFS('Trial Rows'!$B$2:$B$201,'Trial Rows'!B64,'Trial Rows'!$C$2:$C$201,'Trial Rows'!C64,'Trial Rows'!$F$2:$F$201,'Trial Rows'!F64,'Trial Rows'!$G$2:$G$201,'Trial Rows'!G64,'Trial Rows'!$Y$2:$Y$201,'Trial Rows'!Y64,'Trial Rows'!$W$2:$W$201,"&lt;&gt;")=4,ISNUMBER('Trial Rows'!U64),COUNTIFS('Trial Rows'!$B$2:$B$201,'Trial Rows'!B64,'Trial Rows'!$C$2:$C$201,'Trial Rows'!C64,'Trial Rows'!$F$2:$F$201,'Trial Rows'!F64,'Trial Rows'!$G$2:$G$201,'Trial Rows'!G64,'Trial Rows'!$Y$2:$Y$201,'Trial Rows'!Y64,'Trial Rows'!$U$2:$U$201,'Trial Rows'!U64)=4,'Trial Rows'!U64&gt;=0),1,0)</x:f>
        <x:v>0</x:v>
      </x:c>
      <x:c r="O64" s="2" t="str">
        <x:f>IF(N64=1,'Trial Rows'!U64/1000,"")</x:f>
      </x:c>
      <x:c r="P64" s="2" t="str">
        <x:f>IF(AND(N64=1,'Trial Rows'!G64="A"),O64,"")</x:f>
      </x:c>
      <x:c r="Q64" s="2" t="str">
        <x:f>IF(AND(N64=1,'Trial Rows'!G64="B"),O64,"")</x:f>
      </x:c>
      <x:c r="R64" s="2" t="str">
        <x:f>IF(AND(N64=1,COUNTIFS('Trial Rows'!$B$2:$B$201,'Trial Rows'!B64,'Trial Rows'!$C$2:$C$201,'Trial Rows'!C64,'Trial Rows'!$F$2:$F$201,'Trial Rows'!F64,'Trial Rows'!$G$2:$G$201,'Trial Rows'!G64,'Trial Rows'!$Y$2:$Y$201,'Trial Rows'!Y64,'Trial Rows'!$N$2:$N$201,"&gt;=0",'Trial Rows'!$N$2:$N$201,"&lt;=4",'Trial Rows'!$N$2:$N$201,"&lt;&gt;")=4),SUMIFS('Trial Rows'!$N$2:$N$201,'Trial Rows'!$B$2:$B$201,'Trial Rows'!B64,'Trial Rows'!$C$2:$C$201,'Trial Rows'!C64,'Trial Rows'!$F$2:$F$201,'Trial Rows'!F64,'Trial Rows'!$G$2:$G$201,'Trial Rows'!G64,'Trial Rows'!$Y$2:$Y$201,'Trial Rows'!Y64,'Trial Rows'!$I$2:$I$201,1)+4-SUMIFS('Trial Rows'!$N$2:$N$201,'Trial Rows'!$B$2:$B$201,'Trial Rows'!B64,'Trial Rows'!$C$2:$C$201,'Trial Rows'!C64,'Trial Rows'!$F$2:$F$201,'Trial Rows'!F64,'Trial Rows'!$G$2:$G$201,'Trial Rows'!G64,'Trial Rows'!$Y$2:$Y$201,'Trial Rows'!Y64,'Trial Rows'!$I$2:$I$201,2)+4-SUMIFS('Trial Rows'!$N$2:$N$201,'Trial Rows'!$B$2:$B$201,'Trial Rows'!B64,'Trial Rows'!$C$2:$C$201,'Trial Rows'!C64,'Trial Rows'!$F$2:$F$201,'Trial Rows'!F64,'Trial Rows'!$G$2:$G$201,'Trial Rows'!G64,'Trial Rows'!$Y$2:$Y$201,'Trial Rows'!Y64,'Trial Rows'!$I$2:$I$201,3)+SUMIFS('Trial Rows'!$N$2:$N$201,'Trial Rows'!$B$2:$B$201,'Trial Rows'!B64,'Trial Rows'!$C$2:$C$201,'Trial Rows'!C64,'Trial Rows'!$F$2:$F$201,'Trial Rows'!F64,'Trial Rows'!$G$2:$G$201,'Trial Rows'!G64,'Trial Rows'!$Y$2:$Y$201,'Trial Rows'!Y64,'Trial Rows'!$I$2:$I$201,4),"")</x:f>
      </x:c>
      <x:c r="S64" s="2" t="n">
        <x:f>IF(AND(B64=1,COUNTIFS('Trial Rows'!$C$2:C64,'Trial Rows'!C64,'Trial Rows'!$F$2:F64,Summary!$B$5,'Trial Rows'!$Y$2:Y64,Summary!$B$4)=1),1,0)</x:f>
        <x:v>0</x:v>
      </x:c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 t="str">
        <x:f>IF('Trial Rows'!A65="","",'Trial Rows'!F65&amp;"|"&amp;'Trial Rows'!B65&amp;"|"&amp;'Trial Rows'!C65&amp;"|"&amp;'Trial Rows'!I65)</x:f>
      </x:c>
      <x:c r="B65" s="2" t="n">
        <x:f>IF(AND('Trial Rows'!A65&lt;&gt;"",'Trial Rows'!Y65=Summary!$B$4,'Trial Rows'!F65=Summary!$B$5),1,0)</x:f>
        <x:v>0</x:v>
      </x:c>
      <x:c r="C65" s="2" t="n">
        <x:f>IF(B65=1,COUNTIFS('Trial Rows'!$B$2:$B$201,'Trial Rows'!B65,'Trial Rows'!$C$2:$C$201,'Trial Rows'!C65,'Trial Rows'!$F$2:$F$201,'Trial Rows'!F65,'Trial Rows'!$I$2:$I$201,'Trial Rows'!I65,'Trial Rows'!$Y$2:$Y$201,'Trial Rows'!Y65,'Trial Rows'!$G$2:$G$201,"A"),0)</x:f>
        <x:v>0</x:v>
      </x:c>
      <x:c r="D65" s="2" t="n">
        <x:f>IF(B65=1,COUNTIFS('Trial Rows'!$B$2:$B$201,'Trial Rows'!B65,'Trial Rows'!$C$2:$C$201,'Trial Rows'!C65,'Trial Rows'!$F$2:$F$201,'Trial Rows'!F65,'Trial Rows'!$I$2:$I$201,'Trial Rows'!I65,'Trial Rows'!$Y$2:$Y$201,'Trial Rows'!Y65,'Trial Rows'!$G$2:$G$201,"B"),0)</x:f>
        <x:v>0</x:v>
      </x:c>
      <x:c r="E65" s="2" t="str">
        <x:f>IF(AND(C65=1,COUNTIFS('Trial Rows'!$B$2:$B$201,'Trial Rows'!B65,'Trial Rows'!$C$2:$C$201,'Trial Rows'!C65,'Trial Rows'!$F$2:$F$201,'Trial Rows'!F65,'Trial Rows'!$I$2:$I$201,'Trial Rows'!I65,'Trial Rows'!$Y$2:$Y$201,'Trial Rows'!Y65,'Trial Rows'!$G$2:$G$201,"A",'Trial Rows'!$K$2:$K$201,"&gt;=0",'Trial Rows'!$K$2:$K$201,"&lt;=4",'Trial Rows'!$K$2:$K$201,"&lt;&gt;")=1),SUMIFS('Trial Rows'!$K$2:$K$201,'Trial Rows'!$B$2:$B$201,'Trial Rows'!B65,'Trial Rows'!$C$2:$C$201,'Trial Rows'!C65,'Trial Rows'!$F$2:$F$201,'Trial Rows'!F65,'Trial Rows'!$I$2:$I$201,'Trial Rows'!I65,'Trial Rows'!$Y$2:$Y$201,'Trial Rows'!Y65,'Trial Rows'!$G$2:$G$201,"A"),"")</x:f>
      </x:c>
      <x:c r="F65" s="2" t="n">
        <x:f>IF(AND(B65=1,'Trial Rows'!G65="B",C65=1,D65=1,ISNUMBER(E65),ISNUMBER('Trial Rows'!M65),'Trial Rows'!M65&gt;=0,'Trial Rows'!M65&lt;=4,'Trial Rows'!Q65=0,'Trial Rows'!S65=0),1,0)</x:f>
        <x:v>0</x:v>
      </x:c>
      <x:c r="G65" s="2" t="n">
        <x:f>IF(F65=1,IF(E65='Trial Rows'!M65,1,0),0)</x:f>
        <x:v>0</x:v>
      </x:c>
      <x:c r="H65" s="2" t="n">
        <x:f>IF(AND(B65=1,'Trial Rows'!G65="B",C65=1,D65=1,ISNUMBER(E65),'Trial Rows'!R65=1,'Trial Rows'!Q65=0,'Trial Rows'!S65=0,ISNUMBER('Trial Rows'!L65),'Trial Rows'!L65&gt;=0,'Trial Rows'!L65&lt;=4),1,0)</x:f>
        <x:v>0</x:v>
      </x:c>
      <x:c r="I65" s="2" t="n">
        <x:f>IF(H65=1,IF(E65='Trial Rows'!L65,1,0),0)</x:f>
        <x:v>0</x:v>
      </x:c>
      <x:c r="J65" s="2" t="n">
        <x:f>IF(AND(B65=1,'Trial Rows'!G65="B",'Trial Rows'!P65&gt;0),1,0)</x:f>
        <x:v>0</x:v>
      </x:c>
      <x:c r="K65" s="2" t="n">
        <x:f>IF(AND(B65=1,'Trial Rows'!G65="B",'Trial Rows'!Q65=1),1,0)</x:f>
        <x:v>0</x:v>
      </x:c>
      <x:c r="L65" s="2" t="n">
        <x:f>IF(AND(B65=1,'Trial Rows'!G65="B",'Trial Rows'!R65=1,'Trial Rows'!Q65=0,'Trial Rows'!S65=0),1,0)</x:f>
        <x:v>0</x:v>
      </x:c>
      <x:c r="M65" s="2" t="n">
        <x:f>IF(AND(B65=1,'Trial Rows'!G65="B"),1,0)</x:f>
        <x:v>0</x:v>
      </x:c>
      <x:c r="N65" s="2" t="n">
        <x:f>IF(AND(B65=1,'Trial Rows'!I65=1,COUNTIFS('Trial Rows'!$B$2:$B$201,'Trial Rows'!B65,'Trial Rows'!$C$2:$C$201,'Trial Rows'!C65,'Trial Rows'!$F$2:$F$201,'Trial Rows'!F65,'Trial Rows'!$G$2:$G$201,'Trial Rows'!G65,'Trial Rows'!$Y$2:$Y$201,'Trial Rows'!Y65)=4,COUNTIFS('Trial Rows'!$B$2:$B$201,'Trial Rows'!B65,'Trial Rows'!$C$2:$C$201,'Trial Rows'!C65,'Trial Rows'!$F$2:$F$201,'Trial Rows'!F65,'Trial Rows'!$G$2:$G$201,'Trial Rows'!G65,'Trial Rows'!$Y$2:$Y$201,'Trial Rows'!Y65,'Trial Rows'!$I$2:$I$201,1)=1,COUNTIFS('Trial Rows'!$B$2:$B$201,'Trial Rows'!B65,'Trial Rows'!$C$2:$C$201,'Trial Rows'!C65,'Trial Rows'!$F$2:$F$201,'Trial Rows'!F65,'Trial Rows'!$G$2:$G$201,'Trial Rows'!G65,'Trial Rows'!$Y$2:$Y$201,'Trial Rows'!Y65,'Trial Rows'!$I$2:$I$201,2)=1,COUNTIFS('Trial Rows'!$B$2:$B$201,'Trial Rows'!B65,'Trial Rows'!$C$2:$C$201,'Trial Rows'!C65,'Trial Rows'!$F$2:$F$201,'Trial Rows'!F65,'Trial Rows'!$G$2:$G$201,'Trial Rows'!G65,'Trial Rows'!$Y$2:$Y$201,'Trial Rows'!Y65,'Trial Rows'!$I$2:$I$201,3)=1,COUNTIFS('Trial Rows'!$B$2:$B$201,'Trial Rows'!B65,'Trial Rows'!$C$2:$C$201,'Trial Rows'!C65,'Trial Rows'!$F$2:$F$201,'Trial Rows'!F65,'Trial Rows'!$G$2:$G$201,'Trial Rows'!G65,'Trial Rows'!$Y$2:$Y$201,'Trial Rows'!Y65,'Trial Rows'!$I$2:$I$201,4)=1,COUNTIFS('Trial Rows'!$B$2:$B$201,'Trial Rows'!B65,'Trial Rows'!$C$2:$C$201,'Trial Rows'!C65,'Trial Rows'!$F$2:$F$201,'Trial Rows'!F65,'Trial Rows'!$G$2:$G$201,'Trial Rows'!G65,'Trial Rows'!$Y$2:$Y$201,'Trial Rows'!Y65,'Trial Rows'!$W$2:$W$201,"&lt;&gt;")=4,ISNUMBER('Trial Rows'!U65),COUNTIFS('Trial Rows'!$B$2:$B$201,'Trial Rows'!B65,'Trial Rows'!$C$2:$C$201,'Trial Rows'!C65,'Trial Rows'!$F$2:$F$201,'Trial Rows'!F65,'Trial Rows'!$G$2:$G$201,'Trial Rows'!G65,'Trial Rows'!$Y$2:$Y$201,'Trial Rows'!Y65,'Trial Rows'!$U$2:$U$201,'Trial Rows'!U65)=4,'Trial Rows'!U65&gt;=0),1,0)</x:f>
        <x:v>0</x:v>
      </x:c>
      <x:c r="O65" s="2" t="str">
        <x:f>IF(N65=1,'Trial Rows'!U65/1000,"")</x:f>
      </x:c>
      <x:c r="P65" s="2" t="str">
        <x:f>IF(AND(N65=1,'Trial Rows'!G65="A"),O65,"")</x:f>
      </x:c>
      <x:c r="Q65" s="2" t="str">
        <x:f>IF(AND(N65=1,'Trial Rows'!G65="B"),O65,"")</x:f>
      </x:c>
      <x:c r="R65" s="2" t="str">
        <x:f>IF(AND(N65=1,COUNTIFS('Trial Rows'!$B$2:$B$201,'Trial Rows'!B65,'Trial Rows'!$C$2:$C$201,'Trial Rows'!C65,'Trial Rows'!$F$2:$F$201,'Trial Rows'!F65,'Trial Rows'!$G$2:$G$201,'Trial Rows'!G65,'Trial Rows'!$Y$2:$Y$201,'Trial Rows'!Y65,'Trial Rows'!$N$2:$N$201,"&gt;=0",'Trial Rows'!$N$2:$N$201,"&lt;=4",'Trial Rows'!$N$2:$N$201,"&lt;&gt;")=4),SUMIFS('Trial Rows'!$N$2:$N$201,'Trial Rows'!$B$2:$B$201,'Trial Rows'!B65,'Trial Rows'!$C$2:$C$201,'Trial Rows'!C65,'Trial Rows'!$F$2:$F$201,'Trial Rows'!F65,'Trial Rows'!$G$2:$G$201,'Trial Rows'!G65,'Trial Rows'!$Y$2:$Y$201,'Trial Rows'!Y65,'Trial Rows'!$I$2:$I$201,1)+4-SUMIFS('Trial Rows'!$N$2:$N$201,'Trial Rows'!$B$2:$B$201,'Trial Rows'!B65,'Trial Rows'!$C$2:$C$201,'Trial Rows'!C65,'Trial Rows'!$F$2:$F$201,'Trial Rows'!F65,'Trial Rows'!$G$2:$G$201,'Trial Rows'!G65,'Trial Rows'!$Y$2:$Y$201,'Trial Rows'!Y65,'Trial Rows'!$I$2:$I$201,2)+4-SUMIFS('Trial Rows'!$N$2:$N$201,'Trial Rows'!$B$2:$B$201,'Trial Rows'!B65,'Trial Rows'!$C$2:$C$201,'Trial Rows'!C65,'Trial Rows'!$F$2:$F$201,'Trial Rows'!F65,'Trial Rows'!$G$2:$G$201,'Trial Rows'!G65,'Trial Rows'!$Y$2:$Y$201,'Trial Rows'!Y65,'Trial Rows'!$I$2:$I$201,3)+SUMIFS('Trial Rows'!$N$2:$N$201,'Trial Rows'!$B$2:$B$201,'Trial Rows'!B65,'Trial Rows'!$C$2:$C$201,'Trial Rows'!C65,'Trial Rows'!$F$2:$F$201,'Trial Rows'!F65,'Trial Rows'!$G$2:$G$201,'Trial Rows'!G65,'Trial Rows'!$Y$2:$Y$201,'Trial Rows'!Y65,'Trial Rows'!$I$2:$I$201,4),"")</x:f>
      </x:c>
      <x:c r="S65" s="2" t="n">
        <x:f>IF(AND(B65=1,COUNTIFS('Trial Rows'!$C$2:C65,'Trial Rows'!C65,'Trial Rows'!$F$2:F65,Summary!$B$5,'Trial Rows'!$Y$2:Y65,Summary!$B$4)=1),1,0)</x:f>
        <x:v>0</x:v>
      </x:c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 t="str">
        <x:f>IF('Trial Rows'!A66="","",'Trial Rows'!F66&amp;"|"&amp;'Trial Rows'!B66&amp;"|"&amp;'Trial Rows'!C66&amp;"|"&amp;'Trial Rows'!I66)</x:f>
      </x:c>
      <x:c r="B66" s="2" t="n">
        <x:f>IF(AND('Trial Rows'!A66&lt;&gt;"",'Trial Rows'!Y66=Summary!$B$4,'Trial Rows'!F66=Summary!$B$5),1,0)</x:f>
        <x:v>0</x:v>
      </x:c>
      <x:c r="C66" s="2" t="n">
        <x:f>IF(B66=1,COUNTIFS('Trial Rows'!$B$2:$B$201,'Trial Rows'!B66,'Trial Rows'!$C$2:$C$201,'Trial Rows'!C66,'Trial Rows'!$F$2:$F$201,'Trial Rows'!F66,'Trial Rows'!$I$2:$I$201,'Trial Rows'!I66,'Trial Rows'!$Y$2:$Y$201,'Trial Rows'!Y66,'Trial Rows'!$G$2:$G$201,"A"),0)</x:f>
        <x:v>0</x:v>
      </x:c>
      <x:c r="D66" s="2" t="n">
        <x:f>IF(B66=1,COUNTIFS('Trial Rows'!$B$2:$B$201,'Trial Rows'!B66,'Trial Rows'!$C$2:$C$201,'Trial Rows'!C66,'Trial Rows'!$F$2:$F$201,'Trial Rows'!F66,'Trial Rows'!$I$2:$I$201,'Trial Rows'!I66,'Trial Rows'!$Y$2:$Y$201,'Trial Rows'!Y66,'Trial Rows'!$G$2:$G$201,"B"),0)</x:f>
        <x:v>0</x:v>
      </x:c>
      <x:c r="E66" s="2" t="str">
        <x:f>IF(AND(C66=1,COUNTIFS('Trial Rows'!$B$2:$B$201,'Trial Rows'!B66,'Trial Rows'!$C$2:$C$201,'Trial Rows'!C66,'Trial Rows'!$F$2:$F$201,'Trial Rows'!F66,'Trial Rows'!$I$2:$I$201,'Trial Rows'!I66,'Trial Rows'!$Y$2:$Y$201,'Trial Rows'!Y66,'Trial Rows'!$G$2:$G$201,"A",'Trial Rows'!$K$2:$K$201,"&gt;=0",'Trial Rows'!$K$2:$K$201,"&lt;=4",'Trial Rows'!$K$2:$K$201,"&lt;&gt;")=1),SUMIFS('Trial Rows'!$K$2:$K$201,'Trial Rows'!$B$2:$B$201,'Trial Rows'!B66,'Trial Rows'!$C$2:$C$201,'Trial Rows'!C66,'Trial Rows'!$F$2:$F$201,'Trial Rows'!F66,'Trial Rows'!$I$2:$I$201,'Trial Rows'!I66,'Trial Rows'!$Y$2:$Y$201,'Trial Rows'!Y66,'Trial Rows'!$G$2:$G$201,"A"),"")</x:f>
      </x:c>
      <x:c r="F66" s="2" t="n">
        <x:f>IF(AND(B66=1,'Trial Rows'!G66="B",C66=1,D66=1,ISNUMBER(E66),ISNUMBER('Trial Rows'!M66),'Trial Rows'!M66&gt;=0,'Trial Rows'!M66&lt;=4,'Trial Rows'!Q66=0,'Trial Rows'!S66=0),1,0)</x:f>
        <x:v>0</x:v>
      </x:c>
      <x:c r="G66" s="2" t="n">
        <x:f>IF(F66=1,IF(E66='Trial Rows'!M66,1,0),0)</x:f>
        <x:v>0</x:v>
      </x:c>
      <x:c r="H66" s="2" t="n">
        <x:f>IF(AND(B66=1,'Trial Rows'!G66="B",C66=1,D66=1,ISNUMBER(E66),'Trial Rows'!R66=1,'Trial Rows'!Q66=0,'Trial Rows'!S66=0,ISNUMBER('Trial Rows'!L66),'Trial Rows'!L66&gt;=0,'Trial Rows'!L66&lt;=4),1,0)</x:f>
        <x:v>0</x:v>
      </x:c>
      <x:c r="I66" s="2" t="n">
        <x:f>IF(H66=1,IF(E66='Trial Rows'!L66,1,0),0)</x:f>
        <x:v>0</x:v>
      </x:c>
      <x:c r="J66" s="2" t="n">
        <x:f>IF(AND(B66=1,'Trial Rows'!G66="B",'Trial Rows'!P66&gt;0),1,0)</x:f>
        <x:v>0</x:v>
      </x:c>
      <x:c r="K66" s="2" t="n">
        <x:f>IF(AND(B66=1,'Trial Rows'!G66="B",'Trial Rows'!Q66=1),1,0)</x:f>
        <x:v>0</x:v>
      </x:c>
      <x:c r="L66" s="2" t="n">
        <x:f>IF(AND(B66=1,'Trial Rows'!G66="B",'Trial Rows'!R66=1,'Trial Rows'!Q66=0,'Trial Rows'!S66=0),1,0)</x:f>
        <x:v>0</x:v>
      </x:c>
      <x:c r="M66" s="2" t="n">
        <x:f>IF(AND(B66=1,'Trial Rows'!G66="B"),1,0)</x:f>
        <x:v>0</x:v>
      </x:c>
      <x:c r="N66" s="2" t="n">
        <x:f>IF(AND(B66=1,'Trial Rows'!I66=1,COUNTIFS('Trial Rows'!$B$2:$B$201,'Trial Rows'!B66,'Trial Rows'!$C$2:$C$201,'Trial Rows'!C66,'Trial Rows'!$F$2:$F$201,'Trial Rows'!F66,'Trial Rows'!$G$2:$G$201,'Trial Rows'!G66,'Trial Rows'!$Y$2:$Y$201,'Trial Rows'!Y66)=4,COUNTIFS('Trial Rows'!$B$2:$B$201,'Trial Rows'!B66,'Trial Rows'!$C$2:$C$201,'Trial Rows'!C66,'Trial Rows'!$F$2:$F$201,'Trial Rows'!F66,'Trial Rows'!$G$2:$G$201,'Trial Rows'!G66,'Trial Rows'!$Y$2:$Y$201,'Trial Rows'!Y66,'Trial Rows'!$I$2:$I$201,1)=1,COUNTIFS('Trial Rows'!$B$2:$B$201,'Trial Rows'!B66,'Trial Rows'!$C$2:$C$201,'Trial Rows'!C66,'Trial Rows'!$F$2:$F$201,'Trial Rows'!F66,'Trial Rows'!$G$2:$G$201,'Trial Rows'!G66,'Trial Rows'!$Y$2:$Y$201,'Trial Rows'!Y66,'Trial Rows'!$I$2:$I$201,2)=1,COUNTIFS('Trial Rows'!$B$2:$B$201,'Trial Rows'!B66,'Trial Rows'!$C$2:$C$201,'Trial Rows'!C66,'Trial Rows'!$F$2:$F$201,'Trial Rows'!F66,'Trial Rows'!$G$2:$G$201,'Trial Rows'!G66,'Trial Rows'!$Y$2:$Y$201,'Trial Rows'!Y66,'Trial Rows'!$I$2:$I$201,3)=1,COUNTIFS('Trial Rows'!$B$2:$B$201,'Trial Rows'!B66,'Trial Rows'!$C$2:$C$201,'Trial Rows'!C66,'Trial Rows'!$F$2:$F$201,'Trial Rows'!F66,'Trial Rows'!$G$2:$G$201,'Trial Rows'!G66,'Trial Rows'!$Y$2:$Y$201,'Trial Rows'!Y66,'Trial Rows'!$I$2:$I$201,4)=1,COUNTIFS('Trial Rows'!$B$2:$B$201,'Trial Rows'!B66,'Trial Rows'!$C$2:$C$201,'Trial Rows'!C66,'Trial Rows'!$F$2:$F$201,'Trial Rows'!F66,'Trial Rows'!$G$2:$G$201,'Trial Rows'!G66,'Trial Rows'!$Y$2:$Y$201,'Trial Rows'!Y66,'Trial Rows'!$W$2:$W$201,"&lt;&gt;")=4,ISNUMBER('Trial Rows'!U66),COUNTIFS('Trial Rows'!$B$2:$B$201,'Trial Rows'!B66,'Trial Rows'!$C$2:$C$201,'Trial Rows'!C66,'Trial Rows'!$F$2:$F$201,'Trial Rows'!F66,'Trial Rows'!$G$2:$G$201,'Trial Rows'!G66,'Trial Rows'!$Y$2:$Y$201,'Trial Rows'!Y66,'Trial Rows'!$U$2:$U$201,'Trial Rows'!U66)=4,'Trial Rows'!U66&gt;=0),1,0)</x:f>
        <x:v>0</x:v>
      </x:c>
      <x:c r="O66" s="2" t="str">
        <x:f>IF(N66=1,'Trial Rows'!U66/1000,"")</x:f>
      </x:c>
      <x:c r="P66" s="2" t="str">
        <x:f>IF(AND(N66=1,'Trial Rows'!G66="A"),O66,"")</x:f>
      </x:c>
      <x:c r="Q66" s="2" t="str">
        <x:f>IF(AND(N66=1,'Trial Rows'!G66="B"),O66,"")</x:f>
      </x:c>
      <x:c r="R66" s="2" t="str">
        <x:f>IF(AND(N66=1,COUNTIFS('Trial Rows'!$B$2:$B$201,'Trial Rows'!B66,'Trial Rows'!$C$2:$C$201,'Trial Rows'!C66,'Trial Rows'!$F$2:$F$201,'Trial Rows'!F66,'Trial Rows'!$G$2:$G$201,'Trial Rows'!G66,'Trial Rows'!$Y$2:$Y$201,'Trial Rows'!Y66,'Trial Rows'!$N$2:$N$201,"&gt;=0",'Trial Rows'!$N$2:$N$201,"&lt;=4",'Trial Rows'!$N$2:$N$201,"&lt;&gt;")=4),SUMIFS('Trial Rows'!$N$2:$N$201,'Trial Rows'!$B$2:$B$201,'Trial Rows'!B66,'Trial Rows'!$C$2:$C$201,'Trial Rows'!C66,'Trial Rows'!$F$2:$F$201,'Trial Rows'!F66,'Trial Rows'!$G$2:$G$201,'Trial Rows'!G66,'Trial Rows'!$Y$2:$Y$201,'Trial Rows'!Y66,'Trial Rows'!$I$2:$I$201,1)+4-SUMIFS('Trial Rows'!$N$2:$N$201,'Trial Rows'!$B$2:$B$201,'Trial Rows'!B66,'Trial Rows'!$C$2:$C$201,'Trial Rows'!C66,'Trial Rows'!$F$2:$F$201,'Trial Rows'!F66,'Trial Rows'!$G$2:$G$201,'Trial Rows'!G66,'Trial Rows'!$Y$2:$Y$201,'Trial Rows'!Y66,'Trial Rows'!$I$2:$I$201,2)+4-SUMIFS('Trial Rows'!$N$2:$N$201,'Trial Rows'!$B$2:$B$201,'Trial Rows'!B66,'Trial Rows'!$C$2:$C$201,'Trial Rows'!C66,'Trial Rows'!$F$2:$F$201,'Trial Rows'!F66,'Trial Rows'!$G$2:$G$201,'Trial Rows'!G66,'Trial Rows'!$Y$2:$Y$201,'Trial Rows'!Y66,'Trial Rows'!$I$2:$I$201,3)+SUMIFS('Trial Rows'!$N$2:$N$201,'Trial Rows'!$B$2:$B$201,'Trial Rows'!B66,'Trial Rows'!$C$2:$C$201,'Trial Rows'!C66,'Trial Rows'!$F$2:$F$201,'Trial Rows'!F66,'Trial Rows'!$G$2:$G$201,'Trial Rows'!G66,'Trial Rows'!$Y$2:$Y$201,'Trial Rows'!Y66,'Trial Rows'!$I$2:$I$201,4),"")</x:f>
      </x:c>
      <x:c r="S66" s="2" t="n">
        <x:f>IF(AND(B66=1,COUNTIFS('Trial Rows'!$C$2:C66,'Trial Rows'!C66,'Trial Rows'!$F$2:F66,Summary!$B$5,'Trial Rows'!$Y$2:Y66,Summary!$B$4)=1),1,0)</x:f>
        <x:v>0</x:v>
      </x:c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 t="str">
        <x:f>IF('Trial Rows'!A67="","",'Trial Rows'!F67&amp;"|"&amp;'Trial Rows'!B67&amp;"|"&amp;'Trial Rows'!C67&amp;"|"&amp;'Trial Rows'!I67)</x:f>
      </x:c>
      <x:c r="B67" s="2" t="n">
        <x:f>IF(AND('Trial Rows'!A67&lt;&gt;"",'Trial Rows'!Y67=Summary!$B$4,'Trial Rows'!F67=Summary!$B$5),1,0)</x:f>
        <x:v>0</x:v>
      </x:c>
      <x:c r="C67" s="2" t="n">
        <x:f>IF(B67=1,COUNTIFS('Trial Rows'!$B$2:$B$201,'Trial Rows'!B67,'Trial Rows'!$C$2:$C$201,'Trial Rows'!C67,'Trial Rows'!$F$2:$F$201,'Trial Rows'!F67,'Trial Rows'!$I$2:$I$201,'Trial Rows'!I67,'Trial Rows'!$Y$2:$Y$201,'Trial Rows'!Y67,'Trial Rows'!$G$2:$G$201,"A"),0)</x:f>
        <x:v>0</x:v>
      </x:c>
      <x:c r="D67" s="2" t="n">
        <x:f>IF(B67=1,COUNTIFS('Trial Rows'!$B$2:$B$201,'Trial Rows'!B67,'Trial Rows'!$C$2:$C$201,'Trial Rows'!C67,'Trial Rows'!$F$2:$F$201,'Trial Rows'!F67,'Trial Rows'!$I$2:$I$201,'Trial Rows'!I67,'Trial Rows'!$Y$2:$Y$201,'Trial Rows'!Y67,'Trial Rows'!$G$2:$G$201,"B"),0)</x:f>
        <x:v>0</x:v>
      </x:c>
      <x:c r="E67" s="2" t="str">
        <x:f>IF(AND(C67=1,COUNTIFS('Trial Rows'!$B$2:$B$201,'Trial Rows'!B67,'Trial Rows'!$C$2:$C$201,'Trial Rows'!C67,'Trial Rows'!$F$2:$F$201,'Trial Rows'!F67,'Trial Rows'!$I$2:$I$201,'Trial Rows'!I67,'Trial Rows'!$Y$2:$Y$201,'Trial Rows'!Y67,'Trial Rows'!$G$2:$G$201,"A",'Trial Rows'!$K$2:$K$201,"&gt;=0",'Trial Rows'!$K$2:$K$201,"&lt;=4",'Trial Rows'!$K$2:$K$201,"&lt;&gt;")=1),SUMIFS('Trial Rows'!$K$2:$K$201,'Trial Rows'!$B$2:$B$201,'Trial Rows'!B67,'Trial Rows'!$C$2:$C$201,'Trial Rows'!C67,'Trial Rows'!$F$2:$F$201,'Trial Rows'!F67,'Trial Rows'!$I$2:$I$201,'Trial Rows'!I67,'Trial Rows'!$Y$2:$Y$201,'Trial Rows'!Y67,'Trial Rows'!$G$2:$G$201,"A"),"")</x:f>
      </x:c>
      <x:c r="F67" s="2" t="n">
        <x:f>IF(AND(B67=1,'Trial Rows'!G67="B",C67=1,D67=1,ISNUMBER(E67),ISNUMBER('Trial Rows'!M67),'Trial Rows'!M67&gt;=0,'Trial Rows'!M67&lt;=4,'Trial Rows'!Q67=0,'Trial Rows'!S67=0),1,0)</x:f>
        <x:v>0</x:v>
      </x:c>
      <x:c r="G67" s="2" t="n">
        <x:f>IF(F67=1,IF(E67='Trial Rows'!M67,1,0),0)</x:f>
        <x:v>0</x:v>
      </x:c>
      <x:c r="H67" s="2" t="n">
        <x:f>IF(AND(B67=1,'Trial Rows'!G67="B",C67=1,D67=1,ISNUMBER(E67),'Trial Rows'!R67=1,'Trial Rows'!Q67=0,'Trial Rows'!S67=0,ISNUMBER('Trial Rows'!L67),'Trial Rows'!L67&gt;=0,'Trial Rows'!L67&lt;=4),1,0)</x:f>
        <x:v>0</x:v>
      </x:c>
      <x:c r="I67" s="2" t="n">
        <x:f>IF(H67=1,IF(E67='Trial Rows'!L67,1,0),0)</x:f>
        <x:v>0</x:v>
      </x:c>
      <x:c r="J67" s="2" t="n">
        <x:f>IF(AND(B67=1,'Trial Rows'!G67="B",'Trial Rows'!P67&gt;0),1,0)</x:f>
        <x:v>0</x:v>
      </x:c>
      <x:c r="K67" s="2" t="n">
        <x:f>IF(AND(B67=1,'Trial Rows'!G67="B",'Trial Rows'!Q67=1),1,0)</x:f>
        <x:v>0</x:v>
      </x:c>
      <x:c r="L67" s="2" t="n">
        <x:f>IF(AND(B67=1,'Trial Rows'!G67="B",'Trial Rows'!R67=1,'Trial Rows'!Q67=0,'Trial Rows'!S67=0),1,0)</x:f>
        <x:v>0</x:v>
      </x:c>
      <x:c r="M67" s="2" t="n">
        <x:f>IF(AND(B67=1,'Trial Rows'!G67="B"),1,0)</x:f>
        <x:v>0</x:v>
      </x:c>
      <x:c r="N67" s="2" t="n">
        <x:f>IF(AND(B67=1,'Trial Rows'!I67=1,COUNTIFS('Trial Rows'!$B$2:$B$201,'Trial Rows'!B67,'Trial Rows'!$C$2:$C$201,'Trial Rows'!C67,'Trial Rows'!$F$2:$F$201,'Trial Rows'!F67,'Trial Rows'!$G$2:$G$201,'Trial Rows'!G67,'Trial Rows'!$Y$2:$Y$201,'Trial Rows'!Y67)=4,COUNTIFS('Trial Rows'!$B$2:$B$201,'Trial Rows'!B67,'Trial Rows'!$C$2:$C$201,'Trial Rows'!C67,'Trial Rows'!$F$2:$F$201,'Trial Rows'!F67,'Trial Rows'!$G$2:$G$201,'Trial Rows'!G67,'Trial Rows'!$Y$2:$Y$201,'Trial Rows'!Y67,'Trial Rows'!$I$2:$I$201,1)=1,COUNTIFS('Trial Rows'!$B$2:$B$201,'Trial Rows'!B67,'Trial Rows'!$C$2:$C$201,'Trial Rows'!C67,'Trial Rows'!$F$2:$F$201,'Trial Rows'!F67,'Trial Rows'!$G$2:$G$201,'Trial Rows'!G67,'Trial Rows'!$Y$2:$Y$201,'Trial Rows'!Y67,'Trial Rows'!$I$2:$I$201,2)=1,COUNTIFS('Trial Rows'!$B$2:$B$201,'Trial Rows'!B67,'Trial Rows'!$C$2:$C$201,'Trial Rows'!C67,'Trial Rows'!$F$2:$F$201,'Trial Rows'!F67,'Trial Rows'!$G$2:$G$201,'Trial Rows'!G67,'Trial Rows'!$Y$2:$Y$201,'Trial Rows'!Y67,'Trial Rows'!$I$2:$I$201,3)=1,COUNTIFS('Trial Rows'!$B$2:$B$201,'Trial Rows'!B67,'Trial Rows'!$C$2:$C$201,'Trial Rows'!C67,'Trial Rows'!$F$2:$F$201,'Trial Rows'!F67,'Trial Rows'!$G$2:$G$201,'Trial Rows'!G67,'Trial Rows'!$Y$2:$Y$201,'Trial Rows'!Y67,'Trial Rows'!$I$2:$I$201,4)=1,COUNTIFS('Trial Rows'!$B$2:$B$201,'Trial Rows'!B67,'Trial Rows'!$C$2:$C$201,'Trial Rows'!C67,'Trial Rows'!$F$2:$F$201,'Trial Rows'!F67,'Trial Rows'!$G$2:$G$201,'Trial Rows'!G67,'Trial Rows'!$Y$2:$Y$201,'Trial Rows'!Y67,'Trial Rows'!$W$2:$W$201,"&lt;&gt;")=4,ISNUMBER('Trial Rows'!U67),COUNTIFS('Trial Rows'!$B$2:$B$201,'Trial Rows'!B67,'Trial Rows'!$C$2:$C$201,'Trial Rows'!C67,'Trial Rows'!$F$2:$F$201,'Trial Rows'!F67,'Trial Rows'!$G$2:$G$201,'Trial Rows'!G67,'Trial Rows'!$Y$2:$Y$201,'Trial Rows'!Y67,'Trial Rows'!$U$2:$U$201,'Trial Rows'!U67)=4,'Trial Rows'!U67&gt;=0),1,0)</x:f>
        <x:v>0</x:v>
      </x:c>
      <x:c r="O67" s="2" t="str">
        <x:f>IF(N67=1,'Trial Rows'!U67/1000,"")</x:f>
      </x:c>
      <x:c r="P67" s="2" t="str">
        <x:f>IF(AND(N67=1,'Trial Rows'!G67="A"),O67,"")</x:f>
      </x:c>
      <x:c r="Q67" s="2" t="str">
        <x:f>IF(AND(N67=1,'Trial Rows'!G67="B"),O67,"")</x:f>
      </x:c>
      <x:c r="R67" s="2" t="str">
        <x:f>IF(AND(N67=1,COUNTIFS('Trial Rows'!$B$2:$B$201,'Trial Rows'!B67,'Trial Rows'!$C$2:$C$201,'Trial Rows'!C67,'Trial Rows'!$F$2:$F$201,'Trial Rows'!F67,'Trial Rows'!$G$2:$G$201,'Trial Rows'!G67,'Trial Rows'!$Y$2:$Y$201,'Trial Rows'!Y67,'Trial Rows'!$N$2:$N$201,"&gt;=0",'Trial Rows'!$N$2:$N$201,"&lt;=4",'Trial Rows'!$N$2:$N$201,"&lt;&gt;")=4),SUMIFS('Trial Rows'!$N$2:$N$201,'Trial Rows'!$B$2:$B$201,'Trial Rows'!B67,'Trial Rows'!$C$2:$C$201,'Trial Rows'!C67,'Trial Rows'!$F$2:$F$201,'Trial Rows'!F67,'Trial Rows'!$G$2:$G$201,'Trial Rows'!G67,'Trial Rows'!$Y$2:$Y$201,'Trial Rows'!Y67,'Trial Rows'!$I$2:$I$201,1)+4-SUMIFS('Trial Rows'!$N$2:$N$201,'Trial Rows'!$B$2:$B$201,'Trial Rows'!B67,'Trial Rows'!$C$2:$C$201,'Trial Rows'!C67,'Trial Rows'!$F$2:$F$201,'Trial Rows'!F67,'Trial Rows'!$G$2:$G$201,'Trial Rows'!G67,'Trial Rows'!$Y$2:$Y$201,'Trial Rows'!Y67,'Trial Rows'!$I$2:$I$201,2)+4-SUMIFS('Trial Rows'!$N$2:$N$201,'Trial Rows'!$B$2:$B$201,'Trial Rows'!B67,'Trial Rows'!$C$2:$C$201,'Trial Rows'!C67,'Trial Rows'!$F$2:$F$201,'Trial Rows'!F67,'Trial Rows'!$G$2:$G$201,'Trial Rows'!G67,'Trial Rows'!$Y$2:$Y$201,'Trial Rows'!Y67,'Trial Rows'!$I$2:$I$201,3)+SUMIFS('Trial Rows'!$N$2:$N$201,'Trial Rows'!$B$2:$B$201,'Trial Rows'!B67,'Trial Rows'!$C$2:$C$201,'Trial Rows'!C67,'Trial Rows'!$F$2:$F$201,'Trial Rows'!F67,'Trial Rows'!$G$2:$G$201,'Trial Rows'!G67,'Trial Rows'!$Y$2:$Y$201,'Trial Rows'!Y67,'Trial Rows'!$I$2:$I$201,4),"")</x:f>
      </x:c>
      <x:c r="S67" s="2" t="n">
        <x:f>IF(AND(B67=1,COUNTIFS('Trial Rows'!$C$2:C67,'Trial Rows'!C67,'Trial Rows'!$F$2:F67,Summary!$B$5,'Trial Rows'!$Y$2:Y67,Summary!$B$4)=1),1,0)</x:f>
        <x:v>0</x:v>
      </x:c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 t="str">
        <x:f>IF('Trial Rows'!A68="","",'Trial Rows'!F68&amp;"|"&amp;'Trial Rows'!B68&amp;"|"&amp;'Trial Rows'!C68&amp;"|"&amp;'Trial Rows'!I68)</x:f>
      </x:c>
      <x:c r="B68" s="2" t="n">
        <x:f>IF(AND('Trial Rows'!A68&lt;&gt;"",'Trial Rows'!Y68=Summary!$B$4,'Trial Rows'!F68=Summary!$B$5),1,0)</x:f>
        <x:v>0</x:v>
      </x:c>
      <x:c r="C68" s="2" t="n">
        <x:f>IF(B68=1,COUNTIFS('Trial Rows'!$B$2:$B$201,'Trial Rows'!B68,'Trial Rows'!$C$2:$C$201,'Trial Rows'!C68,'Trial Rows'!$F$2:$F$201,'Trial Rows'!F68,'Trial Rows'!$I$2:$I$201,'Trial Rows'!I68,'Trial Rows'!$Y$2:$Y$201,'Trial Rows'!Y68,'Trial Rows'!$G$2:$G$201,"A"),0)</x:f>
        <x:v>0</x:v>
      </x:c>
      <x:c r="D68" s="2" t="n">
        <x:f>IF(B68=1,COUNTIFS('Trial Rows'!$B$2:$B$201,'Trial Rows'!B68,'Trial Rows'!$C$2:$C$201,'Trial Rows'!C68,'Trial Rows'!$F$2:$F$201,'Trial Rows'!F68,'Trial Rows'!$I$2:$I$201,'Trial Rows'!I68,'Trial Rows'!$Y$2:$Y$201,'Trial Rows'!Y68,'Trial Rows'!$G$2:$G$201,"B"),0)</x:f>
        <x:v>0</x:v>
      </x:c>
      <x:c r="E68" s="2" t="str">
        <x:f>IF(AND(C68=1,COUNTIFS('Trial Rows'!$B$2:$B$201,'Trial Rows'!B68,'Trial Rows'!$C$2:$C$201,'Trial Rows'!C68,'Trial Rows'!$F$2:$F$201,'Trial Rows'!F68,'Trial Rows'!$I$2:$I$201,'Trial Rows'!I68,'Trial Rows'!$Y$2:$Y$201,'Trial Rows'!Y68,'Trial Rows'!$G$2:$G$201,"A",'Trial Rows'!$K$2:$K$201,"&gt;=0",'Trial Rows'!$K$2:$K$201,"&lt;=4",'Trial Rows'!$K$2:$K$201,"&lt;&gt;")=1),SUMIFS('Trial Rows'!$K$2:$K$201,'Trial Rows'!$B$2:$B$201,'Trial Rows'!B68,'Trial Rows'!$C$2:$C$201,'Trial Rows'!C68,'Trial Rows'!$F$2:$F$201,'Trial Rows'!F68,'Trial Rows'!$I$2:$I$201,'Trial Rows'!I68,'Trial Rows'!$Y$2:$Y$201,'Trial Rows'!Y68,'Trial Rows'!$G$2:$G$201,"A"),"")</x:f>
      </x:c>
      <x:c r="F68" s="2" t="n">
        <x:f>IF(AND(B68=1,'Trial Rows'!G68="B",C68=1,D68=1,ISNUMBER(E68),ISNUMBER('Trial Rows'!M68),'Trial Rows'!M68&gt;=0,'Trial Rows'!M68&lt;=4,'Trial Rows'!Q68=0,'Trial Rows'!S68=0),1,0)</x:f>
        <x:v>0</x:v>
      </x:c>
      <x:c r="G68" s="2" t="n">
        <x:f>IF(F68=1,IF(E68='Trial Rows'!M68,1,0),0)</x:f>
        <x:v>0</x:v>
      </x:c>
      <x:c r="H68" s="2" t="n">
        <x:f>IF(AND(B68=1,'Trial Rows'!G68="B",C68=1,D68=1,ISNUMBER(E68),'Trial Rows'!R68=1,'Trial Rows'!Q68=0,'Trial Rows'!S68=0,ISNUMBER('Trial Rows'!L68),'Trial Rows'!L68&gt;=0,'Trial Rows'!L68&lt;=4),1,0)</x:f>
        <x:v>0</x:v>
      </x:c>
      <x:c r="I68" s="2" t="n">
        <x:f>IF(H68=1,IF(E68='Trial Rows'!L68,1,0),0)</x:f>
        <x:v>0</x:v>
      </x:c>
      <x:c r="J68" s="2" t="n">
        <x:f>IF(AND(B68=1,'Trial Rows'!G68="B",'Trial Rows'!P68&gt;0),1,0)</x:f>
        <x:v>0</x:v>
      </x:c>
      <x:c r="K68" s="2" t="n">
        <x:f>IF(AND(B68=1,'Trial Rows'!G68="B",'Trial Rows'!Q68=1),1,0)</x:f>
        <x:v>0</x:v>
      </x:c>
      <x:c r="L68" s="2" t="n">
        <x:f>IF(AND(B68=1,'Trial Rows'!G68="B",'Trial Rows'!R68=1,'Trial Rows'!Q68=0,'Trial Rows'!S68=0),1,0)</x:f>
        <x:v>0</x:v>
      </x:c>
      <x:c r="M68" s="2" t="n">
        <x:f>IF(AND(B68=1,'Trial Rows'!G68="B"),1,0)</x:f>
        <x:v>0</x:v>
      </x:c>
      <x:c r="N68" s="2" t="n">
        <x:f>IF(AND(B68=1,'Trial Rows'!I68=1,COUNTIFS('Trial Rows'!$B$2:$B$201,'Trial Rows'!B68,'Trial Rows'!$C$2:$C$201,'Trial Rows'!C68,'Trial Rows'!$F$2:$F$201,'Trial Rows'!F68,'Trial Rows'!$G$2:$G$201,'Trial Rows'!G68,'Trial Rows'!$Y$2:$Y$201,'Trial Rows'!Y68)=4,COUNTIFS('Trial Rows'!$B$2:$B$201,'Trial Rows'!B68,'Trial Rows'!$C$2:$C$201,'Trial Rows'!C68,'Trial Rows'!$F$2:$F$201,'Trial Rows'!F68,'Trial Rows'!$G$2:$G$201,'Trial Rows'!G68,'Trial Rows'!$Y$2:$Y$201,'Trial Rows'!Y68,'Trial Rows'!$I$2:$I$201,1)=1,COUNTIFS('Trial Rows'!$B$2:$B$201,'Trial Rows'!B68,'Trial Rows'!$C$2:$C$201,'Trial Rows'!C68,'Trial Rows'!$F$2:$F$201,'Trial Rows'!F68,'Trial Rows'!$G$2:$G$201,'Trial Rows'!G68,'Trial Rows'!$Y$2:$Y$201,'Trial Rows'!Y68,'Trial Rows'!$I$2:$I$201,2)=1,COUNTIFS('Trial Rows'!$B$2:$B$201,'Trial Rows'!B68,'Trial Rows'!$C$2:$C$201,'Trial Rows'!C68,'Trial Rows'!$F$2:$F$201,'Trial Rows'!F68,'Trial Rows'!$G$2:$G$201,'Trial Rows'!G68,'Trial Rows'!$Y$2:$Y$201,'Trial Rows'!Y68,'Trial Rows'!$I$2:$I$201,3)=1,COUNTIFS('Trial Rows'!$B$2:$B$201,'Trial Rows'!B68,'Trial Rows'!$C$2:$C$201,'Trial Rows'!C68,'Trial Rows'!$F$2:$F$201,'Trial Rows'!F68,'Trial Rows'!$G$2:$G$201,'Trial Rows'!G68,'Trial Rows'!$Y$2:$Y$201,'Trial Rows'!Y68,'Trial Rows'!$I$2:$I$201,4)=1,COUNTIFS('Trial Rows'!$B$2:$B$201,'Trial Rows'!B68,'Trial Rows'!$C$2:$C$201,'Trial Rows'!C68,'Trial Rows'!$F$2:$F$201,'Trial Rows'!F68,'Trial Rows'!$G$2:$G$201,'Trial Rows'!G68,'Trial Rows'!$Y$2:$Y$201,'Trial Rows'!Y68,'Trial Rows'!$W$2:$W$201,"&lt;&gt;")=4,ISNUMBER('Trial Rows'!U68),COUNTIFS('Trial Rows'!$B$2:$B$201,'Trial Rows'!B68,'Trial Rows'!$C$2:$C$201,'Trial Rows'!C68,'Trial Rows'!$F$2:$F$201,'Trial Rows'!F68,'Trial Rows'!$G$2:$G$201,'Trial Rows'!G68,'Trial Rows'!$Y$2:$Y$201,'Trial Rows'!Y68,'Trial Rows'!$U$2:$U$201,'Trial Rows'!U68)=4,'Trial Rows'!U68&gt;=0),1,0)</x:f>
        <x:v>0</x:v>
      </x:c>
      <x:c r="O68" s="2" t="str">
        <x:f>IF(N68=1,'Trial Rows'!U68/1000,"")</x:f>
      </x:c>
      <x:c r="P68" s="2" t="str">
        <x:f>IF(AND(N68=1,'Trial Rows'!G68="A"),O68,"")</x:f>
      </x:c>
      <x:c r="Q68" s="2" t="str">
        <x:f>IF(AND(N68=1,'Trial Rows'!G68="B"),O68,"")</x:f>
      </x:c>
      <x:c r="R68" s="2" t="str">
        <x:f>IF(AND(N68=1,COUNTIFS('Trial Rows'!$B$2:$B$201,'Trial Rows'!B68,'Trial Rows'!$C$2:$C$201,'Trial Rows'!C68,'Trial Rows'!$F$2:$F$201,'Trial Rows'!F68,'Trial Rows'!$G$2:$G$201,'Trial Rows'!G68,'Trial Rows'!$Y$2:$Y$201,'Trial Rows'!Y68,'Trial Rows'!$N$2:$N$201,"&gt;=0",'Trial Rows'!$N$2:$N$201,"&lt;=4",'Trial Rows'!$N$2:$N$201,"&lt;&gt;")=4),SUMIFS('Trial Rows'!$N$2:$N$201,'Trial Rows'!$B$2:$B$201,'Trial Rows'!B68,'Trial Rows'!$C$2:$C$201,'Trial Rows'!C68,'Trial Rows'!$F$2:$F$201,'Trial Rows'!F68,'Trial Rows'!$G$2:$G$201,'Trial Rows'!G68,'Trial Rows'!$Y$2:$Y$201,'Trial Rows'!Y68,'Trial Rows'!$I$2:$I$201,1)+4-SUMIFS('Trial Rows'!$N$2:$N$201,'Trial Rows'!$B$2:$B$201,'Trial Rows'!B68,'Trial Rows'!$C$2:$C$201,'Trial Rows'!C68,'Trial Rows'!$F$2:$F$201,'Trial Rows'!F68,'Trial Rows'!$G$2:$G$201,'Trial Rows'!G68,'Trial Rows'!$Y$2:$Y$201,'Trial Rows'!Y68,'Trial Rows'!$I$2:$I$201,2)+4-SUMIFS('Trial Rows'!$N$2:$N$201,'Trial Rows'!$B$2:$B$201,'Trial Rows'!B68,'Trial Rows'!$C$2:$C$201,'Trial Rows'!C68,'Trial Rows'!$F$2:$F$201,'Trial Rows'!F68,'Trial Rows'!$G$2:$G$201,'Trial Rows'!G68,'Trial Rows'!$Y$2:$Y$201,'Trial Rows'!Y68,'Trial Rows'!$I$2:$I$201,3)+SUMIFS('Trial Rows'!$N$2:$N$201,'Trial Rows'!$B$2:$B$201,'Trial Rows'!B68,'Trial Rows'!$C$2:$C$201,'Trial Rows'!C68,'Trial Rows'!$F$2:$F$201,'Trial Rows'!F68,'Trial Rows'!$G$2:$G$201,'Trial Rows'!G68,'Trial Rows'!$Y$2:$Y$201,'Trial Rows'!Y68,'Trial Rows'!$I$2:$I$201,4),"")</x:f>
      </x:c>
      <x:c r="S68" s="2" t="n">
        <x:f>IF(AND(B68=1,COUNTIFS('Trial Rows'!$C$2:C68,'Trial Rows'!C68,'Trial Rows'!$F$2:F68,Summary!$B$5,'Trial Rows'!$Y$2:Y68,Summary!$B$4)=1),1,0)</x:f>
        <x:v>0</x:v>
      </x:c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 t="str">
        <x:f>IF('Trial Rows'!A69="","",'Trial Rows'!F69&amp;"|"&amp;'Trial Rows'!B69&amp;"|"&amp;'Trial Rows'!C69&amp;"|"&amp;'Trial Rows'!I69)</x:f>
      </x:c>
      <x:c r="B69" s="2" t="n">
        <x:f>IF(AND('Trial Rows'!A69&lt;&gt;"",'Trial Rows'!Y69=Summary!$B$4,'Trial Rows'!F69=Summary!$B$5),1,0)</x:f>
        <x:v>0</x:v>
      </x:c>
      <x:c r="C69" s="2" t="n">
        <x:f>IF(B69=1,COUNTIFS('Trial Rows'!$B$2:$B$201,'Trial Rows'!B69,'Trial Rows'!$C$2:$C$201,'Trial Rows'!C69,'Trial Rows'!$F$2:$F$201,'Trial Rows'!F69,'Trial Rows'!$I$2:$I$201,'Trial Rows'!I69,'Trial Rows'!$Y$2:$Y$201,'Trial Rows'!Y69,'Trial Rows'!$G$2:$G$201,"A"),0)</x:f>
        <x:v>0</x:v>
      </x:c>
      <x:c r="D69" s="2" t="n">
        <x:f>IF(B69=1,COUNTIFS('Trial Rows'!$B$2:$B$201,'Trial Rows'!B69,'Trial Rows'!$C$2:$C$201,'Trial Rows'!C69,'Trial Rows'!$F$2:$F$201,'Trial Rows'!F69,'Trial Rows'!$I$2:$I$201,'Trial Rows'!I69,'Trial Rows'!$Y$2:$Y$201,'Trial Rows'!Y69,'Trial Rows'!$G$2:$G$201,"B"),0)</x:f>
        <x:v>0</x:v>
      </x:c>
      <x:c r="E69" s="2" t="str">
        <x:f>IF(AND(C69=1,COUNTIFS('Trial Rows'!$B$2:$B$201,'Trial Rows'!B69,'Trial Rows'!$C$2:$C$201,'Trial Rows'!C69,'Trial Rows'!$F$2:$F$201,'Trial Rows'!F69,'Trial Rows'!$I$2:$I$201,'Trial Rows'!I69,'Trial Rows'!$Y$2:$Y$201,'Trial Rows'!Y69,'Trial Rows'!$G$2:$G$201,"A",'Trial Rows'!$K$2:$K$201,"&gt;=0",'Trial Rows'!$K$2:$K$201,"&lt;=4",'Trial Rows'!$K$2:$K$201,"&lt;&gt;")=1),SUMIFS('Trial Rows'!$K$2:$K$201,'Trial Rows'!$B$2:$B$201,'Trial Rows'!B69,'Trial Rows'!$C$2:$C$201,'Trial Rows'!C69,'Trial Rows'!$F$2:$F$201,'Trial Rows'!F69,'Trial Rows'!$I$2:$I$201,'Trial Rows'!I69,'Trial Rows'!$Y$2:$Y$201,'Trial Rows'!Y69,'Trial Rows'!$G$2:$G$201,"A"),"")</x:f>
      </x:c>
      <x:c r="F69" s="2" t="n">
        <x:f>IF(AND(B69=1,'Trial Rows'!G69="B",C69=1,D69=1,ISNUMBER(E69),ISNUMBER('Trial Rows'!M69),'Trial Rows'!M69&gt;=0,'Trial Rows'!M69&lt;=4,'Trial Rows'!Q69=0,'Trial Rows'!S69=0),1,0)</x:f>
        <x:v>0</x:v>
      </x:c>
      <x:c r="G69" s="2" t="n">
        <x:f>IF(F69=1,IF(E69='Trial Rows'!M69,1,0),0)</x:f>
        <x:v>0</x:v>
      </x:c>
      <x:c r="H69" s="2" t="n">
        <x:f>IF(AND(B69=1,'Trial Rows'!G69="B",C69=1,D69=1,ISNUMBER(E69),'Trial Rows'!R69=1,'Trial Rows'!Q69=0,'Trial Rows'!S69=0,ISNUMBER('Trial Rows'!L69),'Trial Rows'!L69&gt;=0,'Trial Rows'!L69&lt;=4),1,0)</x:f>
        <x:v>0</x:v>
      </x:c>
      <x:c r="I69" s="2" t="n">
        <x:f>IF(H69=1,IF(E69='Trial Rows'!L69,1,0),0)</x:f>
        <x:v>0</x:v>
      </x:c>
      <x:c r="J69" s="2" t="n">
        <x:f>IF(AND(B69=1,'Trial Rows'!G69="B",'Trial Rows'!P69&gt;0),1,0)</x:f>
        <x:v>0</x:v>
      </x:c>
      <x:c r="K69" s="2" t="n">
        <x:f>IF(AND(B69=1,'Trial Rows'!G69="B",'Trial Rows'!Q69=1),1,0)</x:f>
        <x:v>0</x:v>
      </x:c>
      <x:c r="L69" s="2" t="n">
        <x:f>IF(AND(B69=1,'Trial Rows'!G69="B",'Trial Rows'!R69=1,'Trial Rows'!Q69=0,'Trial Rows'!S69=0),1,0)</x:f>
        <x:v>0</x:v>
      </x:c>
      <x:c r="M69" s="2" t="n">
        <x:f>IF(AND(B69=1,'Trial Rows'!G69="B"),1,0)</x:f>
        <x:v>0</x:v>
      </x:c>
      <x:c r="N69" s="2" t="n">
        <x:f>IF(AND(B69=1,'Trial Rows'!I69=1,COUNTIFS('Trial Rows'!$B$2:$B$201,'Trial Rows'!B69,'Trial Rows'!$C$2:$C$201,'Trial Rows'!C69,'Trial Rows'!$F$2:$F$201,'Trial Rows'!F69,'Trial Rows'!$G$2:$G$201,'Trial Rows'!G69,'Trial Rows'!$Y$2:$Y$201,'Trial Rows'!Y69)=4,COUNTIFS('Trial Rows'!$B$2:$B$201,'Trial Rows'!B69,'Trial Rows'!$C$2:$C$201,'Trial Rows'!C69,'Trial Rows'!$F$2:$F$201,'Trial Rows'!F69,'Trial Rows'!$G$2:$G$201,'Trial Rows'!G69,'Trial Rows'!$Y$2:$Y$201,'Trial Rows'!Y69,'Trial Rows'!$I$2:$I$201,1)=1,COUNTIFS('Trial Rows'!$B$2:$B$201,'Trial Rows'!B69,'Trial Rows'!$C$2:$C$201,'Trial Rows'!C69,'Trial Rows'!$F$2:$F$201,'Trial Rows'!F69,'Trial Rows'!$G$2:$G$201,'Trial Rows'!G69,'Trial Rows'!$Y$2:$Y$201,'Trial Rows'!Y69,'Trial Rows'!$I$2:$I$201,2)=1,COUNTIFS('Trial Rows'!$B$2:$B$201,'Trial Rows'!B69,'Trial Rows'!$C$2:$C$201,'Trial Rows'!C69,'Trial Rows'!$F$2:$F$201,'Trial Rows'!F69,'Trial Rows'!$G$2:$G$201,'Trial Rows'!G69,'Trial Rows'!$Y$2:$Y$201,'Trial Rows'!Y69,'Trial Rows'!$I$2:$I$201,3)=1,COUNTIFS('Trial Rows'!$B$2:$B$201,'Trial Rows'!B69,'Trial Rows'!$C$2:$C$201,'Trial Rows'!C69,'Trial Rows'!$F$2:$F$201,'Trial Rows'!F69,'Trial Rows'!$G$2:$G$201,'Trial Rows'!G69,'Trial Rows'!$Y$2:$Y$201,'Trial Rows'!Y69,'Trial Rows'!$I$2:$I$201,4)=1,COUNTIFS('Trial Rows'!$B$2:$B$201,'Trial Rows'!B69,'Trial Rows'!$C$2:$C$201,'Trial Rows'!C69,'Trial Rows'!$F$2:$F$201,'Trial Rows'!F69,'Trial Rows'!$G$2:$G$201,'Trial Rows'!G69,'Trial Rows'!$Y$2:$Y$201,'Trial Rows'!Y69,'Trial Rows'!$W$2:$W$201,"&lt;&gt;")=4,ISNUMBER('Trial Rows'!U69),COUNTIFS('Trial Rows'!$B$2:$B$201,'Trial Rows'!B69,'Trial Rows'!$C$2:$C$201,'Trial Rows'!C69,'Trial Rows'!$F$2:$F$201,'Trial Rows'!F69,'Trial Rows'!$G$2:$G$201,'Trial Rows'!G69,'Trial Rows'!$Y$2:$Y$201,'Trial Rows'!Y69,'Trial Rows'!$U$2:$U$201,'Trial Rows'!U69)=4,'Trial Rows'!U69&gt;=0),1,0)</x:f>
        <x:v>0</x:v>
      </x:c>
      <x:c r="O69" s="2" t="str">
        <x:f>IF(N69=1,'Trial Rows'!U69/1000,"")</x:f>
      </x:c>
      <x:c r="P69" s="2" t="str">
        <x:f>IF(AND(N69=1,'Trial Rows'!G69="A"),O69,"")</x:f>
      </x:c>
      <x:c r="Q69" s="2" t="str">
        <x:f>IF(AND(N69=1,'Trial Rows'!G69="B"),O69,"")</x:f>
      </x:c>
      <x:c r="R69" s="2" t="str">
        <x:f>IF(AND(N69=1,COUNTIFS('Trial Rows'!$B$2:$B$201,'Trial Rows'!B69,'Trial Rows'!$C$2:$C$201,'Trial Rows'!C69,'Trial Rows'!$F$2:$F$201,'Trial Rows'!F69,'Trial Rows'!$G$2:$G$201,'Trial Rows'!G69,'Trial Rows'!$Y$2:$Y$201,'Trial Rows'!Y69,'Trial Rows'!$N$2:$N$201,"&gt;=0",'Trial Rows'!$N$2:$N$201,"&lt;=4",'Trial Rows'!$N$2:$N$201,"&lt;&gt;")=4),SUMIFS('Trial Rows'!$N$2:$N$201,'Trial Rows'!$B$2:$B$201,'Trial Rows'!B69,'Trial Rows'!$C$2:$C$201,'Trial Rows'!C69,'Trial Rows'!$F$2:$F$201,'Trial Rows'!F69,'Trial Rows'!$G$2:$G$201,'Trial Rows'!G69,'Trial Rows'!$Y$2:$Y$201,'Trial Rows'!Y69,'Trial Rows'!$I$2:$I$201,1)+4-SUMIFS('Trial Rows'!$N$2:$N$201,'Trial Rows'!$B$2:$B$201,'Trial Rows'!B69,'Trial Rows'!$C$2:$C$201,'Trial Rows'!C69,'Trial Rows'!$F$2:$F$201,'Trial Rows'!F69,'Trial Rows'!$G$2:$G$201,'Trial Rows'!G69,'Trial Rows'!$Y$2:$Y$201,'Trial Rows'!Y69,'Trial Rows'!$I$2:$I$201,2)+4-SUMIFS('Trial Rows'!$N$2:$N$201,'Trial Rows'!$B$2:$B$201,'Trial Rows'!B69,'Trial Rows'!$C$2:$C$201,'Trial Rows'!C69,'Trial Rows'!$F$2:$F$201,'Trial Rows'!F69,'Trial Rows'!$G$2:$G$201,'Trial Rows'!G69,'Trial Rows'!$Y$2:$Y$201,'Trial Rows'!Y69,'Trial Rows'!$I$2:$I$201,3)+SUMIFS('Trial Rows'!$N$2:$N$201,'Trial Rows'!$B$2:$B$201,'Trial Rows'!B69,'Trial Rows'!$C$2:$C$201,'Trial Rows'!C69,'Trial Rows'!$F$2:$F$201,'Trial Rows'!F69,'Trial Rows'!$G$2:$G$201,'Trial Rows'!G69,'Trial Rows'!$Y$2:$Y$201,'Trial Rows'!Y69,'Trial Rows'!$I$2:$I$201,4),"")</x:f>
      </x:c>
      <x:c r="S69" s="2" t="n">
        <x:f>IF(AND(B69=1,COUNTIFS('Trial Rows'!$C$2:C69,'Trial Rows'!C69,'Trial Rows'!$F$2:F69,Summary!$B$5,'Trial Rows'!$Y$2:Y69,Summary!$B$4)=1),1,0)</x:f>
        <x:v>0</x:v>
      </x:c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 t="str">
        <x:f>IF('Trial Rows'!A70="","",'Trial Rows'!F70&amp;"|"&amp;'Trial Rows'!B70&amp;"|"&amp;'Trial Rows'!C70&amp;"|"&amp;'Trial Rows'!I70)</x:f>
      </x:c>
      <x:c r="B70" s="2" t="n">
        <x:f>IF(AND('Trial Rows'!A70&lt;&gt;"",'Trial Rows'!Y70=Summary!$B$4,'Trial Rows'!F70=Summary!$B$5),1,0)</x:f>
        <x:v>0</x:v>
      </x:c>
      <x:c r="C70" s="2" t="n">
        <x:f>IF(B70=1,COUNTIFS('Trial Rows'!$B$2:$B$201,'Trial Rows'!B70,'Trial Rows'!$C$2:$C$201,'Trial Rows'!C70,'Trial Rows'!$F$2:$F$201,'Trial Rows'!F70,'Trial Rows'!$I$2:$I$201,'Trial Rows'!I70,'Trial Rows'!$Y$2:$Y$201,'Trial Rows'!Y70,'Trial Rows'!$G$2:$G$201,"A"),0)</x:f>
        <x:v>0</x:v>
      </x:c>
      <x:c r="D70" s="2" t="n">
        <x:f>IF(B70=1,COUNTIFS('Trial Rows'!$B$2:$B$201,'Trial Rows'!B70,'Trial Rows'!$C$2:$C$201,'Trial Rows'!C70,'Trial Rows'!$F$2:$F$201,'Trial Rows'!F70,'Trial Rows'!$I$2:$I$201,'Trial Rows'!I70,'Trial Rows'!$Y$2:$Y$201,'Trial Rows'!Y70,'Trial Rows'!$G$2:$G$201,"B"),0)</x:f>
        <x:v>0</x:v>
      </x:c>
      <x:c r="E70" s="2" t="str">
        <x:f>IF(AND(C70=1,COUNTIFS('Trial Rows'!$B$2:$B$201,'Trial Rows'!B70,'Trial Rows'!$C$2:$C$201,'Trial Rows'!C70,'Trial Rows'!$F$2:$F$201,'Trial Rows'!F70,'Trial Rows'!$I$2:$I$201,'Trial Rows'!I70,'Trial Rows'!$Y$2:$Y$201,'Trial Rows'!Y70,'Trial Rows'!$G$2:$G$201,"A",'Trial Rows'!$K$2:$K$201,"&gt;=0",'Trial Rows'!$K$2:$K$201,"&lt;=4",'Trial Rows'!$K$2:$K$201,"&lt;&gt;")=1),SUMIFS('Trial Rows'!$K$2:$K$201,'Trial Rows'!$B$2:$B$201,'Trial Rows'!B70,'Trial Rows'!$C$2:$C$201,'Trial Rows'!C70,'Trial Rows'!$F$2:$F$201,'Trial Rows'!F70,'Trial Rows'!$I$2:$I$201,'Trial Rows'!I70,'Trial Rows'!$Y$2:$Y$201,'Trial Rows'!Y70,'Trial Rows'!$G$2:$G$201,"A"),"")</x:f>
      </x:c>
      <x:c r="F70" s="2" t="n">
        <x:f>IF(AND(B70=1,'Trial Rows'!G70="B",C70=1,D70=1,ISNUMBER(E70),ISNUMBER('Trial Rows'!M70),'Trial Rows'!M70&gt;=0,'Trial Rows'!M70&lt;=4,'Trial Rows'!Q70=0,'Trial Rows'!S70=0),1,0)</x:f>
        <x:v>0</x:v>
      </x:c>
      <x:c r="G70" s="2" t="n">
        <x:f>IF(F70=1,IF(E70='Trial Rows'!M70,1,0),0)</x:f>
        <x:v>0</x:v>
      </x:c>
      <x:c r="H70" s="2" t="n">
        <x:f>IF(AND(B70=1,'Trial Rows'!G70="B",C70=1,D70=1,ISNUMBER(E70),'Trial Rows'!R70=1,'Trial Rows'!Q70=0,'Trial Rows'!S70=0,ISNUMBER('Trial Rows'!L70),'Trial Rows'!L70&gt;=0,'Trial Rows'!L70&lt;=4),1,0)</x:f>
        <x:v>0</x:v>
      </x:c>
      <x:c r="I70" s="2" t="n">
        <x:f>IF(H70=1,IF(E70='Trial Rows'!L70,1,0),0)</x:f>
        <x:v>0</x:v>
      </x:c>
      <x:c r="J70" s="2" t="n">
        <x:f>IF(AND(B70=1,'Trial Rows'!G70="B",'Trial Rows'!P70&gt;0),1,0)</x:f>
        <x:v>0</x:v>
      </x:c>
      <x:c r="K70" s="2" t="n">
        <x:f>IF(AND(B70=1,'Trial Rows'!G70="B",'Trial Rows'!Q70=1),1,0)</x:f>
        <x:v>0</x:v>
      </x:c>
      <x:c r="L70" s="2" t="n">
        <x:f>IF(AND(B70=1,'Trial Rows'!G70="B",'Trial Rows'!R70=1,'Trial Rows'!Q70=0,'Trial Rows'!S70=0),1,0)</x:f>
        <x:v>0</x:v>
      </x:c>
      <x:c r="M70" s="2" t="n">
        <x:f>IF(AND(B70=1,'Trial Rows'!G70="B"),1,0)</x:f>
        <x:v>0</x:v>
      </x:c>
      <x:c r="N70" s="2" t="n">
        <x:f>IF(AND(B70=1,'Trial Rows'!I70=1,COUNTIFS('Trial Rows'!$B$2:$B$201,'Trial Rows'!B70,'Trial Rows'!$C$2:$C$201,'Trial Rows'!C70,'Trial Rows'!$F$2:$F$201,'Trial Rows'!F70,'Trial Rows'!$G$2:$G$201,'Trial Rows'!G70,'Trial Rows'!$Y$2:$Y$201,'Trial Rows'!Y70)=4,COUNTIFS('Trial Rows'!$B$2:$B$201,'Trial Rows'!B70,'Trial Rows'!$C$2:$C$201,'Trial Rows'!C70,'Trial Rows'!$F$2:$F$201,'Trial Rows'!F70,'Trial Rows'!$G$2:$G$201,'Trial Rows'!G70,'Trial Rows'!$Y$2:$Y$201,'Trial Rows'!Y70,'Trial Rows'!$I$2:$I$201,1)=1,COUNTIFS('Trial Rows'!$B$2:$B$201,'Trial Rows'!B70,'Trial Rows'!$C$2:$C$201,'Trial Rows'!C70,'Trial Rows'!$F$2:$F$201,'Trial Rows'!F70,'Trial Rows'!$G$2:$G$201,'Trial Rows'!G70,'Trial Rows'!$Y$2:$Y$201,'Trial Rows'!Y70,'Trial Rows'!$I$2:$I$201,2)=1,COUNTIFS('Trial Rows'!$B$2:$B$201,'Trial Rows'!B70,'Trial Rows'!$C$2:$C$201,'Trial Rows'!C70,'Trial Rows'!$F$2:$F$201,'Trial Rows'!F70,'Trial Rows'!$G$2:$G$201,'Trial Rows'!G70,'Trial Rows'!$Y$2:$Y$201,'Trial Rows'!Y70,'Trial Rows'!$I$2:$I$201,3)=1,COUNTIFS('Trial Rows'!$B$2:$B$201,'Trial Rows'!B70,'Trial Rows'!$C$2:$C$201,'Trial Rows'!C70,'Trial Rows'!$F$2:$F$201,'Trial Rows'!F70,'Trial Rows'!$G$2:$G$201,'Trial Rows'!G70,'Trial Rows'!$Y$2:$Y$201,'Trial Rows'!Y70,'Trial Rows'!$I$2:$I$201,4)=1,COUNTIFS('Trial Rows'!$B$2:$B$201,'Trial Rows'!B70,'Trial Rows'!$C$2:$C$201,'Trial Rows'!C70,'Trial Rows'!$F$2:$F$201,'Trial Rows'!F70,'Trial Rows'!$G$2:$G$201,'Trial Rows'!G70,'Trial Rows'!$Y$2:$Y$201,'Trial Rows'!Y70,'Trial Rows'!$W$2:$W$201,"&lt;&gt;")=4,ISNUMBER('Trial Rows'!U70),COUNTIFS('Trial Rows'!$B$2:$B$201,'Trial Rows'!B70,'Trial Rows'!$C$2:$C$201,'Trial Rows'!C70,'Trial Rows'!$F$2:$F$201,'Trial Rows'!F70,'Trial Rows'!$G$2:$G$201,'Trial Rows'!G70,'Trial Rows'!$Y$2:$Y$201,'Trial Rows'!Y70,'Trial Rows'!$U$2:$U$201,'Trial Rows'!U70)=4,'Trial Rows'!U70&gt;=0),1,0)</x:f>
        <x:v>0</x:v>
      </x:c>
      <x:c r="O70" s="2" t="str">
        <x:f>IF(N70=1,'Trial Rows'!U70/1000,"")</x:f>
      </x:c>
      <x:c r="P70" s="2" t="str">
        <x:f>IF(AND(N70=1,'Trial Rows'!G70="A"),O70,"")</x:f>
      </x:c>
      <x:c r="Q70" s="2" t="str">
        <x:f>IF(AND(N70=1,'Trial Rows'!G70="B"),O70,"")</x:f>
      </x:c>
      <x:c r="R70" s="2" t="str">
        <x:f>IF(AND(N70=1,COUNTIFS('Trial Rows'!$B$2:$B$201,'Trial Rows'!B70,'Trial Rows'!$C$2:$C$201,'Trial Rows'!C70,'Trial Rows'!$F$2:$F$201,'Trial Rows'!F70,'Trial Rows'!$G$2:$G$201,'Trial Rows'!G70,'Trial Rows'!$Y$2:$Y$201,'Trial Rows'!Y70,'Trial Rows'!$N$2:$N$201,"&gt;=0",'Trial Rows'!$N$2:$N$201,"&lt;=4",'Trial Rows'!$N$2:$N$201,"&lt;&gt;")=4),SUMIFS('Trial Rows'!$N$2:$N$201,'Trial Rows'!$B$2:$B$201,'Trial Rows'!B70,'Trial Rows'!$C$2:$C$201,'Trial Rows'!C70,'Trial Rows'!$F$2:$F$201,'Trial Rows'!F70,'Trial Rows'!$G$2:$G$201,'Trial Rows'!G70,'Trial Rows'!$Y$2:$Y$201,'Trial Rows'!Y70,'Trial Rows'!$I$2:$I$201,1)+4-SUMIFS('Trial Rows'!$N$2:$N$201,'Trial Rows'!$B$2:$B$201,'Trial Rows'!B70,'Trial Rows'!$C$2:$C$201,'Trial Rows'!C70,'Trial Rows'!$F$2:$F$201,'Trial Rows'!F70,'Trial Rows'!$G$2:$G$201,'Trial Rows'!G70,'Trial Rows'!$Y$2:$Y$201,'Trial Rows'!Y70,'Trial Rows'!$I$2:$I$201,2)+4-SUMIFS('Trial Rows'!$N$2:$N$201,'Trial Rows'!$B$2:$B$201,'Trial Rows'!B70,'Trial Rows'!$C$2:$C$201,'Trial Rows'!C70,'Trial Rows'!$F$2:$F$201,'Trial Rows'!F70,'Trial Rows'!$G$2:$G$201,'Trial Rows'!G70,'Trial Rows'!$Y$2:$Y$201,'Trial Rows'!Y70,'Trial Rows'!$I$2:$I$201,3)+SUMIFS('Trial Rows'!$N$2:$N$201,'Trial Rows'!$B$2:$B$201,'Trial Rows'!B70,'Trial Rows'!$C$2:$C$201,'Trial Rows'!C70,'Trial Rows'!$F$2:$F$201,'Trial Rows'!F70,'Trial Rows'!$G$2:$G$201,'Trial Rows'!G70,'Trial Rows'!$Y$2:$Y$201,'Trial Rows'!Y70,'Trial Rows'!$I$2:$I$201,4),"")</x:f>
      </x:c>
      <x:c r="S70" s="2" t="n">
        <x:f>IF(AND(B70=1,COUNTIFS('Trial Rows'!$C$2:C70,'Trial Rows'!C70,'Trial Rows'!$F$2:F70,Summary!$B$5,'Trial Rows'!$Y$2:Y70,Summary!$B$4)=1),1,0)</x:f>
        <x:v>0</x:v>
      </x:c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 t="str">
        <x:f>IF('Trial Rows'!A71="","",'Trial Rows'!F71&amp;"|"&amp;'Trial Rows'!B71&amp;"|"&amp;'Trial Rows'!C71&amp;"|"&amp;'Trial Rows'!I71)</x:f>
      </x:c>
      <x:c r="B71" s="2" t="n">
        <x:f>IF(AND('Trial Rows'!A71&lt;&gt;"",'Trial Rows'!Y71=Summary!$B$4,'Trial Rows'!F71=Summary!$B$5),1,0)</x:f>
        <x:v>0</x:v>
      </x:c>
      <x:c r="C71" s="2" t="n">
        <x:f>IF(B71=1,COUNTIFS('Trial Rows'!$B$2:$B$201,'Trial Rows'!B71,'Trial Rows'!$C$2:$C$201,'Trial Rows'!C71,'Trial Rows'!$F$2:$F$201,'Trial Rows'!F71,'Trial Rows'!$I$2:$I$201,'Trial Rows'!I71,'Trial Rows'!$Y$2:$Y$201,'Trial Rows'!Y71,'Trial Rows'!$G$2:$G$201,"A"),0)</x:f>
        <x:v>0</x:v>
      </x:c>
      <x:c r="D71" s="2" t="n">
        <x:f>IF(B71=1,COUNTIFS('Trial Rows'!$B$2:$B$201,'Trial Rows'!B71,'Trial Rows'!$C$2:$C$201,'Trial Rows'!C71,'Trial Rows'!$F$2:$F$201,'Trial Rows'!F71,'Trial Rows'!$I$2:$I$201,'Trial Rows'!I71,'Trial Rows'!$Y$2:$Y$201,'Trial Rows'!Y71,'Trial Rows'!$G$2:$G$201,"B"),0)</x:f>
        <x:v>0</x:v>
      </x:c>
      <x:c r="E71" s="2" t="str">
        <x:f>IF(AND(C71=1,COUNTIFS('Trial Rows'!$B$2:$B$201,'Trial Rows'!B71,'Trial Rows'!$C$2:$C$201,'Trial Rows'!C71,'Trial Rows'!$F$2:$F$201,'Trial Rows'!F71,'Trial Rows'!$I$2:$I$201,'Trial Rows'!I71,'Trial Rows'!$Y$2:$Y$201,'Trial Rows'!Y71,'Trial Rows'!$G$2:$G$201,"A",'Trial Rows'!$K$2:$K$201,"&gt;=0",'Trial Rows'!$K$2:$K$201,"&lt;=4",'Trial Rows'!$K$2:$K$201,"&lt;&gt;")=1),SUMIFS('Trial Rows'!$K$2:$K$201,'Trial Rows'!$B$2:$B$201,'Trial Rows'!B71,'Trial Rows'!$C$2:$C$201,'Trial Rows'!C71,'Trial Rows'!$F$2:$F$201,'Trial Rows'!F71,'Trial Rows'!$I$2:$I$201,'Trial Rows'!I71,'Trial Rows'!$Y$2:$Y$201,'Trial Rows'!Y71,'Trial Rows'!$G$2:$G$201,"A"),"")</x:f>
      </x:c>
      <x:c r="F71" s="2" t="n">
        <x:f>IF(AND(B71=1,'Trial Rows'!G71="B",C71=1,D71=1,ISNUMBER(E71),ISNUMBER('Trial Rows'!M71),'Trial Rows'!M71&gt;=0,'Trial Rows'!M71&lt;=4,'Trial Rows'!Q71=0,'Trial Rows'!S71=0),1,0)</x:f>
        <x:v>0</x:v>
      </x:c>
      <x:c r="G71" s="2" t="n">
        <x:f>IF(F71=1,IF(E71='Trial Rows'!M71,1,0),0)</x:f>
        <x:v>0</x:v>
      </x:c>
      <x:c r="H71" s="2" t="n">
        <x:f>IF(AND(B71=1,'Trial Rows'!G71="B",C71=1,D71=1,ISNUMBER(E71),'Trial Rows'!R71=1,'Trial Rows'!Q71=0,'Trial Rows'!S71=0,ISNUMBER('Trial Rows'!L71),'Trial Rows'!L71&gt;=0,'Trial Rows'!L71&lt;=4),1,0)</x:f>
        <x:v>0</x:v>
      </x:c>
      <x:c r="I71" s="2" t="n">
        <x:f>IF(H71=1,IF(E71='Trial Rows'!L71,1,0),0)</x:f>
        <x:v>0</x:v>
      </x:c>
      <x:c r="J71" s="2" t="n">
        <x:f>IF(AND(B71=1,'Trial Rows'!G71="B",'Trial Rows'!P71&gt;0),1,0)</x:f>
        <x:v>0</x:v>
      </x:c>
      <x:c r="K71" s="2" t="n">
        <x:f>IF(AND(B71=1,'Trial Rows'!G71="B",'Trial Rows'!Q71=1),1,0)</x:f>
        <x:v>0</x:v>
      </x:c>
      <x:c r="L71" s="2" t="n">
        <x:f>IF(AND(B71=1,'Trial Rows'!G71="B",'Trial Rows'!R71=1,'Trial Rows'!Q71=0,'Trial Rows'!S71=0),1,0)</x:f>
        <x:v>0</x:v>
      </x:c>
      <x:c r="M71" s="2" t="n">
        <x:f>IF(AND(B71=1,'Trial Rows'!G71="B"),1,0)</x:f>
        <x:v>0</x:v>
      </x:c>
      <x:c r="N71" s="2" t="n">
        <x:f>IF(AND(B71=1,'Trial Rows'!I71=1,COUNTIFS('Trial Rows'!$B$2:$B$201,'Trial Rows'!B71,'Trial Rows'!$C$2:$C$201,'Trial Rows'!C71,'Trial Rows'!$F$2:$F$201,'Trial Rows'!F71,'Trial Rows'!$G$2:$G$201,'Trial Rows'!G71,'Trial Rows'!$Y$2:$Y$201,'Trial Rows'!Y71)=4,COUNTIFS('Trial Rows'!$B$2:$B$201,'Trial Rows'!B71,'Trial Rows'!$C$2:$C$201,'Trial Rows'!C71,'Trial Rows'!$F$2:$F$201,'Trial Rows'!F71,'Trial Rows'!$G$2:$G$201,'Trial Rows'!G71,'Trial Rows'!$Y$2:$Y$201,'Trial Rows'!Y71,'Trial Rows'!$I$2:$I$201,1)=1,COUNTIFS('Trial Rows'!$B$2:$B$201,'Trial Rows'!B71,'Trial Rows'!$C$2:$C$201,'Trial Rows'!C71,'Trial Rows'!$F$2:$F$201,'Trial Rows'!F71,'Trial Rows'!$G$2:$G$201,'Trial Rows'!G71,'Trial Rows'!$Y$2:$Y$201,'Trial Rows'!Y71,'Trial Rows'!$I$2:$I$201,2)=1,COUNTIFS('Trial Rows'!$B$2:$B$201,'Trial Rows'!B71,'Trial Rows'!$C$2:$C$201,'Trial Rows'!C71,'Trial Rows'!$F$2:$F$201,'Trial Rows'!F71,'Trial Rows'!$G$2:$G$201,'Trial Rows'!G71,'Trial Rows'!$Y$2:$Y$201,'Trial Rows'!Y71,'Trial Rows'!$I$2:$I$201,3)=1,COUNTIFS('Trial Rows'!$B$2:$B$201,'Trial Rows'!B71,'Trial Rows'!$C$2:$C$201,'Trial Rows'!C71,'Trial Rows'!$F$2:$F$201,'Trial Rows'!F71,'Trial Rows'!$G$2:$G$201,'Trial Rows'!G71,'Trial Rows'!$Y$2:$Y$201,'Trial Rows'!Y71,'Trial Rows'!$I$2:$I$201,4)=1,COUNTIFS('Trial Rows'!$B$2:$B$201,'Trial Rows'!B71,'Trial Rows'!$C$2:$C$201,'Trial Rows'!C71,'Trial Rows'!$F$2:$F$201,'Trial Rows'!F71,'Trial Rows'!$G$2:$G$201,'Trial Rows'!G71,'Trial Rows'!$Y$2:$Y$201,'Trial Rows'!Y71,'Trial Rows'!$W$2:$W$201,"&lt;&gt;")=4,ISNUMBER('Trial Rows'!U71),COUNTIFS('Trial Rows'!$B$2:$B$201,'Trial Rows'!B71,'Trial Rows'!$C$2:$C$201,'Trial Rows'!C71,'Trial Rows'!$F$2:$F$201,'Trial Rows'!F71,'Trial Rows'!$G$2:$G$201,'Trial Rows'!G71,'Trial Rows'!$Y$2:$Y$201,'Trial Rows'!Y71,'Trial Rows'!$U$2:$U$201,'Trial Rows'!U71)=4,'Trial Rows'!U71&gt;=0),1,0)</x:f>
        <x:v>0</x:v>
      </x:c>
      <x:c r="O71" s="2" t="str">
        <x:f>IF(N71=1,'Trial Rows'!U71/1000,"")</x:f>
      </x:c>
      <x:c r="P71" s="2" t="str">
        <x:f>IF(AND(N71=1,'Trial Rows'!G71="A"),O71,"")</x:f>
      </x:c>
      <x:c r="Q71" s="2" t="str">
        <x:f>IF(AND(N71=1,'Trial Rows'!G71="B"),O71,"")</x:f>
      </x:c>
      <x:c r="R71" s="2" t="str">
        <x:f>IF(AND(N71=1,COUNTIFS('Trial Rows'!$B$2:$B$201,'Trial Rows'!B71,'Trial Rows'!$C$2:$C$201,'Trial Rows'!C71,'Trial Rows'!$F$2:$F$201,'Trial Rows'!F71,'Trial Rows'!$G$2:$G$201,'Trial Rows'!G71,'Trial Rows'!$Y$2:$Y$201,'Trial Rows'!Y71,'Trial Rows'!$N$2:$N$201,"&gt;=0",'Trial Rows'!$N$2:$N$201,"&lt;=4",'Trial Rows'!$N$2:$N$201,"&lt;&gt;")=4),SUMIFS('Trial Rows'!$N$2:$N$201,'Trial Rows'!$B$2:$B$201,'Trial Rows'!B71,'Trial Rows'!$C$2:$C$201,'Trial Rows'!C71,'Trial Rows'!$F$2:$F$201,'Trial Rows'!F71,'Trial Rows'!$G$2:$G$201,'Trial Rows'!G71,'Trial Rows'!$Y$2:$Y$201,'Trial Rows'!Y71,'Trial Rows'!$I$2:$I$201,1)+4-SUMIFS('Trial Rows'!$N$2:$N$201,'Trial Rows'!$B$2:$B$201,'Trial Rows'!B71,'Trial Rows'!$C$2:$C$201,'Trial Rows'!C71,'Trial Rows'!$F$2:$F$201,'Trial Rows'!F71,'Trial Rows'!$G$2:$G$201,'Trial Rows'!G71,'Trial Rows'!$Y$2:$Y$201,'Trial Rows'!Y71,'Trial Rows'!$I$2:$I$201,2)+4-SUMIFS('Trial Rows'!$N$2:$N$201,'Trial Rows'!$B$2:$B$201,'Trial Rows'!B71,'Trial Rows'!$C$2:$C$201,'Trial Rows'!C71,'Trial Rows'!$F$2:$F$201,'Trial Rows'!F71,'Trial Rows'!$G$2:$G$201,'Trial Rows'!G71,'Trial Rows'!$Y$2:$Y$201,'Trial Rows'!Y71,'Trial Rows'!$I$2:$I$201,3)+SUMIFS('Trial Rows'!$N$2:$N$201,'Trial Rows'!$B$2:$B$201,'Trial Rows'!B71,'Trial Rows'!$C$2:$C$201,'Trial Rows'!C71,'Trial Rows'!$F$2:$F$201,'Trial Rows'!F71,'Trial Rows'!$G$2:$G$201,'Trial Rows'!G71,'Trial Rows'!$Y$2:$Y$201,'Trial Rows'!Y71,'Trial Rows'!$I$2:$I$201,4),"")</x:f>
      </x:c>
      <x:c r="S71" s="2" t="n">
        <x:f>IF(AND(B71=1,COUNTIFS('Trial Rows'!$C$2:C71,'Trial Rows'!C71,'Trial Rows'!$F$2:F71,Summary!$B$5,'Trial Rows'!$Y$2:Y71,Summary!$B$4)=1),1,0)</x:f>
        <x:v>0</x:v>
      </x:c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 t="str">
        <x:f>IF('Trial Rows'!A72="","",'Trial Rows'!F72&amp;"|"&amp;'Trial Rows'!B72&amp;"|"&amp;'Trial Rows'!C72&amp;"|"&amp;'Trial Rows'!I72)</x:f>
      </x:c>
      <x:c r="B72" s="2" t="n">
        <x:f>IF(AND('Trial Rows'!A72&lt;&gt;"",'Trial Rows'!Y72=Summary!$B$4,'Trial Rows'!F72=Summary!$B$5),1,0)</x:f>
        <x:v>0</x:v>
      </x:c>
      <x:c r="C72" s="2" t="n">
        <x:f>IF(B72=1,COUNTIFS('Trial Rows'!$B$2:$B$201,'Trial Rows'!B72,'Trial Rows'!$C$2:$C$201,'Trial Rows'!C72,'Trial Rows'!$F$2:$F$201,'Trial Rows'!F72,'Trial Rows'!$I$2:$I$201,'Trial Rows'!I72,'Trial Rows'!$Y$2:$Y$201,'Trial Rows'!Y72,'Trial Rows'!$G$2:$G$201,"A"),0)</x:f>
        <x:v>0</x:v>
      </x:c>
      <x:c r="D72" s="2" t="n">
        <x:f>IF(B72=1,COUNTIFS('Trial Rows'!$B$2:$B$201,'Trial Rows'!B72,'Trial Rows'!$C$2:$C$201,'Trial Rows'!C72,'Trial Rows'!$F$2:$F$201,'Trial Rows'!F72,'Trial Rows'!$I$2:$I$201,'Trial Rows'!I72,'Trial Rows'!$Y$2:$Y$201,'Trial Rows'!Y72,'Trial Rows'!$G$2:$G$201,"B"),0)</x:f>
        <x:v>0</x:v>
      </x:c>
      <x:c r="E72" s="2" t="str">
        <x:f>IF(AND(C72=1,COUNTIFS('Trial Rows'!$B$2:$B$201,'Trial Rows'!B72,'Trial Rows'!$C$2:$C$201,'Trial Rows'!C72,'Trial Rows'!$F$2:$F$201,'Trial Rows'!F72,'Trial Rows'!$I$2:$I$201,'Trial Rows'!I72,'Trial Rows'!$Y$2:$Y$201,'Trial Rows'!Y72,'Trial Rows'!$G$2:$G$201,"A",'Trial Rows'!$K$2:$K$201,"&gt;=0",'Trial Rows'!$K$2:$K$201,"&lt;=4",'Trial Rows'!$K$2:$K$201,"&lt;&gt;")=1),SUMIFS('Trial Rows'!$K$2:$K$201,'Trial Rows'!$B$2:$B$201,'Trial Rows'!B72,'Trial Rows'!$C$2:$C$201,'Trial Rows'!C72,'Trial Rows'!$F$2:$F$201,'Trial Rows'!F72,'Trial Rows'!$I$2:$I$201,'Trial Rows'!I72,'Trial Rows'!$Y$2:$Y$201,'Trial Rows'!Y72,'Trial Rows'!$G$2:$G$201,"A"),"")</x:f>
      </x:c>
      <x:c r="F72" s="2" t="n">
        <x:f>IF(AND(B72=1,'Trial Rows'!G72="B",C72=1,D72=1,ISNUMBER(E72),ISNUMBER('Trial Rows'!M72),'Trial Rows'!M72&gt;=0,'Trial Rows'!M72&lt;=4,'Trial Rows'!Q72=0,'Trial Rows'!S72=0),1,0)</x:f>
        <x:v>0</x:v>
      </x:c>
      <x:c r="G72" s="2" t="n">
        <x:f>IF(F72=1,IF(E72='Trial Rows'!M72,1,0),0)</x:f>
        <x:v>0</x:v>
      </x:c>
      <x:c r="H72" s="2" t="n">
        <x:f>IF(AND(B72=1,'Trial Rows'!G72="B",C72=1,D72=1,ISNUMBER(E72),'Trial Rows'!R72=1,'Trial Rows'!Q72=0,'Trial Rows'!S72=0,ISNUMBER('Trial Rows'!L72),'Trial Rows'!L72&gt;=0,'Trial Rows'!L72&lt;=4),1,0)</x:f>
        <x:v>0</x:v>
      </x:c>
      <x:c r="I72" s="2" t="n">
        <x:f>IF(H72=1,IF(E72='Trial Rows'!L72,1,0),0)</x:f>
        <x:v>0</x:v>
      </x:c>
      <x:c r="J72" s="2" t="n">
        <x:f>IF(AND(B72=1,'Trial Rows'!G72="B",'Trial Rows'!P72&gt;0),1,0)</x:f>
        <x:v>0</x:v>
      </x:c>
      <x:c r="K72" s="2" t="n">
        <x:f>IF(AND(B72=1,'Trial Rows'!G72="B",'Trial Rows'!Q72=1),1,0)</x:f>
        <x:v>0</x:v>
      </x:c>
      <x:c r="L72" s="2" t="n">
        <x:f>IF(AND(B72=1,'Trial Rows'!G72="B",'Trial Rows'!R72=1,'Trial Rows'!Q72=0,'Trial Rows'!S72=0),1,0)</x:f>
        <x:v>0</x:v>
      </x:c>
      <x:c r="M72" s="2" t="n">
        <x:f>IF(AND(B72=1,'Trial Rows'!G72="B"),1,0)</x:f>
        <x:v>0</x:v>
      </x:c>
      <x:c r="N72" s="2" t="n">
        <x:f>IF(AND(B72=1,'Trial Rows'!I72=1,COUNTIFS('Trial Rows'!$B$2:$B$201,'Trial Rows'!B72,'Trial Rows'!$C$2:$C$201,'Trial Rows'!C72,'Trial Rows'!$F$2:$F$201,'Trial Rows'!F72,'Trial Rows'!$G$2:$G$201,'Trial Rows'!G72,'Trial Rows'!$Y$2:$Y$201,'Trial Rows'!Y72)=4,COUNTIFS('Trial Rows'!$B$2:$B$201,'Trial Rows'!B72,'Trial Rows'!$C$2:$C$201,'Trial Rows'!C72,'Trial Rows'!$F$2:$F$201,'Trial Rows'!F72,'Trial Rows'!$G$2:$G$201,'Trial Rows'!G72,'Trial Rows'!$Y$2:$Y$201,'Trial Rows'!Y72,'Trial Rows'!$I$2:$I$201,1)=1,COUNTIFS('Trial Rows'!$B$2:$B$201,'Trial Rows'!B72,'Trial Rows'!$C$2:$C$201,'Trial Rows'!C72,'Trial Rows'!$F$2:$F$201,'Trial Rows'!F72,'Trial Rows'!$G$2:$G$201,'Trial Rows'!G72,'Trial Rows'!$Y$2:$Y$201,'Trial Rows'!Y72,'Trial Rows'!$I$2:$I$201,2)=1,COUNTIFS('Trial Rows'!$B$2:$B$201,'Trial Rows'!B72,'Trial Rows'!$C$2:$C$201,'Trial Rows'!C72,'Trial Rows'!$F$2:$F$201,'Trial Rows'!F72,'Trial Rows'!$G$2:$G$201,'Trial Rows'!G72,'Trial Rows'!$Y$2:$Y$201,'Trial Rows'!Y72,'Trial Rows'!$I$2:$I$201,3)=1,COUNTIFS('Trial Rows'!$B$2:$B$201,'Trial Rows'!B72,'Trial Rows'!$C$2:$C$201,'Trial Rows'!C72,'Trial Rows'!$F$2:$F$201,'Trial Rows'!F72,'Trial Rows'!$G$2:$G$201,'Trial Rows'!G72,'Trial Rows'!$Y$2:$Y$201,'Trial Rows'!Y72,'Trial Rows'!$I$2:$I$201,4)=1,COUNTIFS('Trial Rows'!$B$2:$B$201,'Trial Rows'!B72,'Trial Rows'!$C$2:$C$201,'Trial Rows'!C72,'Trial Rows'!$F$2:$F$201,'Trial Rows'!F72,'Trial Rows'!$G$2:$G$201,'Trial Rows'!G72,'Trial Rows'!$Y$2:$Y$201,'Trial Rows'!Y72,'Trial Rows'!$W$2:$W$201,"&lt;&gt;")=4,ISNUMBER('Trial Rows'!U72),COUNTIFS('Trial Rows'!$B$2:$B$201,'Trial Rows'!B72,'Trial Rows'!$C$2:$C$201,'Trial Rows'!C72,'Trial Rows'!$F$2:$F$201,'Trial Rows'!F72,'Trial Rows'!$G$2:$G$201,'Trial Rows'!G72,'Trial Rows'!$Y$2:$Y$201,'Trial Rows'!Y72,'Trial Rows'!$U$2:$U$201,'Trial Rows'!U72)=4,'Trial Rows'!U72&gt;=0),1,0)</x:f>
        <x:v>0</x:v>
      </x:c>
      <x:c r="O72" s="2" t="str">
        <x:f>IF(N72=1,'Trial Rows'!U72/1000,"")</x:f>
      </x:c>
      <x:c r="P72" s="2" t="str">
        <x:f>IF(AND(N72=1,'Trial Rows'!G72="A"),O72,"")</x:f>
      </x:c>
      <x:c r="Q72" s="2" t="str">
        <x:f>IF(AND(N72=1,'Trial Rows'!G72="B"),O72,"")</x:f>
      </x:c>
      <x:c r="R72" s="2" t="str">
        <x:f>IF(AND(N72=1,COUNTIFS('Trial Rows'!$B$2:$B$201,'Trial Rows'!B72,'Trial Rows'!$C$2:$C$201,'Trial Rows'!C72,'Trial Rows'!$F$2:$F$201,'Trial Rows'!F72,'Trial Rows'!$G$2:$G$201,'Trial Rows'!G72,'Trial Rows'!$Y$2:$Y$201,'Trial Rows'!Y72,'Trial Rows'!$N$2:$N$201,"&gt;=0",'Trial Rows'!$N$2:$N$201,"&lt;=4",'Trial Rows'!$N$2:$N$201,"&lt;&gt;")=4),SUMIFS('Trial Rows'!$N$2:$N$201,'Trial Rows'!$B$2:$B$201,'Trial Rows'!B72,'Trial Rows'!$C$2:$C$201,'Trial Rows'!C72,'Trial Rows'!$F$2:$F$201,'Trial Rows'!F72,'Trial Rows'!$G$2:$G$201,'Trial Rows'!G72,'Trial Rows'!$Y$2:$Y$201,'Trial Rows'!Y72,'Trial Rows'!$I$2:$I$201,1)+4-SUMIFS('Trial Rows'!$N$2:$N$201,'Trial Rows'!$B$2:$B$201,'Trial Rows'!B72,'Trial Rows'!$C$2:$C$201,'Trial Rows'!C72,'Trial Rows'!$F$2:$F$201,'Trial Rows'!F72,'Trial Rows'!$G$2:$G$201,'Trial Rows'!G72,'Trial Rows'!$Y$2:$Y$201,'Trial Rows'!Y72,'Trial Rows'!$I$2:$I$201,2)+4-SUMIFS('Trial Rows'!$N$2:$N$201,'Trial Rows'!$B$2:$B$201,'Trial Rows'!B72,'Trial Rows'!$C$2:$C$201,'Trial Rows'!C72,'Trial Rows'!$F$2:$F$201,'Trial Rows'!F72,'Trial Rows'!$G$2:$G$201,'Trial Rows'!G72,'Trial Rows'!$Y$2:$Y$201,'Trial Rows'!Y72,'Trial Rows'!$I$2:$I$201,3)+SUMIFS('Trial Rows'!$N$2:$N$201,'Trial Rows'!$B$2:$B$201,'Trial Rows'!B72,'Trial Rows'!$C$2:$C$201,'Trial Rows'!C72,'Trial Rows'!$F$2:$F$201,'Trial Rows'!F72,'Trial Rows'!$G$2:$G$201,'Trial Rows'!G72,'Trial Rows'!$Y$2:$Y$201,'Trial Rows'!Y72,'Trial Rows'!$I$2:$I$201,4),"")</x:f>
      </x:c>
      <x:c r="S72" s="2" t="n">
        <x:f>IF(AND(B72=1,COUNTIFS('Trial Rows'!$C$2:C72,'Trial Rows'!C72,'Trial Rows'!$F$2:F72,Summary!$B$5,'Trial Rows'!$Y$2:Y72,Summary!$B$4)=1),1,0)</x:f>
        <x:v>0</x:v>
      </x:c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 t="str">
        <x:f>IF('Trial Rows'!A73="","",'Trial Rows'!F73&amp;"|"&amp;'Trial Rows'!B73&amp;"|"&amp;'Trial Rows'!C73&amp;"|"&amp;'Trial Rows'!I73)</x:f>
      </x:c>
      <x:c r="B73" s="2" t="n">
        <x:f>IF(AND('Trial Rows'!A73&lt;&gt;"",'Trial Rows'!Y73=Summary!$B$4,'Trial Rows'!F73=Summary!$B$5),1,0)</x:f>
        <x:v>0</x:v>
      </x:c>
      <x:c r="C73" s="2" t="n">
        <x:f>IF(B73=1,COUNTIFS('Trial Rows'!$B$2:$B$201,'Trial Rows'!B73,'Trial Rows'!$C$2:$C$201,'Trial Rows'!C73,'Trial Rows'!$F$2:$F$201,'Trial Rows'!F73,'Trial Rows'!$I$2:$I$201,'Trial Rows'!I73,'Trial Rows'!$Y$2:$Y$201,'Trial Rows'!Y73,'Trial Rows'!$G$2:$G$201,"A"),0)</x:f>
        <x:v>0</x:v>
      </x:c>
      <x:c r="D73" s="2" t="n">
        <x:f>IF(B73=1,COUNTIFS('Trial Rows'!$B$2:$B$201,'Trial Rows'!B73,'Trial Rows'!$C$2:$C$201,'Trial Rows'!C73,'Trial Rows'!$F$2:$F$201,'Trial Rows'!F73,'Trial Rows'!$I$2:$I$201,'Trial Rows'!I73,'Trial Rows'!$Y$2:$Y$201,'Trial Rows'!Y73,'Trial Rows'!$G$2:$G$201,"B"),0)</x:f>
        <x:v>0</x:v>
      </x:c>
      <x:c r="E73" s="2" t="str">
        <x:f>IF(AND(C73=1,COUNTIFS('Trial Rows'!$B$2:$B$201,'Trial Rows'!B73,'Trial Rows'!$C$2:$C$201,'Trial Rows'!C73,'Trial Rows'!$F$2:$F$201,'Trial Rows'!F73,'Trial Rows'!$I$2:$I$201,'Trial Rows'!I73,'Trial Rows'!$Y$2:$Y$201,'Trial Rows'!Y73,'Trial Rows'!$G$2:$G$201,"A",'Trial Rows'!$K$2:$K$201,"&gt;=0",'Trial Rows'!$K$2:$K$201,"&lt;=4",'Trial Rows'!$K$2:$K$201,"&lt;&gt;")=1),SUMIFS('Trial Rows'!$K$2:$K$201,'Trial Rows'!$B$2:$B$201,'Trial Rows'!B73,'Trial Rows'!$C$2:$C$201,'Trial Rows'!C73,'Trial Rows'!$F$2:$F$201,'Trial Rows'!F73,'Trial Rows'!$I$2:$I$201,'Trial Rows'!I73,'Trial Rows'!$Y$2:$Y$201,'Trial Rows'!Y73,'Trial Rows'!$G$2:$G$201,"A"),"")</x:f>
      </x:c>
      <x:c r="F73" s="2" t="n">
        <x:f>IF(AND(B73=1,'Trial Rows'!G73="B",C73=1,D73=1,ISNUMBER(E73),ISNUMBER('Trial Rows'!M73),'Trial Rows'!M73&gt;=0,'Trial Rows'!M73&lt;=4,'Trial Rows'!Q73=0,'Trial Rows'!S73=0),1,0)</x:f>
        <x:v>0</x:v>
      </x:c>
      <x:c r="G73" s="2" t="n">
        <x:f>IF(F73=1,IF(E73='Trial Rows'!M73,1,0),0)</x:f>
        <x:v>0</x:v>
      </x:c>
      <x:c r="H73" s="2" t="n">
        <x:f>IF(AND(B73=1,'Trial Rows'!G73="B",C73=1,D73=1,ISNUMBER(E73),'Trial Rows'!R73=1,'Trial Rows'!Q73=0,'Trial Rows'!S73=0,ISNUMBER('Trial Rows'!L73),'Trial Rows'!L73&gt;=0,'Trial Rows'!L73&lt;=4),1,0)</x:f>
        <x:v>0</x:v>
      </x:c>
      <x:c r="I73" s="2" t="n">
        <x:f>IF(H73=1,IF(E73='Trial Rows'!L73,1,0),0)</x:f>
        <x:v>0</x:v>
      </x:c>
      <x:c r="J73" s="2" t="n">
        <x:f>IF(AND(B73=1,'Trial Rows'!G73="B",'Trial Rows'!P73&gt;0),1,0)</x:f>
        <x:v>0</x:v>
      </x:c>
      <x:c r="K73" s="2" t="n">
        <x:f>IF(AND(B73=1,'Trial Rows'!G73="B",'Trial Rows'!Q73=1),1,0)</x:f>
        <x:v>0</x:v>
      </x:c>
      <x:c r="L73" s="2" t="n">
        <x:f>IF(AND(B73=1,'Trial Rows'!G73="B",'Trial Rows'!R73=1,'Trial Rows'!Q73=0,'Trial Rows'!S73=0),1,0)</x:f>
        <x:v>0</x:v>
      </x:c>
      <x:c r="M73" s="2" t="n">
        <x:f>IF(AND(B73=1,'Trial Rows'!G73="B"),1,0)</x:f>
        <x:v>0</x:v>
      </x:c>
      <x:c r="N73" s="2" t="n">
        <x:f>IF(AND(B73=1,'Trial Rows'!I73=1,COUNTIFS('Trial Rows'!$B$2:$B$201,'Trial Rows'!B73,'Trial Rows'!$C$2:$C$201,'Trial Rows'!C73,'Trial Rows'!$F$2:$F$201,'Trial Rows'!F73,'Trial Rows'!$G$2:$G$201,'Trial Rows'!G73,'Trial Rows'!$Y$2:$Y$201,'Trial Rows'!Y73)=4,COUNTIFS('Trial Rows'!$B$2:$B$201,'Trial Rows'!B73,'Trial Rows'!$C$2:$C$201,'Trial Rows'!C73,'Trial Rows'!$F$2:$F$201,'Trial Rows'!F73,'Trial Rows'!$G$2:$G$201,'Trial Rows'!G73,'Trial Rows'!$Y$2:$Y$201,'Trial Rows'!Y73,'Trial Rows'!$I$2:$I$201,1)=1,COUNTIFS('Trial Rows'!$B$2:$B$201,'Trial Rows'!B73,'Trial Rows'!$C$2:$C$201,'Trial Rows'!C73,'Trial Rows'!$F$2:$F$201,'Trial Rows'!F73,'Trial Rows'!$G$2:$G$201,'Trial Rows'!G73,'Trial Rows'!$Y$2:$Y$201,'Trial Rows'!Y73,'Trial Rows'!$I$2:$I$201,2)=1,COUNTIFS('Trial Rows'!$B$2:$B$201,'Trial Rows'!B73,'Trial Rows'!$C$2:$C$201,'Trial Rows'!C73,'Trial Rows'!$F$2:$F$201,'Trial Rows'!F73,'Trial Rows'!$G$2:$G$201,'Trial Rows'!G73,'Trial Rows'!$Y$2:$Y$201,'Trial Rows'!Y73,'Trial Rows'!$I$2:$I$201,3)=1,COUNTIFS('Trial Rows'!$B$2:$B$201,'Trial Rows'!B73,'Trial Rows'!$C$2:$C$201,'Trial Rows'!C73,'Trial Rows'!$F$2:$F$201,'Trial Rows'!F73,'Trial Rows'!$G$2:$G$201,'Trial Rows'!G73,'Trial Rows'!$Y$2:$Y$201,'Trial Rows'!Y73,'Trial Rows'!$I$2:$I$201,4)=1,COUNTIFS('Trial Rows'!$B$2:$B$201,'Trial Rows'!B73,'Trial Rows'!$C$2:$C$201,'Trial Rows'!C73,'Trial Rows'!$F$2:$F$201,'Trial Rows'!F73,'Trial Rows'!$G$2:$G$201,'Trial Rows'!G73,'Trial Rows'!$Y$2:$Y$201,'Trial Rows'!Y73,'Trial Rows'!$W$2:$W$201,"&lt;&gt;")=4,ISNUMBER('Trial Rows'!U73),COUNTIFS('Trial Rows'!$B$2:$B$201,'Trial Rows'!B73,'Trial Rows'!$C$2:$C$201,'Trial Rows'!C73,'Trial Rows'!$F$2:$F$201,'Trial Rows'!F73,'Trial Rows'!$G$2:$G$201,'Trial Rows'!G73,'Trial Rows'!$Y$2:$Y$201,'Trial Rows'!Y73,'Trial Rows'!$U$2:$U$201,'Trial Rows'!U73)=4,'Trial Rows'!U73&gt;=0),1,0)</x:f>
        <x:v>0</x:v>
      </x:c>
      <x:c r="O73" s="2" t="str">
        <x:f>IF(N73=1,'Trial Rows'!U73/1000,"")</x:f>
      </x:c>
      <x:c r="P73" s="2" t="str">
        <x:f>IF(AND(N73=1,'Trial Rows'!G73="A"),O73,"")</x:f>
      </x:c>
      <x:c r="Q73" s="2" t="str">
        <x:f>IF(AND(N73=1,'Trial Rows'!G73="B"),O73,"")</x:f>
      </x:c>
      <x:c r="R73" s="2" t="str">
        <x:f>IF(AND(N73=1,COUNTIFS('Trial Rows'!$B$2:$B$201,'Trial Rows'!B73,'Trial Rows'!$C$2:$C$201,'Trial Rows'!C73,'Trial Rows'!$F$2:$F$201,'Trial Rows'!F73,'Trial Rows'!$G$2:$G$201,'Trial Rows'!G73,'Trial Rows'!$Y$2:$Y$201,'Trial Rows'!Y73,'Trial Rows'!$N$2:$N$201,"&gt;=0",'Trial Rows'!$N$2:$N$201,"&lt;=4",'Trial Rows'!$N$2:$N$201,"&lt;&gt;")=4),SUMIFS('Trial Rows'!$N$2:$N$201,'Trial Rows'!$B$2:$B$201,'Trial Rows'!B73,'Trial Rows'!$C$2:$C$201,'Trial Rows'!C73,'Trial Rows'!$F$2:$F$201,'Trial Rows'!F73,'Trial Rows'!$G$2:$G$201,'Trial Rows'!G73,'Trial Rows'!$Y$2:$Y$201,'Trial Rows'!Y73,'Trial Rows'!$I$2:$I$201,1)+4-SUMIFS('Trial Rows'!$N$2:$N$201,'Trial Rows'!$B$2:$B$201,'Trial Rows'!B73,'Trial Rows'!$C$2:$C$201,'Trial Rows'!C73,'Trial Rows'!$F$2:$F$201,'Trial Rows'!F73,'Trial Rows'!$G$2:$G$201,'Trial Rows'!G73,'Trial Rows'!$Y$2:$Y$201,'Trial Rows'!Y73,'Trial Rows'!$I$2:$I$201,2)+4-SUMIFS('Trial Rows'!$N$2:$N$201,'Trial Rows'!$B$2:$B$201,'Trial Rows'!B73,'Trial Rows'!$C$2:$C$201,'Trial Rows'!C73,'Trial Rows'!$F$2:$F$201,'Trial Rows'!F73,'Trial Rows'!$G$2:$G$201,'Trial Rows'!G73,'Trial Rows'!$Y$2:$Y$201,'Trial Rows'!Y73,'Trial Rows'!$I$2:$I$201,3)+SUMIFS('Trial Rows'!$N$2:$N$201,'Trial Rows'!$B$2:$B$201,'Trial Rows'!B73,'Trial Rows'!$C$2:$C$201,'Trial Rows'!C73,'Trial Rows'!$F$2:$F$201,'Trial Rows'!F73,'Trial Rows'!$G$2:$G$201,'Trial Rows'!G73,'Trial Rows'!$Y$2:$Y$201,'Trial Rows'!Y73,'Trial Rows'!$I$2:$I$201,4),"")</x:f>
      </x:c>
      <x:c r="S73" s="2" t="n">
        <x:f>IF(AND(B73=1,COUNTIFS('Trial Rows'!$C$2:C73,'Trial Rows'!C73,'Trial Rows'!$F$2:F73,Summary!$B$5,'Trial Rows'!$Y$2:Y73,Summary!$B$4)=1),1,0)</x:f>
        <x:v>0</x:v>
      </x:c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 t="str">
        <x:f>IF('Trial Rows'!A74="","",'Trial Rows'!F74&amp;"|"&amp;'Trial Rows'!B74&amp;"|"&amp;'Trial Rows'!C74&amp;"|"&amp;'Trial Rows'!I74)</x:f>
      </x:c>
      <x:c r="B74" s="2" t="n">
        <x:f>IF(AND('Trial Rows'!A74&lt;&gt;"",'Trial Rows'!Y74=Summary!$B$4,'Trial Rows'!F74=Summary!$B$5),1,0)</x:f>
        <x:v>0</x:v>
      </x:c>
      <x:c r="C74" s="2" t="n">
        <x:f>IF(B74=1,COUNTIFS('Trial Rows'!$B$2:$B$201,'Trial Rows'!B74,'Trial Rows'!$C$2:$C$201,'Trial Rows'!C74,'Trial Rows'!$F$2:$F$201,'Trial Rows'!F74,'Trial Rows'!$I$2:$I$201,'Trial Rows'!I74,'Trial Rows'!$Y$2:$Y$201,'Trial Rows'!Y74,'Trial Rows'!$G$2:$G$201,"A"),0)</x:f>
        <x:v>0</x:v>
      </x:c>
      <x:c r="D74" s="2" t="n">
        <x:f>IF(B74=1,COUNTIFS('Trial Rows'!$B$2:$B$201,'Trial Rows'!B74,'Trial Rows'!$C$2:$C$201,'Trial Rows'!C74,'Trial Rows'!$F$2:$F$201,'Trial Rows'!F74,'Trial Rows'!$I$2:$I$201,'Trial Rows'!I74,'Trial Rows'!$Y$2:$Y$201,'Trial Rows'!Y74,'Trial Rows'!$G$2:$G$201,"B"),0)</x:f>
        <x:v>0</x:v>
      </x:c>
      <x:c r="E74" s="2" t="str">
        <x:f>IF(AND(C74=1,COUNTIFS('Trial Rows'!$B$2:$B$201,'Trial Rows'!B74,'Trial Rows'!$C$2:$C$201,'Trial Rows'!C74,'Trial Rows'!$F$2:$F$201,'Trial Rows'!F74,'Trial Rows'!$I$2:$I$201,'Trial Rows'!I74,'Trial Rows'!$Y$2:$Y$201,'Trial Rows'!Y74,'Trial Rows'!$G$2:$G$201,"A",'Trial Rows'!$K$2:$K$201,"&gt;=0",'Trial Rows'!$K$2:$K$201,"&lt;=4",'Trial Rows'!$K$2:$K$201,"&lt;&gt;")=1),SUMIFS('Trial Rows'!$K$2:$K$201,'Trial Rows'!$B$2:$B$201,'Trial Rows'!B74,'Trial Rows'!$C$2:$C$201,'Trial Rows'!C74,'Trial Rows'!$F$2:$F$201,'Trial Rows'!F74,'Trial Rows'!$I$2:$I$201,'Trial Rows'!I74,'Trial Rows'!$Y$2:$Y$201,'Trial Rows'!Y74,'Trial Rows'!$G$2:$G$201,"A"),"")</x:f>
      </x:c>
      <x:c r="F74" s="2" t="n">
        <x:f>IF(AND(B74=1,'Trial Rows'!G74="B",C74=1,D74=1,ISNUMBER(E74),ISNUMBER('Trial Rows'!M74),'Trial Rows'!M74&gt;=0,'Trial Rows'!M74&lt;=4,'Trial Rows'!Q74=0,'Trial Rows'!S74=0),1,0)</x:f>
        <x:v>0</x:v>
      </x:c>
      <x:c r="G74" s="2" t="n">
        <x:f>IF(F74=1,IF(E74='Trial Rows'!M74,1,0),0)</x:f>
        <x:v>0</x:v>
      </x:c>
      <x:c r="H74" s="2" t="n">
        <x:f>IF(AND(B74=1,'Trial Rows'!G74="B",C74=1,D74=1,ISNUMBER(E74),'Trial Rows'!R74=1,'Trial Rows'!Q74=0,'Trial Rows'!S74=0,ISNUMBER('Trial Rows'!L74),'Trial Rows'!L74&gt;=0,'Trial Rows'!L74&lt;=4),1,0)</x:f>
        <x:v>0</x:v>
      </x:c>
      <x:c r="I74" s="2" t="n">
        <x:f>IF(H74=1,IF(E74='Trial Rows'!L74,1,0),0)</x:f>
        <x:v>0</x:v>
      </x:c>
      <x:c r="J74" s="2" t="n">
        <x:f>IF(AND(B74=1,'Trial Rows'!G74="B",'Trial Rows'!P74&gt;0),1,0)</x:f>
        <x:v>0</x:v>
      </x:c>
      <x:c r="K74" s="2" t="n">
        <x:f>IF(AND(B74=1,'Trial Rows'!G74="B",'Trial Rows'!Q74=1),1,0)</x:f>
        <x:v>0</x:v>
      </x:c>
      <x:c r="L74" s="2" t="n">
        <x:f>IF(AND(B74=1,'Trial Rows'!G74="B",'Trial Rows'!R74=1,'Trial Rows'!Q74=0,'Trial Rows'!S74=0),1,0)</x:f>
        <x:v>0</x:v>
      </x:c>
      <x:c r="M74" s="2" t="n">
        <x:f>IF(AND(B74=1,'Trial Rows'!G74="B"),1,0)</x:f>
        <x:v>0</x:v>
      </x:c>
      <x:c r="N74" s="2" t="n">
        <x:f>IF(AND(B74=1,'Trial Rows'!I74=1,COUNTIFS('Trial Rows'!$B$2:$B$201,'Trial Rows'!B74,'Trial Rows'!$C$2:$C$201,'Trial Rows'!C74,'Trial Rows'!$F$2:$F$201,'Trial Rows'!F74,'Trial Rows'!$G$2:$G$201,'Trial Rows'!G74,'Trial Rows'!$Y$2:$Y$201,'Trial Rows'!Y74)=4,COUNTIFS('Trial Rows'!$B$2:$B$201,'Trial Rows'!B74,'Trial Rows'!$C$2:$C$201,'Trial Rows'!C74,'Trial Rows'!$F$2:$F$201,'Trial Rows'!F74,'Trial Rows'!$G$2:$G$201,'Trial Rows'!G74,'Trial Rows'!$Y$2:$Y$201,'Trial Rows'!Y74,'Trial Rows'!$I$2:$I$201,1)=1,COUNTIFS('Trial Rows'!$B$2:$B$201,'Trial Rows'!B74,'Trial Rows'!$C$2:$C$201,'Trial Rows'!C74,'Trial Rows'!$F$2:$F$201,'Trial Rows'!F74,'Trial Rows'!$G$2:$G$201,'Trial Rows'!G74,'Trial Rows'!$Y$2:$Y$201,'Trial Rows'!Y74,'Trial Rows'!$I$2:$I$201,2)=1,COUNTIFS('Trial Rows'!$B$2:$B$201,'Trial Rows'!B74,'Trial Rows'!$C$2:$C$201,'Trial Rows'!C74,'Trial Rows'!$F$2:$F$201,'Trial Rows'!F74,'Trial Rows'!$G$2:$G$201,'Trial Rows'!G74,'Trial Rows'!$Y$2:$Y$201,'Trial Rows'!Y74,'Trial Rows'!$I$2:$I$201,3)=1,COUNTIFS('Trial Rows'!$B$2:$B$201,'Trial Rows'!B74,'Trial Rows'!$C$2:$C$201,'Trial Rows'!C74,'Trial Rows'!$F$2:$F$201,'Trial Rows'!F74,'Trial Rows'!$G$2:$G$201,'Trial Rows'!G74,'Trial Rows'!$Y$2:$Y$201,'Trial Rows'!Y74,'Trial Rows'!$I$2:$I$201,4)=1,COUNTIFS('Trial Rows'!$B$2:$B$201,'Trial Rows'!B74,'Trial Rows'!$C$2:$C$201,'Trial Rows'!C74,'Trial Rows'!$F$2:$F$201,'Trial Rows'!F74,'Trial Rows'!$G$2:$G$201,'Trial Rows'!G74,'Trial Rows'!$Y$2:$Y$201,'Trial Rows'!Y74,'Trial Rows'!$W$2:$W$201,"&lt;&gt;")=4,ISNUMBER('Trial Rows'!U74),COUNTIFS('Trial Rows'!$B$2:$B$201,'Trial Rows'!B74,'Trial Rows'!$C$2:$C$201,'Trial Rows'!C74,'Trial Rows'!$F$2:$F$201,'Trial Rows'!F74,'Trial Rows'!$G$2:$G$201,'Trial Rows'!G74,'Trial Rows'!$Y$2:$Y$201,'Trial Rows'!Y74,'Trial Rows'!$U$2:$U$201,'Trial Rows'!U74)=4,'Trial Rows'!U74&gt;=0),1,0)</x:f>
        <x:v>0</x:v>
      </x:c>
      <x:c r="O74" s="2" t="str">
        <x:f>IF(N74=1,'Trial Rows'!U74/1000,"")</x:f>
      </x:c>
      <x:c r="P74" s="2" t="str">
        <x:f>IF(AND(N74=1,'Trial Rows'!G74="A"),O74,"")</x:f>
      </x:c>
      <x:c r="Q74" s="2" t="str">
        <x:f>IF(AND(N74=1,'Trial Rows'!G74="B"),O74,"")</x:f>
      </x:c>
      <x:c r="R74" s="2" t="str">
        <x:f>IF(AND(N74=1,COUNTIFS('Trial Rows'!$B$2:$B$201,'Trial Rows'!B74,'Trial Rows'!$C$2:$C$201,'Trial Rows'!C74,'Trial Rows'!$F$2:$F$201,'Trial Rows'!F74,'Trial Rows'!$G$2:$G$201,'Trial Rows'!G74,'Trial Rows'!$Y$2:$Y$201,'Trial Rows'!Y74,'Trial Rows'!$N$2:$N$201,"&gt;=0",'Trial Rows'!$N$2:$N$201,"&lt;=4",'Trial Rows'!$N$2:$N$201,"&lt;&gt;")=4),SUMIFS('Trial Rows'!$N$2:$N$201,'Trial Rows'!$B$2:$B$201,'Trial Rows'!B74,'Trial Rows'!$C$2:$C$201,'Trial Rows'!C74,'Trial Rows'!$F$2:$F$201,'Trial Rows'!F74,'Trial Rows'!$G$2:$G$201,'Trial Rows'!G74,'Trial Rows'!$Y$2:$Y$201,'Trial Rows'!Y74,'Trial Rows'!$I$2:$I$201,1)+4-SUMIFS('Trial Rows'!$N$2:$N$201,'Trial Rows'!$B$2:$B$201,'Trial Rows'!B74,'Trial Rows'!$C$2:$C$201,'Trial Rows'!C74,'Trial Rows'!$F$2:$F$201,'Trial Rows'!F74,'Trial Rows'!$G$2:$G$201,'Trial Rows'!G74,'Trial Rows'!$Y$2:$Y$201,'Trial Rows'!Y74,'Trial Rows'!$I$2:$I$201,2)+4-SUMIFS('Trial Rows'!$N$2:$N$201,'Trial Rows'!$B$2:$B$201,'Trial Rows'!B74,'Trial Rows'!$C$2:$C$201,'Trial Rows'!C74,'Trial Rows'!$F$2:$F$201,'Trial Rows'!F74,'Trial Rows'!$G$2:$G$201,'Trial Rows'!G74,'Trial Rows'!$Y$2:$Y$201,'Trial Rows'!Y74,'Trial Rows'!$I$2:$I$201,3)+SUMIFS('Trial Rows'!$N$2:$N$201,'Trial Rows'!$B$2:$B$201,'Trial Rows'!B74,'Trial Rows'!$C$2:$C$201,'Trial Rows'!C74,'Trial Rows'!$F$2:$F$201,'Trial Rows'!F74,'Trial Rows'!$G$2:$G$201,'Trial Rows'!G74,'Trial Rows'!$Y$2:$Y$201,'Trial Rows'!Y74,'Trial Rows'!$I$2:$I$201,4),"")</x:f>
      </x:c>
      <x:c r="S74" s="2" t="n">
        <x:f>IF(AND(B74=1,COUNTIFS('Trial Rows'!$C$2:C74,'Trial Rows'!C74,'Trial Rows'!$F$2:F74,Summary!$B$5,'Trial Rows'!$Y$2:Y74,Summary!$B$4)=1),1,0)</x:f>
        <x:v>0</x:v>
      </x:c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 t="str">
        <x:f>IF('Trial Rows'!A75="","",'Trial Rows'!F75&amp;"|"&amp;'Trial Rows'!B75&amp;"|"&amp;'Trial Rows'!C75&amp;"|"&amp;'Trial Rows'!I75)</x:f>
      </x:c>
      <x:c r="B75" s="2" t="n">
        <x:f>IF(AND('Trial Rows'!A75&lt;&gt;"",'Trial Rows'!Y75=Summary!$B$4,'Trial Rows'!F75=Summary!$B$5),1,0)</x:f>
        <x:v>0</x:v>
      </x:c>
      <x:c r="C75" s="2" t="n">
        <x:f>IF(B75=1,COUNTIFS('Trial Rows'!$B$2:$B$201,'Trial Rows'!B75,'Trial Rows'!$C$2:$C$201,'Trial Rows'!C75,'Trial Rows'!$F$2:$F$201,'Trial Rows'!F75,'Trial Rows'!$I$2:$I$201,'Trial Rows'!I75,'Trial Rows'!$Y$2:$Y$201,'Trial Rows'!Y75,'Trial Rows'!$G$2:$G$201,"A"),0)</x:f>
        <x:v>0</x:v>
      </x:c>
      <x:c r="D75" s="2" t="n">
        <x:f>IF(B75=1,COUNTIFS('Trial Rows'!$B$2:$B$201,'Trial Rows'!B75,'Trial Rows'!$C$2:$C$201,'Trial Rows'!C75,'Trial Rows'!$F$2:$F$201,'Trial Rows'!F75,'Trial Rows'!$I$2:$I$201,'Trial Rows'!I75,'Trial Rows'!$Y$2:$Y$201,'Trial Rows'!Y75,'Trial Rows'!$G$2:$G$201,"B"),0)</x:f>
        <x:v>0</x:v>
      </x:c>
      <x:c r="E75" s="2" t="str">
        <x:f>IF(AND(C75=1,COUNTIFS('Trial Rows'!$B$2:$B$201,'Trial Rows'!B75,'Trial Rows'!$C$2:$C$201,'Trial Rows'!C75,'Trial Rows'!$F$2:$F$201,'Trial Rows'!F75,'Trial Rows'!$I$2:$I$201,'Trial Rows'!I75,'Trial Rows'!$Y$2:$Y$201,'Trial Rows'!Y75,'Trial Rows'!$G$2:$G$201,"A",'Trial Rows'!$K$2:$K$201,"&gt;=0",'Trial Rows'!$K$2:$K$201,"&lt;=4",'Trial Rows'!$K$2:$K$201,"&lt;&gt;")=1),SUMIFS('Trial Rows'!$K$2:$K$201,'Trial Rows'!$B$2:$B$201,'Trial Rows'!B75,'Trial Rows'!$C$2:$C$201,'Trial Rows'!C75,'Trial Rows'!$F$2:$F$201,'Trial Rows'!F75,'Trial Rows'!$I$2:$I$201,'Trial Rows'!I75,'Trial Rows'!$Y$2:$Y$201,'Trial Rows'!Y75,'Trial Rows'!$G$2:$G$201,"A"),"")</x:f>
      </x:c>
      <x:c r="F75" s="2" t="n">
        <x:f>IF(AND(B75=1,'Trial Rows'!G75="B",C75=1,D75=1,ISNUMBER(E75),ISNUMBER('Trial Rows'!M75),'Trial Rows'!M75&gt;=0,'Trial Rows'!M75&lt;=4,'Trial Rows'!Q75=0,'Trial Rows'!S75=0),1,0)</x:f>
        <x:v>0</x:v>
      </x:c>
      <x:c r="G75" s="2" t="n">
        <x:f>IF(F75=1,IF(E75='Trial Rows'!M75,1,0),0)</x:f>
        <x:v>0</x:v>
      </x:c>
      <x:c r="H75" s="2" t="n">
        <x:f>IF(AND(B75=1,'Trial Rows'!G75="B",C75=1,D75=1,ISNUMBER(E75),'Trial Rows'!R75=1,'Trial Rows'!Q75=0,'Trial Rows'!S75=0,ISNUMBER('Trial Rows'!L75),'Trial Rows'!L75&gt;=0,'Trial Rows'!L75&lt;=4),1,0)</x:f>
        <x:v>0</x:v>
      </x:c>
      <x:c r="I75" s="2" t="n">
        <x:f>IF(H75=1,IF(E75='Trial Rows'!L75,1,0),0)</x:f>
        <x:v>0</x:v>
      </x:c>
      <x:c r="J75" s="2" t="n">
        <x:f>IF(AND(B75=1,'Trial Rows'!G75="B",'Trial Rows'!P75&gt;0),1,0)</x:f>
        <x:v>0</x:v>
      </x:c>
      <x:c r="K75" s="2" t="n">
        <x:f>IF(AND(B75=1,'Trial Rows'!G75="B",'Trial Rows'!Q75=1),1,0)</x:f>
        <x:v>0</x:v>
      </x:c>
      <x:c r="L75" s="2" t="n">
        <x:f>IF(AND(B75=1,'Trial Rows'!G75="B",'Trial Rows'!R75=1,'Trial Rows'!Q75=0,'Trial Rows'!S75=0),1,0)</x:f>
        <x:v>0</x:v>
      </x:c>
      <x:c r="M75" s="2" t="n">
        <x:f>IF(AND(B75=1,'Trial Rows'!G75="B"),1,0)</x:f>
        <x:v>0</x:v>
      </x:c>
      <x:c r="N75" s="2" t="n">
        <x:f>IF(AND(B75=1,'Trial Rows'!I75=1,COUNTIFS('Trial Rows'!$B$2:$B$201,'Trial Rows'!B75,'Trial Rows'!$C$2:$C$201,'Trial Rows'!C75,'Trial Rows'!$F$2:$F$201,'Trial Rows'!F75,'Trial Rows'!$G$2:$G$201,'Trial Rows'!G75,'Trial Rows'!$Y$2:$Y$201,'Trial Rows'!Y75)=4,COUNTIFS('Trial Rows'!$B$2:$B$201,'Trial Rows'!B75,'Trial Rows'!$C$2:$C$201,'Trial Rows'!C75,'Trial Rows'!$F$2:$F$201,'Trial Rows'!F75,'Trial Rows'!$G$2:$G$201,'Trial Rows'!G75,'Trial Rows'!$Y$2:$Y$201,'Trial Rows'!Y75,'Trial Rows'!$I$2:$I$201,1)=1,COUNTIFS('Trial Rows'!$B$2:$B$201,'Trial Rows'!B75,'Trial Rows'!$C$2:$C$201,'Trial Rows'!C75,'Trial Rows'!$F$2:$F$201,'Trial Rows'!F75,'Trial Rows'!$G$2:$G$201,'Trial Rows'!G75,'Trial Rows'!$Y$2:$Y$201,'Trial Rows'!Y75,'Trial Rows'!$I$2:$I$201,2)=1,COUNTIFS('Trial Rows'!$B$2:$B$201,'Trial Rows'!B75,'Trial Rows'!$C$2:$C$201,'Trial Rows'!C75,'Trial Rows'!$F$2:$F$201,'Trial Rows'!F75,'Trial Rows'!$G$2:$G$201,'Trial Rows'!G75,'Trial Rows'!$Y$2:$Y$201,'Trial Rows'!Y75,'Trial Rows'!$I$2:$I$201,3)=1,COUNTIFS('Trial Rows'!$B$2:$B$201,'Trial Rows'!B75,'Trial Rows'!$C$2:$C$201,'Trial Rows'!C75,'Trial Rows'!$F$2:$F$201,'Trial Rows'!F75,'Trial Rows'!$G$2:$G$201,'Trial Rows'!G75,'Trial Rows'!$Y$2:$Y$201,'Trial Rows'!Y75,'Trial Rows'!$I$2:$I$201,4)=1,COUNTIFS('Trial Rows'!$B$2:$B$201,'Trial Rows'!B75,'Trial Rows'!$C$2:$C$201,'Trial Rows'!C75,'Trial Rows'!$F$2:$F$201,'Trial Rows'!F75,'Trial Rows'!$G$2:$G$201,'Trial Rows'!G75,'Trial Rows'!$Y$2:$Y$201,'Trial Rows'!Y75,'Trial Rows'!$W$2:$W$201,"&lt;&gt;")=4,ISNUMBER('Trial Rows'!U75),COUNTIFS('Trial Rows'!$B$2:$B$201,'Trial Rows'!B75,'Trial Rows'!$C$2:$C$201,'Trial Rows'!C75,'Trial Rows'!$F$2:$F$201,'Trial Rows'!F75,'Trial Rows'!$G$2:$G$201,'Trial Rows'!G75,'Trial Rows'!$Y$2:$Y$201,'Trial Rows'!Y75,'Trial Rows'!$U$2:$U$201,'Trial Rows'!U75)=4,'Trial Rows'!U75&gt;=0),1,0)</x:f>
        <x:v>0</x:v>
      </x:c>
      <x:c r="O75" s="2" t="str">
        <x:f>IF(N75=1,'Trial Rows'!U75/1000,"")</x:f>
      </x:c>
      <x:c r="P75" s="2" t="str">
        <x:f>IF(AND(N75=1,'Trial Rows'!G75="A"),O75,"")</x:f>
      </x:c>
      <x:c r="Q75" s="2" t="str">
        <x:f>IF(AND(N75=1,'Trial Rows'!G75="B"),O75,"")</x:f>
      </x:c>
      <x:c r="R75" s="2" t="str">
        <x:f>IF(AND(N75=1,COUNTIFS('Trial Rows'!$B$2:$B$201,'Trial Rows'!B75,'Trial Rows'!$C$2:$C$201,'Trial Rows'!C75,'Trial Rows'!$F$2:$F$201,'Trial Rows'!F75,'Trial Rows'!$G$2:$G$201,'Trial Rows'!G75,'Trial Rows'!$Y$2:$Y$201,'Trial Rows'!Y75,'Trial Rows'!$N$2:$N$201,"&gt;=0",'Trial Rows'!$N$2:$N$201,"&lt;=4",'Trial Rows'!$N$2:$N$201,"&lt;&gt;")=4),SUMIFS('Trial Rows'!$N$2:$N$201,'Trial Rows'!$B$2:$B$201,'Trial Rows'!B75,'Trial Rows'!$C$2:$C$201,'Trial Rows'!C75,'Trial Rows'!$F$2:$F$201,'Trial Rows'!F75,'Trial Rows'!$G$2:$G$201,'Trial Rows'!G75,'Trial Rows'!$Y$2:$Y$201,'Trial Rows'!Y75,'Trial Rows'!$I$2:$I$201,1)+4-SUMIFS('Trial Rows'!$N$2:$N$201,'Trial Rows'!$B$2:$B$201,'Trial Rows'!B75,'Trial Rows'!$C$2:$C$201,'Trial Rows'!C75,'Trial Rows'!$F$2:$F$201,'Trial Rows'!F75,'Trial Rows'!$G$2:$G$201,'Trial Rows'!G75,'Trial Rows'!$Y$2:$Y$201,'Trial Rows'!Y75,'Trial Rows'!$I$2:$I$201,2)+4-SUMIFS('Trial Rows'!$N$2:$N$201,'Trial Rows'!$B$2:$B$201,'Trial Rows'!B75,'Trial Rows'!$C$2:$C$201,'Trial Rows'!C75,'Trial Rows'!$F$2:$F$201,'Trial Rows'!F75,'Trial Rows'!$G$2:$G$201,'Trial Rows'!G75,'Trial Rows'!$Y$2:$Y$201,'Trial Rows'!Y75,'Trial Rows'!$I$2:$I$201,3)+SUMIFS('Trial Rows'!$N$2:$N$201,'Trial Rows'!$B$2:$B$201,'Trial Rows'!B75,'Trial Rows'!$C$2:$C$201,'Trial Rows'!C75,'Trial Rows'!$F$2:$F$201,'Trial Rows'!F75,'Trial Rows'!$G$2:$G$201,'Trial Rows'!G75,'Trial Rows'!$Y$2:$Y$201,'Trial Rows'!Y75,'Trial Rows'!$I$2:$I$201,4),"")</x:f>
      </x:c>
      <x:c r="S75" s="2" t="n">
        <x:f>IF(AND(B75=1,COUNTIFS('Trial Rows'!$C$2:C75,'Trial Rows'!C75,'Trial Rows'!$F$2:F75,Summary!$B$5,'Trial Rows'!$Y$2:Y75,Summary!$B$4)=1),1,0)</x:f>
        <x:v>0</x:v>
      </x:c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 t="str">
        <x:f>IF('Trial Rows'!A76="","",'Trial Rows'!F76&amp;"|"&amp;'Trial Rows'!B76&amp;"|"&amp;'Trial Rows'!C76&amp;"|"&amp;'Trial Rows'!I76)</x:f>
      </x:c>
      <x:c r="B76" s="2" t="n">
        <x:f>IF(AND('Trial Rows'!A76&lt;&gt;"",'Trial Rows'!Y76=Summary!$B$4,'Trial Rows'!F76=Summary!$B$5),1,0)</x:f>
        <x:v>0</x:v>
      </x:c>
      <x:c r="C76" s="2" t="n">
        <x:f>IF(B76=1,COUNTIFS('Trial Rows'!$B$2:$B$201,'Trial Rows'!B76,'Trial Rows'!$C$2:$C$201,'Trial Rows'!C76,'Trial Rows'!$F$2:$F$201,'Trial Rows'!F76,'Trial Rows'!$I$2:$I$201,'Trial Rows'!I76,'Trial Rows'!$Y$2:$Y$201,'Trial Rows'!Y76,'Trial Rows'!$G$2:$G$201,"A"),0)</x:f>
        <x:v>0</x:v>
      </x:c>
      <x:c r="D76" s="2" t="n">
        <x:f>IF(B76=1,COUNTIFS('Trial Rows'!$B$2:$B$201,'Trial Rows'!B76,'Trial Rows'!$C$2:$C$201,'Trial Rows'!C76,'Trial Rows'!$F$2:$F$201,'Trial Rows'!F76,'Trial Rows'!$I$2:$I$201,'Trial Rows'!I76,'Trial Rows'!$Y$2:$Y$201,'Trial Rows'!Y76,'Trial Rows'!$G$2:$G$201,"B"),0)</x:f>
        <x:v>0</x:v>
      </x:c>
      <x:c r="E76" s="2" t="str">
        <x:f>IF(AND(C76=1,COUNTIFS('Trial Rows'!$B$2:$B$201,'Trial Rows'!B76,'Trial Rows'!$C$2:$C$201,'Trial Rows'!C76,'Trial Rows'!$F$2:$F$201,'Trial Rows'!F76,'Trial Rows'!$I$2:$I$201,'Trial Rows'!I76,'Trial Rows'!$Y$2:$Y$201,'Trial Rows'!Y76,'Trial Rows'!$G$2:$G$201,"A",'Trial Rows'!$K$2:$K$201,"&gt;=0",'Trial Rows'!$K$2:$K$201,"&lt;=4",'Trial Rows'!$K$2:$K$201,"&lt;&gt;")=1),SUMIFS('Trial Rows'!$K$2:$K$201,'Trial Rows'!$B$2:$B$201,'Trial Rows'!B76,'Trial Rows'!$C$2:$C$201,'Trial Rows'!C76,'Trial Rows'!$F$2:$F$201,'Trial Rows'!F76,'Trial Rows'!$I$2:$I$201,'Trial Rows'!I76,'Trial Rows'!$Y$2:$Y$201,'Trial Rows'!Y76,'Trial Rows'!$G$2:$G$201,"A"),"")</x:f>
      </x:c>
      <x:c r="F76" s="2" t="n">
        <x:f>IF(AND(B76=1,'Trial Rows'!G76="B",C76=1,D76=1,ISNUMBER(E76),ISNUMBER('Trial Rows'!M76),'Trial Rows'!M76&gt;=0,'Trial Rows'!M76&lt;=4,'Trial Rows'!Q76=0,'Trial Rows'!S76=0),1,0)</x:f>
        <x:v>0</x:v>
      </x:c>
      <x:c r="G76" s="2" t="n">
        <x:f>IF(F76=1,IF(E76='Trial Rows'!M76,1,0),0)</x:f>
        <x:v>0</x:v>
      </x:c>
      <x:c r="H76" s="2" t="n">
        <x:f>IF(AND(B76=1,'Trial Rows'!G76="B",C76=1,D76=1,ISNUMBER(E76),'Trial Rows'!R76=1,'Trial Rows'!Q76=0,'Trial Rows'!S76=0,ISNUMBER('Trial Rows'!L76),'Trial Rows'!L76&gt;=0,'Trial Rows'!L76&lt;=4),1,0)</x:f>
        <x:v>0</x:v>
      </x:c>
      <x:c r="I76" s="2" t="n">
        <x:f>IF(H76=1,IF(E76='Trial Rows'!L76,1,0),0)</x:f>
        <x:v>0</x:v>
      </x:c>
      <x:c r="J76" s="2" t="n">
        <x:f>IF(AND(B76=1,'Trial Rows'!G76="B",'Trial Rows'!P76&gt;0),1,0)</x:f>
        <x:v>0</x:v>
      </x:c>
      <x:c r="K76" s="2" t="n">
        <x:f>IF(AND(B76=1,'Trial Rows'!G76="B",'Trial Rows'!Q76=1),1,0)</x:f>
        <x:v>0</x:v>
      </x:c>
      <x:c r="L76" s="2" t="n">
        <x:f>IF(AND(B76=1,'Trial Rows'!G76="B",'Trial Rows'!R76=1,'Trial Rows'!Q76=0,'Trial Rows'!S76=0),1,0)</x:f>
        <x:v>0</x:v>
      </x:c>
      <x:c r="M76" s="2" t="n">
        <x:f>IF(AND(B76=1,'Trial Rows'!G76="B"),1,0)</x:f>
        <x:v>0</x:v>
      </x:c>
      <x:c r="N76" s="2" t="n">
        <x:f>IF(AND(B76=1,'Trial Rows'!I76=1,COUNTIFS('Trial Rows'!$B$2:$B$201,'Trial Rows'!B76,'Trial Rows'!$C$2:$C$201,'Trial Rows'!C76,'Trial Rows'!$F$2:$F$201,'Trial Rows'!F76,'Trial Rows'!$G$2:$G$201,'Trial Rows'!G76,'Trial Rows'!$Y$2:$Y$201,'Trial Rows'!Y76)=4,COUNTIFS('Trial Rows'!$B$2:$B$201,'Trial Rows'!B76,'Trial Rows'!$C$2:$C$201,'Trial Rows'!C76,'Trial Rows'!$F$2:$F$201,'Trial Rows'!F76,'Trial Rows'!$G$2:$G$201,'Trial Rows'!G76,'Trial Rows'!$Y$2:$Y$201,'Trial Rows'!Y76,'Trial Rows'!$I$2:$I$201,1)=1,COUNTIFS('Trial Rows'!$B$2:$B$201,'Trial Rows'!B76,'Trial Rows'!$C$2:$C$201,'Trial Rows'!C76,'Trial Rows'!$F$2:$F$201,'Trial Rows'!F76,'Trial Rows'!$G$2:$G$201,'Trial Rows'!G76,'Trial Rows'!$Y$2:$Y$201,'Trial Rows'!Y76,'Trial Rows'!$I$2:$I$201,2)=1,COUNTIFS('Trial Rows'!$B$2:$B$201,'Trial Rows'!B76,'Trial Rows'!$C$2:$C$201,'Trial Rows'!C76,'Trial Rows'!$F$2:$F$201,'Trial Rows'!F76,'Trial Rows'!$G$2:$G$201,'Trial Rows'!G76,'Trial Rows'!$Y$2:$Y$201,'Trial Rows'!Y76,'Trial Rows'!$I$2:$I$201,3)=1,COUNTIFS('Trial Rows'!$B$2:$B$201,'Trial Rows'!B76,'Trial Rows'!$C$2:$C$201,'Trial Rows'!C76,'Trial Rows'!$F$2:$F$201,'Trial Rows'!F76,'Trial Rows'!$G$2:$G$201,'Trial Rows'!G76,'Trial Rows'!$Y$2:$Y$201,'Trial Rows'!Y76,'Trial Rows'!$I$2:$I$201,4)=1,COUNTIFS('Trial Rows'!$B$2:$B$201,'Trial Rows'!B76,'Trial Rows'!$C$2:$C$201,'Trial Rows'!C76,'Trial Rows'!$F$2:$F$201,'Trial Rows'!F76,'Trial Rows'!$G$2:$G$201,'Trial Rows'!G76,'Trial Rows'!$Y$2:$Y$201,'Trial Rows'!Y76,'Trial Rows'!$W$2:$W$201,"&lt;&gt;")=4,ISNUMBER('Trial Rows'!U76),COUNTIFS('Trial Rows'!$B$2:$B$201,'Trial Rows'!B76,'Trial Rows'!$C$2:$C$201,'Trial Rows'!C76,'Trial Rows'!$F$2:$F$201,'Trial Rows'!F76,'Trial Rows'!$G$2:$G$201,'Trial Rows'!G76,'Trial Rows'!$Y$2:$Y$201,'Trial Rows'!Y76,'Trial Rows'!$U$2:$U$201,'Trial Rows'!U76)=4,'Trial Rows'!U76&gt;=0),1,0)</x:f>
        <x:v>0</x:v>
      </x:c>
      <x:c r="O76" s="2" t="str">
        <x:f>IF(N76=1,'Trial Rows'!U76/1000,"")</x:f>
      </x:c>
      <x:c r="P76" s="2" t="str">
        <x:f>IF(AND(N76=1,'Trial Rows'!G76="A"),O76,"")</x:f>
      </x:c>
      <x:c r="Q76" s="2" t="str">
        <x:f>IF(AND(N76=1,'Trial Rows'!G76="B"),O76,"")</x:f>
      </x:c>
      <x:c r="R76" s="2" t="str">
        <x:f>IF(AND(N76=1,COUNTIFS('Trial Rows'!$B$2:$B$201,'Trial Rows'!B76,'Trial Rows'!$C$2:$C$201,'Trial Rows'!C76,'Trial Rows'!$F$2:$F$201,'Trial Rows'!F76,'Trial Rows'!$G$2:$G$201,'Trial Rows'!G76,'Trial Rows'!$Y$2:$Y$201,'Trial Rows'!Y76,'Trial Rows'!$N$2:$N$201,"&gt;=0",'Trial Rows'!$N$2:$N$201,"&lt;=4",'Trial Rows'!$N$2:$N$201,"&lt;&gt;")=4),SUMIFS('Trial Rows'!$N$2:$N$201,'Trial Rows'!$B$2:$B$201,'Trial Rows'!B76,'Trial Rows'!$C$2:$C$201,'Trial Rows'!C76,'Trial Rows'!$F$2:$F$201,'Trial Rows'!F76,'Trial Rows'!$G$2:$G$201,'Trial Rows'!G76,'Trial Rows'!$Y$2:$Y$201,'Trial Rows'!Y76,'Trial Rows'!$I$2:$I$201,1)+4-SUMIFS('Trial Rows'!$N$2:$N$201,'Trial Rows'!$B$2:$B$201,'Trial Rows'!B76,'Trial Rows'!$C$2:$C$201,'Trial Rows'!C76,'Trial Rows'!$F$2:$F$201,'Trial Rows'!F76,'Trial Rows'!$G$2:$G$201,'Trial Rows'!G76,'Trial Rows'!$Y$2:$Y$201,'Trial Rows'!Y76,'Trial Rows'!$I$2:$I$201,2)+4-SUMIFS('Trial Rows'!$N$2:$N$201,'Trial Rows'!$B$2:$B$201,'Trial Rows'!B76,'Trial Rows'!$C$2:$C$201,'Trial Rows'!C76,'Trial Rows'!$F$2:$F$201,'Trial Rows'!F76,'Trial Rows'!$G$2:$G$201,'Trial Rows'!G76,'Trial Rows'!$Y$2:$Y$201,'Trial Rows'!Y76,'Trial Rows'!$I$2:$I$201,3)+SUMIFS('Trial Rows'!$N$2:$N$201,'Trial Rows'!$B$2:$B$201,'Trial Rows'!B76,'Trial Rows'!$C$2:$C$201,'Trial Rows'!C76,'Trial Rows'!$F$2:$F$201,'Trial Rows'!F76,'Trial Rows'!$G$2:$G$201,'Trial Rows'!G76,'Trial Rows'!$Y$2:$Y$201,'Trial Rows'!Y76,'Trial Rows'!$I$2:$I$201,4),"")</x:f>
      </x:c>
      <x:c r="S76" s="2" t="n">
        <x:f>IF(AND(B76=1,COUNTIFS('Trial Rows'!$C$2:C76,'Trial Rows'!C76,'Trial Rows'!$F$2:F76,Summary!$B$5,'Trial Rows'!$Y$2:Y76,Summary!$B$4)=1),1,0)</x:f>
        <x:v>0</x:v>
      </x:c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 t="str">
        <x:f>IF('Trial Rows'!A77="","",'Trial Rows'!F77&amp;"|"&amp;'Trial Rows'!B77&amp;"|"&amp;'Trial Rows'!C77&amp;"|"&amp;'Trial Rows'!I77)</x:f>
      </x:c>
      <x:c r="B77" s="2" t="n">
        <x:f>IF(AND('Trial Rows'!A77&lt;&gt;"",'Trial Rows'!Y77=Summary!$B$4,'Trial Rows'!F77=Summary!$B$5),1,0)</x:f>
        <x:v>0</x:v>
      </x:c>
      <x:c r="C77" s="2" t="n">
        <x:f>IF(B77=1,COUNTIFS('Trial Rows'!$B$2:$B$201,'Trial Rows'!B77,'Trial Rows'!$C$2:$C$201,'Trial Rows'!C77,'Trial Rows'!$F$2:$F$201,'Trial Rows'!F77,'Trial Rows'!$I$2:$I$201,'Trial Rows'!I77,'Trial Rows'!$Y$2:$Y$201,'Trial Rows'!Y77,'Trial Rows'!$G$2:$G$201,"A"),0)</x:f>
        <x:v>0</x:v>
      </x:c>
      <x:c r="D77" s="2" t="n">
        <x:f>IF(B77=1,COUNTIFS('Trial Rows'!$B$2:$B$201,'Trial Rows'!B77,'Trial Rows'!$C$2:$C$201,'Trial Rows'!C77,'Trial Rows'!$F$2:$F$201,'Trial Rows'!F77,'Trial Rows'!$I$2:$I$201,'Trial Rows'!I77,'Trial Rows'!$Y$2:$Y$201,'Trial Rows'!Y77,'Trial Rows'!$G$2:$G$201,"B"),0)</x:f>
        <x:v>0</x:v>
      </x:c>
      <x:c r="E77" s="2" t="str">
        <x:f>IF(AND(C77=1,COUNTIFS('Trial Rows'!$B$2:$B$201,'Trial Rows'!B77,'Trial Rows'!$C$2:$C$201,'Trial Rows'!C77,'Trial Rows'!$F$2:$F$201,'Trial Rows'!F77,'Trial Rows'!$I$2:$I$201,'Trial Rows'!I77,'Trial Rows'!$Y$2:$Y$201,'Trial Rows'!Y77,'Trial Rows'!$G$2:$G$201,"A",'Trial Rows'!$K$2:$K$201,"&gt;=0",'Trial Rows'!$K$2:$K$201,"&lt;=4",'Trial Rows'!$K$2:$K$201,"&lt;&gt;")=1),SUMIFS('Trial Rows'!$K$2:$K$201,'Trial Rows'!$B$2:$B$201,'Trial Rows'!B77,'Trial Rows'!$C$2:$C$201,'Trial Rows'!C77,'Trial Rows'!$F$2:$F$201,'Trial Rows'!F77,'Trial Rows'!$I$2:$I$201,'Trial Rows'!I77,'Trial Rows'!$Y$2:$Y$201,'Trial Rows'!Y77,'Trial Rows'!$G$2:$G$201,"A"),"")</x:f>
      </x:c>
      <x:c r="F77" s="2" t="n">
        <x:f>IF(AND(B77=1,'Trial Rows'!G77="B",C77=1,D77=1,ISNUMBER(E77),ISNUMBER('Trial Rows'!M77),'Trial Rows'!M77&gt;=0,'Trial Rows'!M77&lt;=4,'Trial Rows'!Q77=0,'Trial Rows'!S77=0),1,0)</x:f>
        <x:v>0</x:v>
      </x:c>
      <x:c r="G77" s="2" t="n">
        <x:f>IF(F77=1,IF(E77='Trial Rows'!M77,1,0),0)</x:f>
        <x:v>0</x:v>
      </x:c>
      <x:c r="H77" s="2" t="n">
        <x:f>IF(AND(B77=1,'Trial Rows'!G77="B",C77=1,D77=1,ISNUMBER(E77),'Trial Rows'!R77=1,'Trial Rows'!Q77=0,'Trial Rows'!S77=0,ISNUMBER('Trial Rows'!L77),'Trial Rows'!L77&gt;=0,'Trial Rows'!L77&lt;=4),1,0)</x:f>
        <x:v>0</x:v>
      </x:c>
      <x:c r="I77" s="2" t="n">
        <x:f>IF(H77=1,IF(E77='Trial Rows'!L77,1,0),0)</x:f>
        <x:v>0</x:v>
      </x:c>
      <x:c r="J77" s="2" t="n">
        <x:f>IF(AND(B77=1,'Trial Rows'!G77="B",'Trial Rows'!P77&gt;0),1,0)</x:f>
        <x:v>0</x:v>
      </x:c>
      <x:c r="K77" s="2" t="n">
        <x:f>IF(AND(B77=1,'Trial Rows'!G77="B",'Trial Rows'!Q77=1),1,0)</x:f>
        <x:v>0</x:v>
      </x:c>
      <x:c r="L77" s="2" t="n">
        <x:f>IF(AND(B77=1,'Trial Rows'!G77="B",'Trial Rows'!R77=1,'Trial Rows'!Q77=0,'Trial Rows'!S77=0),1,0)</x:f>
        <x:v>0</x:v>
      </x:c>
      <x:c r="M77" s="2" t="n">
        <x:f>IF(AND(B77=1,'Trial Rows'!G77="B"),1,0)</x:f>
        <x:v>0</x:v>
      </x:c>
      <x:c r="N77" s="2" t="n">
        <x:f>IF(AND(B77=1,'Trial Rows'!I77=1,COUNTIFS('Trial Rows'!$B$2:$B$201,'Trial Rows'!B77,'Trial Rows'!$C$2:$C$201,'Trial Rows'!C77,'Trial Rows'!$F$2:$F$201,'Trial Rows'!F77,'Trial Rows'!$G$2:$G$201,'Trial Rows'!G77,'Trial Rows'!$Y$2:$Y$201,'Trial Rows'!Y77)=4,COUNTIFS('Trial Rows'!$B$2:$B$201,'Trial Rows'!B77,'Trial Rows'!$C$2:$C$201,'Trial Rows'!C77,'Trial Rows'!$F$2:$F$201,'Trial Rows'!F77,'Trial Rows'!$G$2:$G$201,'Trial Rows'!G77,'Trial Rows'!$Y$2:$Y$201,'Trial Rows'!Y77,'Trial Rows'!$I$2:$I$201,1)=1,COUNTIFS('Trial Rows'!$B$2:$B$201,'Trial Rows'!B77,'Trial Rows'!$C$2:$C$201,'Trial Rows'!C77,'Trial Rows'!$F$2:$F$201,'Trial Rows'!F77,'Trial Rows'!$G$2:$G$201,'Trial Rows'!G77,'Trial Rows'!$Y$2:$Y$201,'Trial Rows'!Y77,'Trial Rows'!$I$2:$I$201,2)=1,COUNTIFS('Trial Rows'!$B$2:$B$201,'Trial Rows'!B77,'Trial Rows'!$C$2:$C$201,'Trial Rows'!C77,'Trial Rows'!$F$2:$F$201,'Trial Rows'!F77,'Trial Rows'!$G$2:$G$201,'Trial Rows'!G77,'Trial Rows'!$Y$2:$Y$201,'Trial Rows'!Y77,'Trial Rows'!$I$2:$I$201,3)=1,COUNTIFS('Trial Rows'!$B$2:$B$201,'Trial Rows'!B77,'Trial Rows'!$C$2:$C$201,'Trial Rows'!C77,'Trial Rows'!$F$2:$F$201,'Trial Rows'!F77,'Trial Rows'!$G$2:$G$201,'Trial Rows'!G77,'Trial Rows'!$Y$2:$Y$201,'Trial Rows'!Y77,'Trial Rows'!$I$2:$I$201,4)=1,COUNTIFS('Trial Rows'!$B$2:$B$201,'Trial Rows'!B77,'Trial Rows'!$C$2:$C$201,'Trial Rows'!C77,'Trial Rows'!$F$2:$F$201,'Trial Rows'!F77,'Trial Rows'!$G$2:$G$201,'Trial Rows'!G77,'Trial Rows'!$Y$2:$Y$201,'Trial Rows'!Y77,'Trial Rows'!$W$2:$W$201,"&lt;&gt;")=4,ISNUMBER('Trial Rows'!U77),COUNTIFS('Trial Rows'!$B$2:$B$201,'Trial Rows'!B77,'Trial Rows'!$C$2:$C$201,'Trial Rows'!C77,'Trial Rows'!$F$2:$F$201,'Trial Rows'!F77,'Trial Rows'!$G$2:$G$201,'Trial Rows'!G77,'Trial Rows'!$Y$2:$Y$201,'Trial Rows'!Y77,'Trial Rows'!$U$2:$U$201,'Trial Rows'!U77)=4,'Trial Rows'!U77&gt;=0),1,0)</x:f>
        <x:v>0</x:v>
      </x:c>
      <x:c r="O77" s="2" t="str">
        <x:f>IF(N77=1,'Trial Rows'!U77/1000,"")</x:f>
      </x:c>
      <x:c r="P77" s="2" t="str">
        <x:f>IF(AND(N77=1,'Trial Rows'!G77="A"),O77,"")</x:f>
      </x:c>
      <x:c r="Q77" s="2" t="str">
        <x:f>IF(AND(N77=1,'Trial Rows'!G77="B"),O77,"")</x:f>
      </x:c>
      <x:c r="R77" s="2" t="str">
        <x:f>IF(AND(N77=1,COUNTIFS('Trial Rows'!$B$2:$B$201,'Trial Rows'!B77,'Trial Rows'!$C$2:$C$201,'Trial Rows'!C77,'Trial Rows'!$F$2:$F$201,'Trial Rows'!F77,'Trial Rows'!$G$2:$G$201,'Trial Rows'!G77,'Trial Rows'!$Y$2:$Y$201,'Trial Rows'!Y77,'Trial Rows'!$N$2:$N$201,"&gt;=0",'Trial Rows'!$N$2:$N$201,"&lt;=4",'Trial Rows'!$N$2:$N$201,"&lt;&gt;")=4),SUMIFS('Trial Rows'!$N$2:$N$201,'Trial Rows'!$B$2:$B$201,'Trial Rows'!B77,'Trial Rows'!$C$2:$C$201,'Trial Rows'!C77,'Trial Rows'!$F$2:$F$201,'Trial Rows'!F77,'Trial Rows'!$G$2:$G$201,'Trial Rows'!G77,'Trial Rows'!$Y$2:$Y$201,'Trial Rows'!Y77,'Trial Rows'!$I$2:$I$201,1)+4-SUMIFS('Trial Rows'!$N$2:$N$201,'Trial Rows'!$B$2:$B$201,'Trial Rows'!B77,'Trial Rows'!$C$2:$C$201,'Trial Rows'!C77,'Trial Rows'!$F$2:$F$201,'Trial Rows'!F77,'Trial Rows'!$G$2:$G$201,'Trial Rows'!G77,'Trial Rows'!$Y$2:$Y$201,'Trial Rows'!Y77,'Trial Rows'!$I$2:$I$201,2)+4-SUMIFS('Trial Rows'!$N$2:$N$201,'Trial Rows'!$B$2:$B$201,'Trial Rows'!B77,'Trial Rows'!$C$2:$C$201,'Trial Rows'!C77,'Trial Rows'!$F$2:$F$201,'Trial Rows'!F77,'Trial Rows'!$G$2:$G$201,'Trial Rows'!G77,'Trial Rows'!$Y$2:$Y$201,'Trial Rows'!Y77,'Trial Rows'!$I$2:$I$201,3)+SUMIFS('Trial Rows'!$N$2:$N$201,'Trial Rows'!$B$2:$B$201,'Trial Rows'!B77,'Trial Rows'!$C$2:$C$201,'Trial Rows'!C77,'Trial Rows'!$F$2:$F$201,'Trial Rows'!F77,'Trial Rows'!$G$2:$G$201,'Trial Rows'!G77,'Trial Rows'!$Y$2:$Y$201,'Trial Rows'!Y77,'Trial Rows'!$I$2:$I$201,4),"")</x:f>
      </x:c>
      <x:c r="S77" s="2" t="n">
        <x:f>IF(AND(B77=1,COUNTIFS('Trial Rows'!$C$2:C77,'Trial Rows'!C77,'Trial Rows'!$F$2:F77,Summary!$B$5,'Trial Rows'!$Y$2:Y77,Summary!$B$4)=1),1,0)</x:f>
        <x:v>0</x:v>
      </x:c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 t="str">
        <x:f>IF('Trial Rows'!A78="","",'Trial Rows'!F78&amp;"|"&amp;'Trial Rows'!B78&amp;"|"&amp;'Trial Rows'!C78&amp;"|"&amp;'Trial Rows'!I78)</x:f>
      </x:c>
      <x:c r="B78" s="2" t="n">
        <x:f>IF(AND('Trial Rows'!A78&lt;&gt;"",'Trial Rows'!Y78=Summary!$B$4,'Trial Rows'!F78=Summary!$B$5),1,0)</x:f>
        <x:v>0</x:v>
      </x:c>
      <x:c r="C78" s="2" t="n">
        <x:f>IF(B78=1,COUNTIFS('Trial Rows'!$B$2:$B$201,'Trial Rows'!B78,'Trial Rows'!$C$2:$C$201,'Trial Rows'!C78,'Trial Rows'!$F$2:$F$201,'Trial Rows'!F78,'Trial Rows'!$I$2:$I$201,'Trial Rows'!I78,'Trial Rows'!$Y$2:$Y$201,'Trial Rows'!Y78,'Trial Rows'!$G$2:$G$201,"A"),0)</x:f>
        <x:v>0</x:v>
      </x:c>
      <x:c r="D78" s="2" t="n">
        <x:f>IF(B78=1,COUNTIFS('Trial Rows'!$B$2:$B$201,'Trial Rows'!B78,'Trial Rows'!$C$2:$C$201,'Trial Rows'!C78,'Trial Rows'!$F$2:$F$201,'Trial Rows'!F78,'Trial Rows'!$I$2:$I$201,'Trial Rows'!I78,'Trial Rows'!$Y$2:$Y$201,'Trial Rows'!Y78,'Trial Rows'!$G$2:$G$201,"B"),0)</x:f>
        <x:v>0</x:v>
      </x:c>
      <x:c r="E78" s="2" t="str">
        <x:f>IF(AND(C78=1,COUNTIFS('Trial Rows'!$B$2:$B$201,'Trial Rows'!B78,'Trial Rows'!$C$2:$C$201,'Trial Rows'!C78,'Trial Rows'!$F$2:$F$201,'Trial Rows'!F78,'Trial Rows'!$I$2:$I$201,'Trial Rows'!I78,'Trial Rows'!$Y$2:$Y$201,'Trial Rows'!Y78,'Trial Rows'!$G$2:$G$201,"A",'Trial Rows'!$K$2:$K$201,"&gt;=0",'Trial Rows'!$K$2:$K$201,"&lt;=4",'Trial Rows'!$K$2:$K$201,"&lt;&gt;")=1),SUMIFS('Trial Rows'!$K$2:$K$201,'Trial Rows'!$B$2:$B$201,'Trial Rows'!B78,'Trial Rows'!$C$2:$C$201,'Trial Rows'!C78,'Trial Rows'!$F$2:$F$201,'Trial Rows'!F78,'Trial Rows'!$I$2:$I$201,'Trial Rows'!I78,'Trial Rows'!$Y$2:$Y$201,'Trial Rows'!Y78,'Trial Rows'!$G$2:$G$201,"A"),"")</x:f>
      </x:c>
      <x:c r="F78" s="2" t="n">
        <x:f>IF(AND(B78=1,'Trial Rows'!G78="B",C78=1,D78=1,ISNUMBER(E78),ISNUMBER('Trial Rows'!M78),'Trial Rows'!M78&gt;=0,'Trial Rows'!M78&lt;=4,'Trial Rows'!Q78=0,'Trial Rows'!S78=0),1,0)</x:f>
        <x:v>0</x:v>
      </x:c>
      <x:c r="G78" s="2" t="n">
        <x:f>IF(F78=1,IF(E78='Trial Rows'!M78,1,0),0)</x:f>
        <x:v>0</x:v>
      </x:c>
      <x:c r="H78" s="2" t="n">
        <x:f>IF(AND(B78=1,'Trial Rows'!G78="B",C78=1,D78=1,ISNUMBER(E78),'Trial Rows'!R78=1,'Trial Rows'!Q78=0,'Trial Rows'!S78=0,ISNUMBER('Trial Rows'!L78),'Trial Rows'!L78&gt;=0,'Trial Rows'!L78&lt;=4),1,0)</x:f>
        <x:v>0</x:v>
      </x:c>
      <x:c r="I78" s="2" t="n">
        <x:f>IF(H78=1,IF(E78='Trial Rows'!L78,1,0),0)</x:f>
        <x:v>0</x:v>
      </x:c>
      <x:c r="J78" s="2" t="n">
        <x:f>IF(AND(B78=1,'Trial Rows'!G78="B",'Trial Rows'!P78&gt;0),1,0)</x:f>
        <x:v>0</x:v>
      </x:c>
      <x:c r="K78" s="2" t="n">
        <x:f>IF(AND(B78=1,'Trial Rows'!G78="B",'Trial Rows'!Q78=1),1,0)</x:f>
        <x:v>0</x:v>
      </x:c>
      <x:c r="L78" s="2" t="n">
        <x:f>IF(AND(B78=1,'Trial Rows'!G78="B",'Trial Rows'!R78=1,'Trial Rows'!Q78=0,'Trial Rows'!S78=0),1,0)</x:f>
        <x:v>0</x:v>
      </x:c>
      <x:c r="M78" s="2" t="n">
        <x:f>IF(AND(B78=1,'Trial Rows'!G78="B"),1,0)</x:f>
        <x:v>0</x:v>
      </x:c>
      <x:c r="N78" s="2" t="n">
        <x:f>IF(AND(B78=1,'Trial Rows'!I78=1,COUNTIFS('Trial Rows'!$B$2:$B$201,'Trial Rows'!B78,'Trial Rows'!$C$2:$C$201,'Trial Rows'!C78,'Trial Rows'!$F$2:$F$201,'Trial Rows'!F78,'Trial Rows'!$G$2:$G$201,'Trial Rows'!G78,'Trial Rows'!$Y$2:$Y$201,'Trial Rows'!Y78)=4,COUNTIFS('Trial Rows'!$B$2:$B$201,'Trial Rows'!B78,'Trial Rows'!$C$2:$C$201,'Trial Rows'!C78,'Trial Rows'!$F$2:$F$201,'Trial Rows'!F78,'Trial Rows'!$G$2:$G$201,'Trial Rows'!G78,'Trial Rows'!$Y$2:$Y$201,'Trial Rows'!Y78,'Trial Rows'!$I$2:$I$201,1)=1,COUNTIFS('Trial Rows'!$B$2:$B$201,'Trial Rows'!B78,'Trial Rows'!$C$2:$C$201,'Trial Rows'!C78,'Trial Rows'!$F$2:$F$201,'Trial Rows'!F78,'Trial Rows'!$G$2:$G$201,'Trial Rows'!G78,'Trial Rows'!$Y$2:$Y$201,'Trial Rows'!Y78,'Trial Rows'!$I$2:$I$201,2)=1,COUNTIFS('Trial Rows'!$B$2:$B$201,'Trial Rows'!B78,'Trial Rows'!$C$2:$C$201,'Trial Rows'!C78,'Trial Rows'!$F$2:$F$201,'Trial Rows'!F78,'Trial Rows'!$G$2:$G$201,'Trial Rows'!G78,'Trial Rows'!$Y$2:$Y$201,'Trial Rows'!Y78,'Trial Rows'!$I$2:$I$201,3)=1,COUNTIFS('Trial Rows'!$B$2:$B$201,'Trial Rows'!B78,'Trial Rows'!$C$2:$C$201,'Trial Rows'!C78,'Trial Rows'!$F$2:$F$201,'Trial Rows'!F78,'Trial Rows'!$G$2:$G$201,'Trial Rows'!G78,'Trial Rows'!$Y$2:$Y$201,'Trial Rows'!Y78,'Trial Rows'!$I$2:$I$201,4)=1,COUNTIFS('Trial Rows'!$B$2:$B$201,'Trial Rows'!B78,'Trial Rows'!$C$2:$C$201,'Trial Rows'!C78,'Trial Rows'!$F$2:$F$201,'Trial Rows'!F78,'Trial Rows'!$G$2:$G$201,'Trial Rows'!G78,'Trial Rows'!$Y$2:$Y$201,'Trial Rows'!Y78,'Trial Rows'!$W$2:$W$201,"&lt;&gt;")=4,ISNUMBER('Trial Rows'!U78),COUNTIFS('Trial Rows'!$B$2:$B$201,'Trial Rows'!B78,'Trial Rows'!$C$2:$C$201,'Trial Rows'!C78,'Trial Rows'!$F$2:$F$201,'Trial Rows'!F78,'Trial Rows'!$G$2:$G$201,'Trial Rows'!G78,'Trial Rows'!$Y$2:$Y$201,'Trial Rows'!Y78,'Trial Rows'!$U$2:$U$201,'Trial Rows'!U78)=4,'Trial Rows'!U78&gt;=0),1,0)</x:f>
        <x:v>0</x:v>
      </x:c>
      <x:c r="O78" s="2" t="str">
        <x:f>IF(N78=1,'Trial Rows'!U78/1000,"")</x:f>
      </x:c>
      <x:c r="P78" s="2" t="str">
        <x:f>IF(AND(N78=1,'Trial Rows'!G78="A"),O78,"")</x:f>
      </x:c>
      <x:c r="Q78" s="2" t="str">
        <x:f>IF(AND(N78=1,'Trial Rows'!G78="B"),O78,"")</x:f>
      </x:c>
      <x:c r="R78" s="2" t="str">
        <x:f>IF(AND(N78=1,COUNTIFS('Trial Rows'!$B$2:$B$201,'Trial Rows'!B78,'Trial Rows'!$C$2:$C$201,'Trial Rows'!C78,'Trial Rows'!$F$2:$F$201,'Trial Rows'!F78,'Trial Rows'!$G$2:$G$201,'Trial Rows'!G78,'Trial Rows'!$Y$2:$Y$201,'Trial Rows'!Y78,'Trial Rows'!$N$2:$N$201,"&gt;=0",'Trial Rows'!$N$2:$N$201,"&lt;=4",'Trial Rows'!$N$2:$N$201,"&lt;&gt;")=4),SUMIFS('Trial Rows'!$N$2:$N$201,'Trial Rows'!$B$2:$B$201,'Trial Rows'!B78,'Trial Rows'!$C$2:$C$201,'Trial Rows'!C78,'Trial Rows'!$F$2:$F$201,'Trial Rows'!F78,'Trial Rows'!$G$2:$G$201,'Trial Rows'!G78,'Trial Rows'!$Y$2:$Y$201,'Trial Rows'!Y78,'Trial Rows'!$I$2:$I$201,1)+4-SUMIFS('Trial Rows'!$N$2:$N$201,'Trial Rows'!$B$2:$B$201,'Trial Rows'!B78,'Trial Rows'!$C$2:$C$201,'Trial Rows'!C78,'Trial Rows'!$F$2:$F$201,'Trial Rows'!F78,'Trial Rows'!$G$2:$G$201,'Trial Rows'!G78,'Trial Rows'!$Y$2:$Y$201,'Trial Rows'!Y78,'Trial Rows'!$I$2:$I$201,2)+4-SUMIFS('Trial Rows'!$N$2:$N$201,'Trial Rows'!$B$2:$B$201,'Trial Rows'!B78,'Trial Rows'!$C$2:$C$201,'Trial Rows'!C78,'Trial Rows'!$F$2:$F$201,'Trial Rows'!F78,'Trial Rows'!$G$2:$G$201,'Trial Rows'!G78,'Trial Rows'!$Y$2:$Y$201,'Trial Rows'!Y78,'Trial Rows'!$I$2:$I$201,3)+SUMIFS('Trial Rows'!$N$2:$N$201,'Trial Rows'!$B$2:$B$201,'Trial Rows'!B78,'Trial Rows'!$C$2:$C$201,'Trial Rows'!C78,'Trial Rows'!$F$2:$F$201,'Trial Rows'!F78,'Trial Rows'!$G$2:$G$201,'Trial Rows'!G78,'Trial Rows'!$Y$2:$Y$201,'Trial Rows'!Y78,'Trial Rows'!$I$2:$I$201,4),"")</x:f>
      </x:c>
      <x:c r="S78" s="2" t="n">
        <x:f>IF(AND(B78=1,COUNTIFS('Trial Rows'!$C$2:C78,'Trial Rows'!C78,'Trial Rows'!$F$2:F78,Summary!$B$5,'Trial Rows'!$Y$2:Y78,Summary!$B$4)=1),1,0)</x:f>
        <x:v>0</x:v>
      </x:c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 t="str">
        <x:f>IF('Trial Rows'!A79="","",'Trial Rows'!F79&amp;"|"&amp;'Trial Rows'!B79&amp;"|"&amp;'Trial Rows'!C79&amp;"|"&amp;'Trial Rows'!I79)</x:f>
      </x:c>
      <x:c r="B79" s="2" t="n">
        <x:f>IF(AND('Trial Rows'!A79&lt;&gt;"",'Trial Rows'!Y79=Summary!$B$4,'Trial Rows'!F79=Summary!$B$5),1,0)</x:f>
        <x:v>0</x:v>
      </x:c>
      <x:c r="C79" s="2" t="n">
        <x:f>IF(B79=1,COUNTIFS('Trial Rows'!$B$2:$B$201,'Trial Rows'!B79,'Trial Rows'!$C$2:$C$201,'Trial Rows'!C79,'Trial Rows'!$F$2:$F$201,'Trial Rows'!F79,'Trial Rows'!$I$2:$I$201,'Trial Rows'!I79,'Trial Rows'!$Y$2:$Y$201,'Trial Rows'!Y79,'Trial Rows'!$G$2:$G$201,"A"),0)</x:f>
        <x:v>0</x:v>
      </x:c>
      <x:c r="D79" s="2" t="n">
        <x:f>IF(B79=1,COUNTIFS('Trial Rows'!$B$2:$B$201,'Trial Rows'!B79,'Trial Rows'!$C$2:$C$201,'Trial Rows'!C79,'Trial Rows'!$F$2:$F$201,'Trial Rows'!F79,'Trial Rows'!$I$2:$I$201,'Trial Rows'!I79,'Trial Rows'!$Y$2:$Y$201,'Trial Rows'!Y79,'Trial Rows'!$G$2:$G$201,"B"),0)</x:f>
        <x:v>0</x:v>
      </x:c>
      <x:c r="E79" s="2" t="str">
        <x:f>IF(AND(C79=1,COUNTIFS('Trial Rows'!$B$2:$B$201,'Trial Rows'!B79,'Trial Rows'!$C$2:$C$201,'Trial Rows'!C79,'Trial Rows'!$F$2:$F$201,'Trial Rows'!F79,'Trial Rows'!$I$2:$I$201,'Trial Rows'!I79,'Trial Rows'!$Y$2:$Y$201,'Trial Rows'!Y79,'Trial Rows'!$G$2:$G$201,"A",'Trial Rows'!$K$2:$K$201,"&gt;=0",'Trial Rows'!$K$2:$K$201,"&lt;=4",'Trial Rows'!$K$2:$K$201,"&lt;&gt;")=1),SUMIFS('Trial Rows'!$K$2:$K$201,'Trial Rows'!$B$2:$B$201,'Trial Rows'!B79,'Trial Rows'!$C$2:$C$201,'Trial Rows'!C79,'Trial Rows'!$F$2:$F$201,'Trial Rows'!F79,'Trial Rows'!$I$2:$I$201,'Trial Rows'!I79,'Trial Rows'!$Y$2:$Y$201,'Trial Rows'!Y79,'Trial Rows'!$G$2:$G$201,"A"),"")</x:f>
      </x:c>
      <x:c r="F79" s="2" t="n">
        <x:f>IF(AND(B79=1,'Trial Rows'!G79="B",C79=1,D79=1,ISNUMBER(E79),ISNUMBER('Trial Rows'!M79),'Trial Rows'!M79&gt;=0,'Trial Rows'!M79&lt;=4,'Trial Rows'!Q79=0,'Trial Rows'!S79=0),1,0)</x:f>
        <x:v>0</x:v>
      </x:c>
      <x:c r="G79" s="2" t="n">
        <x:f>IF(F79=1,IF(E79='Trial Rows'!M79,1,0),0)</x:f>
        <x:v>0</x:v>
      </x:c>
      <x:c r="H79" s="2" t="n">
        <x:f>IF(AND(B79=1,'Trial Rows'!G79="B",C79=1,D79=1,ISNUMBER(E79),'Trial Rows'!R79=1,'Trial Rows'!Q79=0,'Trial Rows'!S79=0,ISNUMBER('Trial Rows'!L79),'Trial Rows'!L79&gt;=0,'Trial Rows'!L79&lt;=4),1,0)</x:f>
        <x:v>0</x:v>
      </x:c>
      <x:c r="I79" s="2" t="n">
        <x:f>IF(H79=1,IF(E79='Trial Rows'!L79,1,0),0)</x:f>
        <x:v>0</x:v>
      </x:c>
      <x:c r="J79" s="2" t="n">
        <x:f>IF(AND(B79=1,'Trial Rows'!G79="B",'Trial Rows'!P79&gt;0),1,0)</x:f>
        <x:v>0</x:v>
      </x:c>
      <x:c r="K79" s="2" t="n">
        <x:f>IF(AND(B79=1,'Trial Rows'!G79="B",'Trial Rows'!Q79=1),1,0)</x:f>
        <x:v>0</x:v>
      </x:c>
      <x:c r="L79" s="2" t="n">
        <x:f>IF(AND(B79=1,'Trial Rows'!G79="B",'Trial Rows'!R79=1,'Trial Rows'!Q79=0,'Trial Rows'!S79=0),1,0)</x:f>
        <x:v>0</x:v>
      </x:c>
      <x:c r="M79" s="2" t="n">
        <x:f>IF(AND(B79=1,'Trial Rows'!G79="B"),1,0)</x:f>
        <x:v>0</x:v>
      </x:c>
      <x:c r="N79" s="2" t="n">
        <x:f>IF(AND(B79=1,'Trial Rows'!I79=1,COUNTIFS('Trial Rows'!$B$2:$B$201,'Trial Rows'!B79,'Trial Rows'!$C$2:$C$201,'Trial Rows'!C79,'Trial Rows'!$F$2:$F$201,'Trial Rows'!F79,'Trial Rows'!$G$2:$G$201,'Trial Rows'!G79,'Trial Rows'!$Y$2:$Y$201,'Trial Rows'!Y79)=4,COUNTIFS('Trial Rows'!$B$2:$B$201,'Trial Rows'!B79,'Trial Rows'!$C$2:$C$201,'Trial Rows'!C79,'Trial Rows'!$F$2:$F$201,'Trial Rows'!F79,'Trial Rows'!$G$2:$G$201,'Trial Rows'!G79,'Trial Rows'!$Y$2:$Y$201,'Trial Rows'!Y79,'Trial Rows'!$I$2:$I$201,1)=1,COUNTIFS('Trial Rows'!$B$2:$B$201,'Trial Rows'!B79,'Trial Rows'!$C$2:$C$201,'Trial Rows'!C79,'Trial Rows'!$F$2:$F$201,'Trial Rows'!F79,'Trial Rows'!$G$2:$G$201,'Trial Rows'!G79,'Trial Rows'!$Y$2:$Y$201,'Trial Rows'!Y79,'Trial Rows'!$I$2:$I$201,2)=1,COUNTIFS('Trial Rows'!$B$2:$B$201,'Trial Rows'!B79,'Trial Rows'!$C$2:$C$201,'Trial Rows'!C79,'Trial Rows'!$F$2:$F$201,'Trial Rows'!F79,'Trial Rows'!$G$2:$G$201,'Trial Rows'!G79,'Trial Rows'!$Y$2:$Y$201,'Trial Rows'!Y79,'Trial Rows'!$I$2:$I$201,3)=1,COUNTIFS('Trial Rows'!$B$2:$B$201,'Trial Rows'!B79,'Trial Rows'!$C$2:$C$201,'Trial Rows'!C79,'Trial Rows'!$F$2:$F$201,'Trial Rows'!F79,'Trial Rows'!$G$2:$G$201,'Trial Rows'!G79,'Trial Rows'!$Y$2:$Y$201,'Trial Rows'!Y79,'Trial Rows'!$I$2:$I$201,4)=1,COUNTIFS('Trial Rows'!$B$2:$B$201,'Trial Rows'!B79,'Trial Rows'!$C$2:$C$201,'Trial Rows'!C79,'Trial Rows'!$F$2:$F$201,'Trial Rows'!F79,'Trial Rows'!$G$2:$G$201,'Trial Rows'!G79,'Trial Rows'!$Y$2:$Y$201,'Trial Rows'!Y79,'Trial Rows'!$W$2:$W$201,"&lt;&gt;")=4,ISNUMBER('Trial Rows'!U79),COUNTIFS('Trial Rows'!$B$2:$B$201,'Trial Rows'!B79,'Trial Rows'!$C$2:$C$201,'Trial Rows'!C79,'Trial Rows'!$F$2:$F$201,'Trial Rows'!F79,'Trial Rows'!$G$2:$G$201,'Trial Rows'!G79,'Trial Rows'!$Y$2:$Y$201,'Trial Rows'!Y79,'Trial Rows'!$U$2:$U$201,'Trial Rows'!U79)=4,'Trial Rows'!U79&gt;=0),1,0)</x:f>
        <x:v>0</x:v>
      </x:c>
      <x:c r="O79" s="2" t="str">
        <x:f>IF(N79=1,'Trial Rows'!U79/1000,"")</x:f>
      </x:c>
      <x:c r="P79" s="2" t="str">
        <x:f>IF(AND(N79=1,'Trial Rows'!G79="A"),O79,"")</x:f>
      </x:c>
      <x:c r="Q79" s="2" t="str">
        <x:f>IF(AND(N79=1,'Trial Rows'!G79="B"),O79,"")</x:f>
      </x:c>
      <x:c r="R79" s="2" t="str">
        <x:f>IF(AND(N79=1,COUNTIFS('Trial Rows'!$B$2:$B$201,'Trial Rows'!B79,'Trial Rows'!$C$2:$C$201,'Trial Rows'!C79,'Trial Rows'!$F$2:$F$201,'Trial Rows'!F79,'Trial Rows'!$G$2:$G$201,'Trial Rows'!G79,'Trial Rows'!$Y$2:$Y$201,'Trial Rows'!Y79,'Trial Rows'!$N$2:$N$201,"&gt;=0",'Trial Rows'!$N$2:$N$201,"&lt;=4",'Trial Rows'!$N$2:$N$201,"&lt;&gt;")=4),SUMIFS('Trial Rows'!$N$2:$N$201,'Trial Rows'!$B$2:$B$201,'Trial Rows'!B79,'Trial Rows'!$C$2:$C$201,'Trial Rows'!C79,'Trial Rows'!$F$2:$F$201,'Trial Rows'!F79,'Trial Rows'!$G$2:$G$201,'Trial Rows'!G79,'Trial Rows'!$Y$2:$Y$201,'Trial Rows'!Y79,'Trial Rows'!$I$2:$I$201,1)+4-SUMIFS('Trial Rows'!$N$2:$N$201,'Trial Rows'!$B$2:$B$201,'Trial Rows'!B79,'Trial Rows'!$C$2:$C$201,'Trial Rows'!C79,'Trial Rows'!$F$2:$F$201,'Trial Rows'!F79,'Trial Rows'!$G$2:$G$201,'Trial Rows'!G79,'Trial Rows'!$Y$2:$Y$201,'Trial Rows'!Y79,'Trial Rows'!$I$2:$I$201,2)+4-SUMIFS('Trial Rows'!$N$2:$N$201,'Trial Rows'!$B$2:$B$201,'Trial Rows'!B79,'Trial Rows'!$C$2:$C$201,'Trial Rows'!C79,'Trial Rows'!$F$2:$F$201,'Trial Rows'!F79,'Trial Rows'!$G$2:$G$201,'Trial Rows'!G79,'Trial Rows'!$Y$2:$Y$201,'Trial Rows'!Y79,'Trial Rows'!$I$2:$I$201,3)+SUMIFS('Trial Rows'!$N$2:$N$201,'Trial Rows'!$B$2:$B$201,'Trial Rows'!B79,'Trial Rows'!$C$2:$C$201,'Trial Rows'!C79,'Trial Rows'!$F$2:$F$201,'Trial Rows'!F79,'Trial Rows'!$G$2:$G$201,'Trial Rows'!G79,'Trial Rows'!$Y$2:$Y$201,'Trial Rows'!Y79,'Trial Rows'!$I$2:$I$201,4),"")</x:f>
      </x:c>
      <x:c r="S79" s="2" t="n">
        <x:f>IF(AND(B79=1,COUNTIFS('Trial Rows'!$C$2:C79,'Trial Rows'!C79,'Trial Rows'!$F$2:F79,Summary!$B$5,'Trial Rows'!$Y$2:Y79,Summary!$B$4)=1),1,0)</x:f>
        <x:v>0</x:v>
      </x:c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 t="str">
        <x:f>IF('Trial Rows'!A80="","",'Trial Rows'!F80&amp;"|"&amp;'Trial Rows'!B80&amp;"|"&amp;'Trial Rows'!C80&amp;"|"&amp;'Trial Rows'!I80)</x:f>
      </x:c>
      <x:c r="B80" s="2" t="n">
        <x:f>IF(AND('Trial Rows'!A80&lt;&gt;"",'Trial Rows'!Y80=Summary!$B$4,'Trial Rows'!F80=Summary!$B$5),1,0)</x:f>
        <x:v>0</x:v>
      </x:c>
      <x:c r="C80" s="2" t="n">
        <x:f>IF(B80=1,COUNTIFS('Trial Rows'!$B$2:$B$201,'Trial Rows'!B80,'Trial Rows'!$C$2:$C$201,'Trial Rows'!C80,'Trial Rows'!$F$2:$F$201,'Trial Rows'!F80,'Trial Rows'!$I$2:$I$201,'Trial Rows'!I80,'Trial Rows'!$Y$2:$Y$201,'Trial Rows'!Y80,'Trial Rows'!$G$2:$G$201,"A"),0)</x:f>
        <x:v>0</x:v>
      </x:c>
      <x:c r="D80" s="2" t="n">
        <x:f>IF(B80=1,COUNTIFS('Trial Rows'!$B$2:$B$201,'Trial Rows'!B80,'Trial Rows'!$C$2:$C$201,'Trial Rows'!C80,'Trial Rows'!$F$2:$F$201,'Trial Rows'!F80,'Trial Rows'!$I$2:$I$201,'Trial Rows'!I80,'Trial Rows'!$Y$2:$Y$201,'Trial Rows'!Y80,'Trial Rows'!$G$2:$G$201,"B"),0)</x:f>
        <x:v>0</x:v>
      </x:c>
      <x:c r="E80" s="2" t="str">
        <x:f>IF(AND(C80=1,COUNTIFS('Trial Rows'!$B$2:$B$201,'Trial Rows'!B80,'Trial Rows'!$C$2:$C$201,'Trial Rows'!C80,'Trial Rows'!$F$2:$F$201,'Trial Rows'!F80,'Trial Rows'!$I$2:$I$201,'Trial Rows'!I80,'Trial Rows'!$Y$2:$Y$201,'Trial Rows'!Y80,'Trial Rows'!$G$2:$G$201,"A",'Trial Rows'!$K$2:$K$201,"&gt;=0",'Trial Rows'!$K$2:$K$201,"&lt;=4",'Trial Rows'!$K$2:$K$201,"&lt;&gt;")=1),SUMIFS('Trial Rows'!$K$2:$K$201,'Trial Rows'!$B$2:$B$201,'Trial Rows'!B80,'Trial Rows'!$C$2:$C$201,'Trial Rows'!C80,'Trial Rows'!$F$2:$F$201,'Trial Rows'!F80,'Trial Rows'!$I$2:$I$201,'Trial Rows'!I80,'Trial Rows'!$Y$2:$Y$201,'Trial Rows'!Y80,'Trial Rows'!$G$2:$G$201,"A"),"")</x:f>
      </x:c>
      <x:c r="F80" s="2" t="n">
        <x:f>IF(AND(B80=1,'Trial Rows'!G80="B",C80=1,D80=1,ISNUMBER(E80),ISNUMBER('Trial Rows'!M80),'Trial Rows'!M80&gt;=0,'Trial Rows'!M80&lt;=4,'Trial Rows'!Q80=0,'Trial Rows'!S80=0),1,0)</x:f>
        <x:v>0</x:v>
      </x:c>
      <x:c r="G80" s="2" t="n">
        <x:f>IF(F80=1,IF(E80='Trial Rows'!M80,1,0),0)</x:f>
        <x:v>0</x:v>
      </x:c>
      <x:c r="H80" s="2" t="n">
        <x:f>IF(AND(B80=1,'Trial Rows'!G80="B",C80=1,D80=1,ISNUMBER(E80),'Trial Rows'!R80=1,'Trial Rows'!Q80=0,'Trial Rows'!S80=0,ISNUMBER('Trial Rows'!L80),'Trial Rows'!L80&gt;=0,'Trial Rows'!L80&lt;=4),1,0)</x:f>
        <x:v>0</x:v>
      </x:c>
      <x:c r="I80" s="2" t="n">
        <x:f>IF(H80=1,IF(E80='Trial Rows'!L80,1,0),0)</x:f>
        <x:v>0</x:v>
      </x:c>
      <x:c r="J80" s="2" t="n">
        <x:f>IF(AND(B80=1,'Trial Rows'!G80="B",'Trial Rows'!P80&gt;0),1,0)</x:f>
        <x:v>0</x:v>
      </x:c>
      <x:c r="K80" s="2" t="n">
        <x:f>IF(AND(B80=1,'Trial Rows'!G80="B",'Trial Rows'!Q80=1),1,0)</x:f>
        <x:v>0</x:v>
      </x:c>
      <x:c r="L80" s="2" t="n">
        <x:f>IF(AND(B80=1,'Trial Rows'!G80="B",'Trial Rows'!R80=1,'Trial Rows'!Q80=0,'Trial Rows'!S80=0),1,0)</x:f>
        <x:v>0</x:v>
      </x:c>
      <x:c r="M80" s="2" t="n">
        <x:f>IF(AND(B80=1,'Trial Rows'!G80="B"),1,0)</x:f>
        <x:v>0</x:v>
      </x:c>
      <x:c r="N80" s="2" t="n">
        <x:f>IF(AND(B80=1,'Trial Rows'!I80=1,COUNTIFS('Trial Rows'!$B$2:$B$201,'Trial Rows'!B80,'Trial Rows'!$C$2:$C$201,'Trial Rows'!C80,'Trial Rows'!$F$2:$F$201,'Trial Rows'!F80,'Trial Rows'!$G$2:$G$201,'Trial Rows'!G80,'Trial Rows'!$Y$2:$Y$201,'Trial Rows'!Y80)=4,COUNTIFS('Trial Rows'!$B$2:$B$201,'Trial Rows'!B80,'Trial Rows'!$C$2:$C$201,'Trial Rows'!C80,'Trial Rows'!$F$2:$F$201,'Trial Rows'!F80,'Trial Rows'!$G$2:$G$201,'Trial Rows'!G80,'Trial Rows'!$Y$2:$Y$201,'Trial Rows'!Y80,'Trial Rows'!$I$2:$I$201,1)=1,COUNTIFS('Trial Rows'!$B$2:$B$201,'Trial Rows'!B80,'Trial Rows'!$C$2:$C$201,'Trial Rows'!C80,'Trial Rows'!$F$2:$F$201,'Trial Rows'!F80,'Trial Rows'!$G$2:$G$201,'Trial Rows'!G80,'Trial Rows'!$Y$2:$Y$201,'Trial Rows'!Y80,'Trial Rows'!$I$2:$I$201,2)=1,COUNTIFS('Trial Rows'!$B$2:$B$201,'Trial Rows'!B80,'Trial Rows'!$C$2:$C$201,'Trial Rows'!C80,'Trial Rows'!$F$2:$F$201,'Trial Rows'!F80,'Trial Rows'!$G$2:$G$201,'Trial Rows'!G80,'Trial Rows'!$Y$2:$Y$201,'Trial Rows'!Y80,'Trial Rows'!$I$2:$I$201,3)=1,COUNTIFS('Trial Rows'!$B$2:$B$201,'Trial Rows'!B80,'Trial Rows'!$C$2:$C$201,'Trial Rows'!C80,'Trial Rows'!$F$2:$F$201,'Trial Rows'!F80,'Trial Rows'!$G$2:$G$201,'Trial Rows'!G80,'Trial Rows'!$Y$2:$Y$201,'Trial Rows'!Y80,'Trial Rows'!$I$2:$I$201,4)=1,COUNTIFS('Trial Rows'!$B$2:$B$201,'Trial Rows'!B80,'Trial Rows'!$C$2:$C$201,'Trial Rows'!C80,'Trial Rows'!$F$2:$F$201,'Trial Rows'!F80,'Trial Rows'!$G$2:$G$201,'Trial Rows'!G80,'Trial Rows'!$Y$2:$Y$201,'Trial Rows'!Y80,'Trial Rows'!$W$2:$W$201,"&lt;&gt;")=4,ISNUMBER('Trial Rows'!U80),COUNTIFS('Trial Rows'!$B$2:$B$201,'Trial Rows'!B80,'Trial Rows'!$C$2:$C$201,'Trial Rows'!C80,'Trial Rows'!$F$2:$F$201,'Trial Rows'!F80,'Trial Rows'!$G$2:$G$201,'Trial Rows'!G80,'Trial Rows'!$Y$2:$Y$201,'Trial Rows'!Y80,'Trial Rows'!$U$2:$U$201,'Trial Rows'!U80)=4,'Trial Rows'!U80&gt;=0),1,0)</x:f>
        <x:v>0</x:v>
      </x:c>
      <x:c r="O80" s="2" t="str">
        <x:f>IF(N80=1,'Trial Rows'!U80/1000,"")</x:f>
      </x:c>
      <x:c r="P80" s="2" t="str">
        <x:f>IF(AND(N80=1,'Trial Rows'!G80="A"),O80,"")</x:f>
      </x:c>
      <x:c r="Q80" s="2" t="str">
        <x:f>IF(AND(N80=1,'Trial Rows'!G80="B"),O80,"")</x:f>
      </x:c>
      <x:c r="R80" s="2" t="str">
        <x:f>IF(AND(N80=1,COUNTIFS('Trial Rows'!$B$2:$B$201,'Trial Rows'!B80,'Trial Rows'!$C$2:$C$201,'Trial Rows'!C80,'Trial Rows'!$F$2:$F$201,'Trial Rows'!F80,'Trial Rows'!$G$2:$G$201,'Trial Rows'!G80,'Trial Rows'!$Y$2:$Y$201,'Trial Rows'!Y80,'Trial Rows'!$N$2:$N$201,"&gt;=0",'Trial Rows'!$N$2:$N$201,"&lt;=4",'Trial Rows'!$N$2:$N$201,"&lt;&gt;")=4),SUMIFS('Trial Rows'!$N$2:$N$201,'Trial Rows'!$B$2:$B$201,'Trial Rows'!B80,'Trial Rows'!$C$2:$C$201,'Trial Rows'!C80,'Trial Rows'!$F$2:$F$201,'Trial Rows'!F80,'Trial Rows'!$G$2:$G$201,'Trial Rows'!G80,'Trial Rows'!$Y$2:$Y$201,'Trial Rows'!Y80,'Trial Rows'!$I$2:$I$201,1)+4-SUMIFS('Trial Rows'!$N$2:$N$201,'Trial Rows'!$B$2:$B$201,'Trial Rows'!B80,'Trial Rows'!$C$2:$C$201,'Trial Rows'!C80,'Trial Rows'!$F$2:$F$201,'Trial Rows'!F80,'Trial Rows'!$G$2:$G$201,'Trial Rows'!G80,'Trial Rows'!$Y$2:$Y$201,'Trial Rows'!Y80,'Trial Rows'!$I$2:$I$201,2)+4-SUMIFS('Trial Rows'!$N$2:$N$201,'Trial Rows'!$B$2:$B$201,'Trial Rows'!B80,'Trial Rows'!$C$2:$C$201,'Trial Rows'!C80,'Trial Rows'!$F$2:$F$201,'Trial Rows'!F80,'Trial Rows'!$G$2:$G$201,'Trial Rows'!G80,'Trial Rows'!$Y$2:$Y$201,'Trial Rows'!Y80,'Trial Rows'!$I$2:$I$201,3)+SUMIFS('Trial Rows'!$N$2:$N$201,'Trial Rows'!$B$2:$B$201,'Trial Rows'!B80,'Trial Rows'!$C$2:$C$201,'Trial Rows'!C80,'Trial Rows'!$F$2:$F$201,'Trial Rows'!F80,'Trial Rows'!$G$2:$G$201,'Trial Rows'!G80,'Trial Rows'!$Y$2:$Y$201,'Trial Rows'!Y80,'Trial Rows'!$I$2:$I$201,4),"")</x:f>
      </x:c>
      <x:c r="S80" s="2" t="n">
        <x:f>IF(AND(B80=1,COUNTIFS('Trial Rows'!$C$2:C80,'Trial Rows'!C80,'Trial Rows'!$F$2:F80,Summary!$B$5,'Trial Rows'!$Y$2:Y80,Summary!$B$4)=1),1,0)</x:f>
        <x:v>0</x:v>
      </x:c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 t="str">
        <x:f>IF('Trial Rows'!A81="","",'Trial Rows'!F81&amp;"|"&amp;'Trial Rows'!B81&amp;"|"&amp;'Trial Rows'!C81&amp;"|"&amp;'Trial Rows'!I81)</x:f>
      </x:c>
      <x:c r="B81" s="2" t="n">
        <x:f>IF(AND('Trial Rows'!A81&lt;&gt;"",'Trial Rows'!Y81=Summary!$B$4,'Trial Rows'!F81=Summary!$B$5),1,0)</x:f>
        <x:v>0</x:v>
      </x:c>
      <x:c r="C81" s="2" t="n">
        <x:f>IF(B81=1,COUNTIFS('Trial Rows'!$B$2:$B$201,'Trial Rows'!B81,'Trial Rows'!$C$2:$C$201,'Trial Rows'!C81,'Trial Rows'!$F$2:$F$201,'Trial Rows'!F81,'Trial Rows'!$I$2:$I$201,'Trial Rows'!I81,'Trial Rows'!$Y$2:$Y$201,'Trial Rows'!Y81,'Trial Rows'!$G$2:$G$201,"A"),0)</x:f>
        <x:v>0</x:v>
      </x:c>
      <x:c r="D81" s="2" t="n">
        <x:f>IF(B81=1,COUNTIFS('Trial Rows'!$B$2:$B$201,'Trial Rows'!B81,'Trial Rows'!$C$2:$C$201,'Trial Rows'!C81,'Trial Rows'!$F$2:$F$201,'Trial Rows'!F81,'Trial Rows'!$I$2:$I$201,'Trial Rows'!I81,'Trial Rows'!$Y$2:$Y$201,'Trial Rows'!Y81,'Trial Rows'!$G$2:$G$201,"B"),0)</x:f>
        <x:v>0</x:v>
      </x:c>
      <x:c r="E81" s="2" t="str">
        <x:f>IF(AND(C81=1,COUNTIFS('Trial Rows'!$B$2:$B$201,'Trial Rows'!B81,'Trial Rows'!$C$2:$C$201,'Trial Rows'!C81,'Trial Rows'!$F$2:$F$201,'Trial Rows'!F81,'Trial Rows'!$I$2:$I$201,'Trial Rows'!I81,'Trial Rows'!$Y$2:$Y$201,'Trial Rows'!Y81,'Trial Rows'!$G$2:$G$201,"A",'Trial Rows'!$K$2:$K$201,"&gt;=0",'Trial Rows'!$K$2:$K$201,"&lt;=4",'Trial Rows'!$K$2:$K$201,"&lt;&gt;")=1),SUMIFS('Trial Rows'!$K$2:$K$201,'Trial Rows'!$B$2:$B$201,'Trial Rows'!B81,'Trial Rows'!$C$2:$C$201,'Trial Rows'!C81,'Trial Rows'!$F$2:$F$201,'Trial Rows'!F81,'Trial Rows'!$I$2:$I$201,'Trial Rows'!I81,'Trial Rows'!$Y$2:$Y$201,'Trial Rows'!Y81,'Trial Rows'!$G$2:$G$201,"A"),"")</x:f>
      </x:c>
      <x:c r="F81" s="2" t="n">
        <x:f>IF(AND(B81=1,'Trial Rows'!G81="B",C81=1,D81=1,ISNUMBER(E81),ISNUMBER('Trial Rows'!M81),'Trial Rows'!M81&gt;=0,'Trial Rows'!M81&lt;=4,'Trial Rows'!Q81=0,'Trial Rows'!S81=0),1,0)</x:f>
        <x:v>0</x:v>
      </x:c>
      <x:c r="G81" s="2" t="n">
        <x:f>IF(F81=1,IF(E81='Trial Rows'!M81,1,0),0)</x:f>
        <x:v>0</x:v>
      </x:c>
      <x:c r="H81" s="2" t="n">
        <x:f>IF(AND(B81=1,'Trial Rows'!G81="B",C81=1,D81=1,ISNUMBER(E81),'Trial Rows'!R81=1,'Trial Rows'!Q81=0,'Trial Rows'!S81=0,ISNUMBER('Trial Rows'!L81),'Trial Rows'!L81&gt;=0,'Trial Rows'!L81&lt;=4),1,0)</x:f>
        <x:v>0</x:v>
      </x:c>
      <x:c r="I81" s="2" t="n">
        <x:f>IF(H81=1,IF(E81='Trial Rows'!L81,1,0),0)</x:f>
        <x:v>0</x:v>
      </x:c>
      <x:c r="J81" s="2" t="n">
        <x:f>IF(AND(B81=1,'Trial Rows'!G81="B",'Trial Rows'!P81&gt;0),1,0)</x:f>
        <x:v>0</x:v>
      </x:c>
      <x:c r="K81" s="2" t="n">
        <x:f>IF(AND(B81=1,'Trial Rows'!G81="B",'Trial Rows'!Q81=1),1,0)</x:f>
        <x:v>0</x:v>
      </x:c>
      <x:c r="L81" s="2" t="n">
        <x:f>IF(AND(B81=1,'Trial Rows'!G81="B",'Trial Rows'!R81=1,'Trial Rows'!Q81=0,'Trial Rows'!S81=0),1,0)</x:f>
        <x:v>0</x:v>
      </x:c>
      <x:c r="M81" s="2" t="n">
        <x:f>IF(AND(B81=1,'Trial Rows'!G81="B"),1,0)</x:f>
        <x:v>0</x:v>
      </x:c>
      <x:c r="N81" s="2" t="n">
        <x:f>IF(AND(B81=1,'Trial Rows'!I81=1,COUNTIFS('Trial Rows'!$B$2:$B$201,'Trial Rows'!B81,'Trial Rows'!$C$2:$C$201,'Trial Rows'!C81,'Trial Rows'!$F$2:$F$201,'Trial Rows'!F81,'Trial Rows'!$G$2:$G$201,'Trial Rows'!G81,'Trial Rows'!$Y$2:$Y$201,'Trial Rows'!Y81)=4,COUNTIFS('Trial Rows'!$B$2:$B$201,'Trial Rows'!B81,'Trial Rows'!$C$2:$C$201,'Trial Rows'!C81,'Trial Rows'!$F$2:$F$201,'Trial Rows'!F81,'Trial Rows'!$G$2:$G$201,'Trial Rows'!G81,'Trial Rows'!$Y$2:$Y$201,'Trial Rows'!Y81,'Trial Rows'!$I$2:$I$201,1)=1,COUNTIFS('Trial Rows'!$B$2:$B$201,'Trial Rows'!B81,'Trial Rows'!$C$2:$C$201,'Trial Rows'!C81,'Trial Rows'!$F$2:$F$201,'Trial Rows'!F81,'Trial Rows'!$G$2:$G$201,'Trial Rows'!G81,'Trial Rows'!$Y$2:$Y$201,'Trial Rows'!Y81,'Trial Rows'!$I$2:$I$201,2)=1,COUNTIFS('Trial Rows'!$B$2:$B$201,'Trial Rows'!B81,'Trial Rows'!$C$2:$C$201,'Trial Rows'!C81,'Trial Rows'!$F$2:$F$201,'Trial Rows'!F81,'Trial Rows'!$G$2:$G$201,'Trial Rows'!G81,'Trial Rows'!$Y$2:$Y$201,'Trial Rows'!Y81,'Trial Rows'!$I$2:$I$201,3)=1,COUNTIFS('Trial Rows'!$B$2:$B$201,'Trial Rows'!B81,'Trial Rows'!$C$2:$C$201,'Trial Rows'!C81,'Trial Rows'!$F$2:$F$201,'Trial Rows'!F81,'Trial Rows'!$G$2:$G$201,'Trial Rows'!G81,'Trial Rows'!$Y$2:$Y$201,'Trial Rows'!Y81,'Trial Rows'!$I$2:$I$201,4)=1,COUNTIFS('Trial Rows'!$B$2:$B$201,'Trial Rows'!B81,'Trial Rows'!$C$2:$C$201,'Trial Rows'!C81,'Trial Rows'!$F$2:$F$201,'Trial Rows'!F81,'Trial Rows'!$G$2:$G$201,'Trial Rows'!G81,'Trial Rows'!$Y$2:$Y$201,'Trial Rows'!Y81,'Trial Rows'!$W$2:$W$201,"&lt;&gt;")=4,ISNUMBER('Trial Rows'!U81),COUNTIFS('Trial Rows'!$B$2:$B$201,'Trial Rows'!B81,'Trial Rows'!$C$2:$C$201,'Trial Rows'!C81,'Trial Rows'!$F$2:$F$201,'Trial Rows'!F81,'Trial Rows'!$G$2:$G$201,'Trial Rows'!G81,'Trial Rows'!$Y$2:$Y$201,'Trial Rows'!Y81,'Trial Rows'!$U$2:$U$201,'Trial Rows'!U81)=4,'Trial Rows'!U81&gt;=0),1,0)</x:f>
        <x:v>0</x:v>
      </x:c>
      <x:c r="O81" s="2" t="str">
        <x:f>IF(N81=1,'Trial Rows'!U81/1000,"")</x:f>
      </x:c>
      <x:c r="P81" s="2" t="str">
        <x:f>IF(AND(N81=1,'Trial Rows'!G81="A"),O81,"")</x:f>
      </x:c>
      <x:c r="Q81" s="2" t="str">
        <x:f>IF(AND(N81=1,'Trial Rows'!G81="B"),O81,"")</x:f>
      </x:c>
      <x:c r="R81" s="2" t="str">
        <x:f>IF(AND(N81=1,COUNTIFS('Trial Rows'!$B$2:$B$201,'Trial Rows'!B81,'Trial Rows'!$C$2:$C$201,'Trial Rows'!C81,'Trial Rows'!$F$2:$F$201,'Trial Rows'!F81,'Trial Rows'!$G$2:$G$201,'Trial Rows'!G81,'Trial Rows'!$Y$2:$Y$201,'Trial Rows'!Y81,'Trial Rows'!$N$2:$N$201,"&gt;=0",'Trial Rows'!$N$2:$N$201,"&lt;=4",'Trial Rows'!$N$2:$N$201,"&lt;&gt;")=4),SUMIFS('Trial Rows'!$N$2:$N$201,'Trial Rows'!$B$2:$B$201,'Trial Rows'!B81,'Trial Rows'!$C$2:$C$201,'Trial Rows'!C81,'Trial Rows'!$F$2:$F$201,'Trial Rows'!F81,'Trial Rows'!$G$2:$G$201,'Trial Rows'!G81,'Trial Rows'!$Y$2:$Y$201,'Trial Rows'!Y81,'Trial Rows'!$I$2:$I$201,1)+4-SUMIFS('Trial Rows'!$N$2:$N$201,'Trial Rows'!$B$2:$B$201,'Trial Rows'!B81,'Trial Rows'!$C$2:$C$201,'Trial Rows'!C81,'Trial Rows'!$F$2:$F$201,'Trial Rows'!F81,'Trial Rows'!$G$2:$G$201,'Trial Rows'!G81,'Trial Rows'!$Y$2:$Y$201,'Trial Rows'!Y81,'Trial Rows'!$I$2:$I$201,2)+4-SUMIFS('Trial Rows'!$N$2:$N$201,'Trial Rows'!$B$2:$B$201,'Trial Rows'!B81,'Trial Rows'!$C$2:$C$201,'Trial Rows'!C81,'Trial Rows'!$F$2:$F$201,'Trial Rows'!F81,'Trial Rows'!$G$2:$G$201,'Trial Rows'!G81,'Trial Rows'!$Y$2:$Y$201,'Trial Rows'!Y81,'Trial Rows'!$I$2:$I$201,3)+SUMIFS('Trial Rows'!$N$2:$N$201,'Trial Rows'!$B$2:$B$201,'Trial Rows'!B81,'Trial Rows'!$C$2:$C$201,'Trial Rows'!C81,'Trial Rows'!$F$2:$F$201,'Trial Rows'!F81,'Trial Rows'!$G$2:$G$201,'Trial Rows'!G81,'Trial Rows'!$Y$2:$Y$201,'Trial Rows'!Y81,'Trial Rows'!$I$2:$I$201,4),"")</x:f>
      </x:c>
      <x:c r="S81" s="2" t="n">
        <x:f>IF(AND(B81=1,COUNTIFS('Trial Rows'!$C$2:C81,'Trial Rows'!C81,'Trial Rows'!$F$2:F81,Summary!$B$5,'Trial Rows'!$Y$2:Y81,Summary!$B$4)=1),1,0)</x:f>
        <x:v>0</x:v>
      </x:c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 t="str">
        <x:f>IF('Trial Rows'!A82="","",'Trial Rows'!F82&amp;"|"&amp;'Trial Rows'!B82&amp;"|"&amp;'Trial Rows'!C82&amp;"|"&amp;'Trial Rows'!I82)</x:f>
      </x:c>
      <x:c r="B82" s="2" t="n">
        <x:f>IF(AND('Trial Rows'!A82&lt;&gt;"",'Trial Rows'!Y82=Summary!$B$4,'Trial Rows'!F82=Summary!$B$5),1,0)</x:f>
        <x:v>0</x:v>
      </x:c>
      <x:c r="C82" s="2" t="n">
        <x:f>IF(B82=1,COUNTIFS('Trial Rows'!$B$2:$B$201,'Trial Rows'!B82,'Trial Rows'!$C$2:$C$201,'Trial Rows'!C82,'Trial Rows'!$F$2:$F$201,'Trial Rows'!F82,'Trial Rows'!$I$2:$I$201,'Trial Rows'!I82,'Trial Rows'!$Y$2:$Y$201,'Trial Rows'!Y82,'Trial Rows'!$G$2:$G$201,"A"),0)</x:f>
        <x:v>0</x:v>
      </x:c>
      <x:c r="D82" s="2" t="n">
        <x:f>IF(B82=1,COUNTIFS('Trial Rows'!$B$2:$B$201,'Trial Rows'!B82,'Trial Rows'!$C$2:$C$201,'Trial Rows'!C82,'Trial Rows'!$F$2:$F$201,'Trial Rows'!F82,'Trial Rows'!$I$2:$I$201,'Trial Rows'!I82,'Trial Rows'!$Y$2:$Y$201,'Trial Rows'!Y82,'Trial Rows'!$G$2:$G$201,"B"),0)</x:f>
        <x:v>0</x:v>
      </x:c>
      <x:c r="E82" s="2" t="str">
        <x:f>IF(AND(C82=1,COUNTIFS('Trial Rows'!$B$2:$B$201,'Trial Rows'!B82,'Trial Rows'!$C$2:$C$201,'Trial Rows'!C82,'Trial Rows'!$F$2:$F$201,'Trial Rows'!F82,'Trial Rows'!$I$2:$I$201,'Trial Rows'!I82,'Trial Rows'!$Y$2:$Y$201,'Trial Rows'!Y82,'Trial Rows'!$G$2:$G$201,"A",'Trial Rows'!$K$2:$K$201,"&gt;=0",'Trial Rows'!$K$2:$K$201,"&lt;=4",'Trial Rows'!$K$2:$K$201,"&lt;&gt;")=1),SUMIFS('Trial Rows'!$K$2:$K$201,'Trial Rows'!$B$2:$B$201,'Trial Rows'!B82,'Trial Rows'!$C$2:$C$201,'Trial Rows'!C82,'Trial Rows'!$F$2:$F$201,'Trial Rows'!F82,'Trial Rows'!$I$2:$I$201,'Trial Rows'!I82,'Trial Rows'!$Y$2:$Y$201,'Trial Rows'!Y82,'Trial Rows'!$G$2:$G$201,"A"),"")</x:f>
      </x:c>
      <x:c r="F82" s="2" t="n">
        <x:f>IF(AND(B82=1,'Trial Rows'!G82="B",C82=1,D82=1,ISNUMBER(E82),ISNUMBER('Trial Rows'!M82),'Trial Rows'!M82&gt;=0,'Trial Rows'!M82&lt;=4,'Trial Rows'!Q82=0,'Trial Rows'!S82=0),1,0)</x:f>
        <x:v>0</x:v>
      </x:c>
      <x:c r="G82" s="2" t="n">
        <x:f>IF(F82=1,IF(E82='Trial Rows'!M82,1,0),0)</x:f>
        <x:v>0</x:v>
      </x:c>
      <x:c r="H82" s="2" t="n">
        <x:f>IF(AND(B82=1,'Trial Rows'!G82="B",C82=1,D82=1,ISNUMBER(E82),'Trial Rows'!R82=1,'Trial Rows'!Q82=0,'Trial Rows'!S82=0,ISNUMBER('Trial Rows'!L82),'Trial Rows'!L82&gt;=0,'Trial Rows'!L82&lt;=4),1,0)</x:f>
        <x:v>0</x:v>
      </x:c>
      <x:c r="I82" s="2" t="n">
        <x:f>IF(H82=1,IF(E82='Trial Rows'!L82,1,0),0)</x:f>
        <x:v>0</x:v>
      </x:c>
      <x:c r="J82" s="2" t="n">
        <x:f>IF(AND(B82=1,'Trial Rows'!G82="B",'Trial Rows'!P82&gt;0),1,0)</x:f>
        <x:v>0</x:v>
      </x:c>
      <x:c r="K82" s="2" t="n">
        <x:f>IF(AND(B82=1,'Trial Rows'!G82="B",'Trial Rows'!Q82=1),1,0)</x:f>
        <x:v>0</x:v>
      </x:c>
      <x:c r="L82" s="2" t="n">
        <x:f>IF(AND(B82=1,'Trial Rows'!G82="B",'Trial Rows'!R82=1,'Trial Rows'!Q82=0,'Trial Rows'!S82=0),1,0)</x:f>
        <x:v>0</x:v>
      </x:c>
      <x:c r="M82" s="2" t="n">
        <x:f>IF(AND(B82=1,'Trial Rows'!G82="B"),1,0)</x:f>
        <x:v>0</x:v>
      </x:c>
      <x:c r="N82" s="2" t="n">
        <x:f>IF(AND(B82=1,'Trial Rows'!I82=1,COUNTIFS('Trial Rows'!$B$2:$B$201,'Trial Rows'!B82,'Trial Rows'!$C$2:$C$201,'Trial Rows'!C82,'Trial Rows'!$F$2:$F$201,'Trial Rows'!F82,'Trial Rows'!$G$2:$G$201,'Trial Rows'!G82,'Trial Rows'!$Y$2:$Y$201,'Trial Rows'!Y82)=4,COUNTIFS('Trial Rows'!$B$2:$B$201,'Trial Rows'!B82,'Trial Rows'!$C$2:$C$201,'Trial Rows'!C82,'Trial Rows'!$F$2:$F$201,'Trial Rows'!F82,'Trial Rows'!$G$2:$G$201,'Trial Rows'!G82,'Trial Rows'!$Y$2:$Y$201,'Trial Rows'!Y82,'Trial Rows'!$I$2:$I$201,1)=1,COUNTIFS('Trial Rows'!$B$2:$B$201,'Trial Rows'!B82,'Trial Rows'!$C$2:$C$201,'Trial Rows'!C82,'Trial Rows'!$F$2:$F$201,'Trial Rows'!F82,'Trial Rows'!$G$2:$G$201,'Trial Rows'!G82,'Trial Rows'!$Y$2:$Y$201,'Trial Rows'!Y82,'Trial Rows'!$I$2:$I$201,2)=1,COUNTIFS('Trial Rows'!$B$2:$B$201,'Trial Rows'!B82,'Trial Rows'!$C$2:$C$201,'Trial Rows'!C82,'Trial Rows'!$F$2:$F$201,'Trial Rows'!F82,'Trial Rows'!$G$2:$G$201,'Trial Rows'!G82,'Trial Rows'!$Y$2:$Y$201,'Trial Rows'!Y82,'Trial Rows'!$I$2:$I$201,3)=1,COUNTIFS('Trial Rows'!$B$2:$B$201,'Trial Rows'!B82,'Trial Rows'!$C$2:$C$201,'Trial Rows'!C82,'Trial Rows'!$F$2:$F$201,'Trial Rows'!F82,'Trial Rows'!$G$2:$G$201,'Trial Rows'!G82,'Trial Rows'!$Y$2:$Y$201,'Trial Rows'!Y82,'Trial Rows'!$I$2:$I$201,4)=1,COUNTIFS('Trial Rows'!$B$2:$B$201,'Trial Rows'!B82,'Trial Rows'!$C$2:$C$201,'Trial Rows'!C82,'Trial Rows'!$F$2:$F$201,'Trial Rows'!F82,'Trial Rows'!$G$2:$G$201,'Trial Rows'!G82,'Trial Rows'!$Y$2:$Y$201,'Trial Rows'!Y82,'Trial Rows'!$W$2:$W$201,"&lt;&gt;")=4,ISNUMBER('Trial Rows'!U82),COUNTIFS('Trial Rows'!$B$2:$B$201,'Trial Rows'!B82,'Trial Rows'!$C$2:$C$201,'Trial Rows'!C82,'Trial Rows'!$F$2:$F$201,'Trial Rows'!F82,'Trial Rows'!$G$2:$G$201,'Trial Rows'!G82,'Trial Rows'!$Y$2:$Y$201,'Trial Rows'!Y82,'Trial Rows'!$U$2:$U$201,'Trial Rows'!U82)=4,'Trial Rows'!U82&gt;=0),1,0)</x:f>
        <x:v>0</x:v>
      </x:c>
      <x:c r="O82" s="2" t="str">
        <x:f>IF(N82=1,'Trial Rows'!U82/1000,"")</x:f>
      </x:c>
      <x:c r="P82" s="2" t="str">
        <x:f>IF(AND(N82=1,'Trial Rows'!G82="A"),O82,"")</x:f>
      </x:c>
      <x:c r="Q82" s="2" t="str">
        <x:f>IF(AND(N82=1,'Trial Rows'!G82="B"),O82,"")</x:f>
      </x:c>
      <x:c r="R82" s="2" t="str">
        <x:f>IF(AND(N82=1,COUNTIFS('Trial Rows'!$B$2:$B$201,'Trial Rows'!B82,'Trial Rows'!$C$2:$C$201,'Trial Rows'!C82,'Trial Rows'!$F$2:$F$201,'Trial Rows'!F82,'Trial Rows'!$G$2:$G$201,'Trial Rows'!G82,'Trial Rows'!$Y$2:$Y$201,'Trial Rows'!Y82,'Trial Rows'!$N$2:$N$201,"&gt;=0",'Trial Rows'!$N$2:$N$201,"&lt;=4",'Trial Rows'!$N$2:$N$201,"&lt;&gt;")=4),SUMIFS('Trial Rows'!$N$2:$N$201,'Trial Rows'!$B$2:$B$201,'Trial Rows'!B82,'Trial Rows'!$C$2:$C$201,'Trial Rows'!C82,'Trial Rows'!$F$2:$F$201,'Trial Rows'!F82,'Trial Rows'!$G$2:$G$201,'Trial Rows'!G82,'Trial Rows'!$Y$2:$Y$201,'Trial Rows'!Y82,'Trial Rows'!$I$2:$I$201,1)+4-SUMIFS('Trial Rows'!$N$2:$N$201,'Trial Rows'!$B$2:$B$201,'Trial Rows'!B82,'Trial Rows'!$C$2:$C$201,'Trial Rows'!C82,'Trial Rows'!$F$2:$F$201,'Trial Rows'!F82,'Trial Rows'!$G$2:$G$201,'Trial Rows'!G82,'Trial Rows'!$Y$2:$Y$201,'Trial Rows'!Y82,'Trial Rows'!$I$2:$I$201,2)+4-SUMIFS('Trial Rows'!$N$2:$N$201,'Trial Rows'!$B$2:$B$201,'Trial Rows'!B82,'Trial Rows'!$C$2:$C$201,'Trial Rows'!C82,'Trial Rows'!$F$2:$F$201,'Trial Rows'!F82,'Trial Rows'!$G$2:$G$201,'Trial Rows'!G82,'Trial Rows'!$Y$2:$Y$201,'Trial Rows'!Y82,'Trial Rows'!$I$2:$I$201,3)+SUMIFS('Trial Rows'!$N$2:$N$201,'Trial Rows'!$B$2:$B$201,'Trial Rows'!B82,'Trial Rows'!$C$2:$C$201,'Trial Rows'!C82,'Trial Rows'!$F$2:$F$201,'Trial Rows'!F82,'Trial Rows'!$G$2:$G$201,'Trial Rows'!G82,'Trial Rows'!$Y$2:$Y$201,'Trial Rows'!Y82,'Trial Rows'!$I$2:$I$201,4),"")</x:f>
      </x:c>
      <x:c r="S82" s="2" t="n">
        <x:f>IF(AND(B82=1,COUNTIFS('Trial Rows'!$C$2:C82,'Trial Rows'!C82,'Trial Rows'!$F$2:F82,Summary!$B$5,'Trial Rows'!$Y$2:Y82,Summary!$B$4)=1),1,0)</x:f>
        <x:v>0</x:v>
      </x:c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 t="str">
        <x:f>IF('Trial Rows'!A83="","",'Trial Rows'!F83&amp;"|"&amp;'Trial Rows'!B83&amp;"|"&amp;'Trial Rows'!C83&amp;"|"&amp;'Trial Rows'!I83)</x:f>
      </x:c>
      <x:c r="B83" s="2" t="n">
        <x:f>IF(AND('Trial Rows'!A83&lt;&gt;"",'Trial Rows'!Y83=Summary!$B$4,'Trial Rows'!F83=Summary!$B$5),1,0)</x:f>
        <x:v>0</x:v>
      </x:c>
      <x:c r="C83" s="2" t="n">
        <x:f>IF(B83=1,COUNTIFS('Trial Rows'!$B$2:$B$201,'Trial Rows'!B83,'Trial Rows'!$C$2:$C$201,'Trial Rows'!C83,'Trial Rows'!$F$2:$F$201,'Trial Rows'!F83,'Trial Rows'!$I$2:$I$201,'Trial Rows'!I83,'Trial Rows'!$Y$2:$Y$201,'Trial Rows'!Y83,'Trial Rows'!$G$2:$G$201,"A"),0)</x:f>
        <x:v>0</x:v>
      </x:c>
      <x:c r="D83" s="2" t="n">
        <x:f>IF(B83=1,COUNTIFS('Trial Rows'!$B$2:$B$201,'Trial Rows'!B83,'Trial Rows'!$C$2:$C$201,'Trial Rows'!C83,'Trial Rows'!$F$2:$F$201,'Trial Rows'!F83,'Trial Rows'!$I$2:$I$201,'Trial Rows'!I83,'Trial Rows'!$Y$2:$Y$201,'Trial Rows'!Y83,'Trial Rows'!$G$2:$G$201,"B"),0)</x:f>
        <x:v>0</x:v>
      </x:c>
      <x:c r="E83" s="2" t="str">
        <x:f>IF(AND(C83=1,COUNTIFS('Trial Rows'!$B$2:$B$201,'Trial Rows'!B83,'Trial Rows'!$C$2:$C$201,'Trial Rows'!C83,'Trial Rows'!$F$2:$F$201,'Trial Rows'!F83,'Trial Rows'!$I$2:$I$201,'Trial Rows'!I83,'Trial Rows'!$Y$2:$Y$201,'Trial Rows'!Y83,'Trial Rows'!$G$2:$G$201,"A",'Trial Rows'!$K$2:$K$201,"&gt;=0",'Trial Rows'!$K$2:$K$201,"&lt;=4",'Trial Rows'!$K$2:$K$201,"&lt;&gt;")=1),SUMIFS('Trial Rows'!$K$2:$K$201,'Trial Rows'!$B$2:$B$201,'Trial Rows'!B83,'Trial Rows'!$C$2:$C$201,'Trial Rows'!C83,'Trial Rows'!$F$2:$F$201,'Trial Rows'!F83,'Trial Rows'!$I$2:$I$201,'Trial Rows'!I83,'Trial Rows'!$Y$2:$Y$201,'Trial Rows'!Y83,'Trial Rows'!$G$2:$G$201,"A"),"")</x:f>
      </x:c>
      <x:c r="F83" s="2" t="n">
        <x:f>IF(AND(B83=1,'Trial Rows'!G83="B",C83=1,D83=1,ISNUMBER(E83),ISNUMBER('Trial Rows'!M83),'Trial Rows'!M83&gt;=0,'Trial Rows'!M83&lt;=4,'Trial Rows'!Q83=0,'Trial Rows'!S83=0),1,0)</x:f>
        <x:v>0</x:v>
      </x:c>
      <x:c r="G83" s="2" t="n">
        <x:f>IF(F83=1,IF(E83='Trial Rows'!M83,1,0),0)</x:f>
        <x:v>0</x:v>
      </x:c>
      <x:c r="H83" s="2" t="n">
        <x:f>IF(AND(B83=1,'Trial Rows'!G83="B",C83=1,D83=1,ISNUMBER(E83),'Trial Rows'!R83=1,'Trial Rows'!Q83=0,'Trial Rows'!S83=0,ISNUMBER('Trial Rows'!L83),'Trial Rows'!L83&gt;=0,'Trial Rows'!L83&lt;=4),1,0)</x:f>
        <x:v>0</x:v>
      </x:c>
      <x:c r="I83" s="2" t="n">
        <x:f>IF(H83=1,IF(E83='Trial Rows'!L83,1,0),0)</x:f>
        <x:v>0</x:v>
      </x:c>
      <x:c r="J83" s="2" t="n">
        <x:f>IF(AND(B83=1,'Trial Rows'!G83="B",'Trial Rows'!P83&gt;0),1,0)</x:f>
        <x:v>0</x:v>
      </x:c>
      <x:c r="K83" s="2" t="n">
        <x:f>IF(AND(B83=1,'Trial Rows'!G83="B",'Trial Rows'!Q83=1),1,0)</x:f>
        <x:v>0</x:v>
      </x:c>
      <x:c r="L83" s="2" t="n">
        <x:f>IF(AND(B83=1,'Trial Rows'!G83="B",'Trial Rows'!R83=1,'Trial Rows'!Q83=0,'Trial Rows'!S83=0),1,0)</x:f>
        <x:v>0</x:v>
      </x:c>
      <x:c r="M83" s="2" t="n">
        <x:f>IF(AND(B83=1,'Trial Rows'!G83="B"),1,0)</x:f>
        <x:v>0</x:v>
      </x:c>
      <x:c r="N83" s="2" t="n">
        <x:f>IF(AND(B83=1,'Trial Rows'!I83=1,COUNTIFS('Trial Rows'!$B$2:$B$201,'Trial Rows'!B83,'Trial Rows'!$C$2:$C$201,'Trial Rows'!C83,'Trial Rows'!$F$2:$F$201,'Trial Rows'!F83,'Trial Rows'!$G$2:$G$201,'Trial Rows'!G83,'Trial Rows'!$Y$2:$Y$201,'Trial Rows'!Y83)=4,COUNTIFS('Trial Rows'!$B$2:$B$201,'Trial Rows'!B83,'Trial Rows'!$C$2:$C$201,'Trial Rows'!C83,'Trial Rows'!$F$2:$F$201,'Trial Rows'!F83,'Trial Rows'!$G$2:$G$201,'Trial Rows'!G83,'Trial Rows'!$Y$2:$Y$201,'Trial Rows'!Y83,'Trial Rows'!$I$2:$I$201,1)=1,COUNTIFS('Trial Rows'!$B$2:$B$201,'Trial Rows'!B83,'Trial Rows'!$C$2:$C$201,'Trial Rows'!C83,'Trial Rows'!$F$2:$F$201,'Trial Rows'!F83,'Trial Rows'!$G$2:$G$201,'Trial Rows'!G83,'Trial Rows'!$Y$2:$Y$201,'Trial Rows'!Y83,'Trial Rows'!$I$2:$I$201,2)=1,COUNTIFS('Trial Rows'!$B$2:$B$201,'Trial Rows'!B83,'Trial Rows'!$C$2:$C$201,'Trial Rows'!C83,'Trial Rows'!$F$2:$F$201,'Trial Rows'!F83,'Trial Rows'!$G$2:$G$201,'Trial Rows'!G83,'Trial Rows'!$Y$2:$Y$201,'Trial Rows'!Y83,'Trial Rows'!$I$2:$I$201,3)=1,COUNTIFS('Trial Rows'!$B$2:$B$201,'Trial Rows'!B83,'Trial Rows'!$C$2:$C$201,'Trial Rows'!C83,'Trial Rows'!$F$2:$F$201,'Trial Rows'!F83,'Trial Rows'!$G$2:$G$201,'Trial Rows'!G83,'Trial Rows'!$Y$2:$Y$201,'Trial Rows'!Y83,'Trial Rows'!$I$2:$I$201,4)=1,COUNTIFS('Trial Rows'!$B$2:$B$201,'Trial Rows'!B83,'Trial Rows'!$C$2:$C$201,'Trial Rows'!C83,'Trial Rows'!$F$2:$F$201,'Trial Rows'!F83,'Trial Rows'!$G$2:$G$201,'Trial Rows'!G83,'Trial Rows'!$Y$2:$Y$201,'Trial Rows'!Y83,'Trial Rows'!$W$2:$W$201,"&lt;&gt;")=4,ISNUMBER('Trial Rows'!U83),COUNTIFS('Trial Rows'!$B$2:$B$201,'Trial Rows'!B83,'Trial Rows'!$C$2:$C$201,'Trial Rows'!C83,'Trial Rows'!$F$2:$F$201,'Trial Rows'!F83,'Trial Rows'!$G$2:$G$201,'Trial Rows'!G83,'Trial Rows'!$Y$2:$Y$201,'Trial Rows'!Y83,'Trial Rows'!$U$2:$U$201,'Trial Rows'!U83)=4,'Trial Rows'!U83&gt;=0),1,0)</x:f>
        <x:v>0</x:v>
      </x:c>
      <x:c r="O83" s="2" t="str">
        <x:f>IF(N83=1,'Trial Rows'!U83/1000,"")</x:f>
      </x:c>
      <x:c r="P83" s="2" t="str">
        <x:f>IF(AND(N83=1,'Trial Rows'!G83="A"),O83,"")</x:f>
      </x:c>
      <x:c r="Q83" s="2" t="str">
        <x:f>IF(AND(N83=1,'Trial Rows'!G83="B"),O83,"")</x:f>
      </x:c>
      <x:c r="R83" s="2" t="str">
        <x:f>IF(AND(N83=1,COUNTIFS('Trial Rows'!$B$2:$B$201,'Trial Rows'!B83,'Trial Rows'!$C$2:$C$201,'Trial Rows'!C83,'Trial Rows'!$F$2:$F$201,'Trial Rows'!F83,'Trial Rows'!$G$2:$G$201,'Trial Rows'!G83,'Trial Rows'!$Y$2:$Y$201,'Trial Rows'!Y83,'Trial Rows'!$N$2:$N$201,"&gt;=0",'Trial Rows'!$N$2:$N$201,"&lt;=4",'Trial Rows'!$N$2:$N$201,"&lt;&gt;")=4),SUMIFS('Trial Rows'!$N$2:$N$201,'Trial Rows'!$B$2:$B$201,'Trial Rows'!B83,'Trial Rows'!$C$2:$C$201,'Trial Rows'!C83,'Trial Rows'!$F$2:$F$201,'Trial Rows'!F83,'Trial Rows'!$G$2:$G$201,'Trial Rows'!G83,'Trial Rows'!$Y$2:$Y$201,'Trial Rows'!Y83,'Trial Rows'!$I$2:$I$201,1)+4-SUMIFS('Trial Rows'!$N$2:$N$201,'Trial Rows'!$B$2:$B$201,'Trial Rows'!B83,'Trial Rows'!$C$2:$C$201,'Trial Rows'!C83,'Trial Rows'!$F$2:$F$201,'Trial Rows'!F83,'Trial Rows'!$G$2:$G$201,'Trial Rows'!G83,'Trial Rows'!$Y$2:$Y$201,'Trial Rows'!Y83,'Trial Rows'!$I$2:$I$201,2)+4-SUMIFS('Trial Rows'!$N$2:$N$201,'Trial Rows'!$B$2:$B$201,'Trial Rows'!B83,'Trial Rows'!$C$2:$C$201,'Trial Rows'!C83,'Trial Rows'!$F$2:$F$201,'Trial Rows'!F83,'Trial Rows'!$G$2:$G$201,'Trial Rows'!G83,'Trial Rows'!$Y$2:$Y$201,'Trial Rows'!Y83,'Trial Rows'!$I$2:$I$201,3)+SUMIFS('Trial Rows'!$N$2:$N$201,'Trial Rows'!$B$2:$B$201,'Trial Rows'!B83,'Trial Rows'!$C$2:$C$201,'Trial Rows'!C83,'Trial Rows'!$F$2:$F$201,'Trial Rows'!F83,'Trial Rows'!$G$2:$G$201,'Trial Rows'!G83,'Trial Rows'!$Y$2:$Y$201,'Trial Rows'!Y83,'Trial Rows'!$I$2:$I$201,4),"")</x:f>
      </x:c>
      <x:c r="S83" s="2" t="n">
        <x:f>IF(AND(B83=1,COUNTIFS('Trial Rows'!$C$2:C83,'Trial Rows'!C83,'Trial Rows'!$F$2:F83,Summary!$B$5,'Trial Rows'!$Y$2:Y83,Summary!$B$4)=1),1,0)</x:f>
        <x:v>0</x:v>
      </x:c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 t="str">
        <x:f>IF('Trial Rows'!A84="","",'Trial Rows'!F84&amp;"|"&amp;'Trial Rows'!B84&amp;"|"&amp;'Trial Rows'!C84&amp;"|"&amp;'Trial Rows'!I84)</x:f>
      </x:c>
      <x:c r="B84" s="2" t="n">
        <x:f>IF(AND('Trial Rows'!A84&lt;&gt;"",'Trial Rows'!Y84=Summary!$B$4,'Trial Rows'!F84=Summary!$B$5),1,0)</x:f>
        <x:v>0</x:v>
      </x:c>
      <x:c r="C84" s="2" t="n">
        <x:f>IF(B84=1,COUNTIFS('Trial Rows'!$B$2:$B$201,'Trial Rows'!B84,'Trial Rows'!$C$2:$C$201,'Trial Rows'!C84,'Trial Rows'!$F$2:$F$201,'Trial Rows'!F84,'Trial Rows'!$I$2:$I$201,'Trial Rows'!I84,'Trial Rows'!$Y$2:$Y$201,'Trial Rows'!Y84,'Trial Rows'!$G$2:$G$201,"A"),0)</x:f>
        <x:v>0</x:v>
      </x:c>
      <x:c r="D84" s="2" t="n">
        <x:f>IF(B84=1,COUNTIFS('Trial Rows'!$B$2:$B$201,'Trial Rows'!B84,'Trial Rows'!$C$2:$C$201,'Trial Rows'!C84,'Trial Rows'!$F$2:$F$201,'Trial Rows'!F84,'Trial Rows'!$I$2:$I$201,'Trial Rows'!I84,'Trial Rows'!$Y$2:$Y$201,'Trial Rows'!Y84,'Trial Rows'!$G$2:$G$201,"B"),0)</x:f>
        <x:v>0</x:v>
      </x:c>
      <x:c r="E84" s="2" t="str">
        <x:f>IF(AND(C84=1,COUNTIFS('Trial Rows'!$B$2:$B$201,'Trial Rows'!B84,'Trial Rows'!$C$2:$C$201,'Trial Rows'!C84,'Trial Rows'!$F$2:$F$201,'Trial Rows'!F84,'Trial Rows'!$I$2:$I$201,'Trial Rows'!I84,'Trial Rows'!$Y$2:$Y$201,'Trial Rows'!Y84,'Trial Rows'!$G$2:$G$201,"A",'Trial Rows'!$K$2:$K$201,"&gt;=0",'Trial Rows'!$K$2:$K$201,"&lt;=4",'Trial Rows'!$K$2:$K$201,"&lt;&gt;")=1),SUMIFS('Trial Rows'!$K$2:$K$201,'Trial Rows'!$B$2:$B$201,'Trial Rows'!B84,'Trial Rows'!$C$2:$C$201,'Trial Rows'!C84,'Trial Rows'!$F$2:$F$201,'Trial Rows'!F84,'Trial Rows'!$I$2:$I$201,'Trial Rows'!I84,'Trial Rows'!$Y$2:$Y$201,'Trial Rows'!Y84,'Trial Rows'!$G$2:$G$201,"A"),"")</x:f>
      </x:c>
      <x:c r="F84" s="2" t="n">
        <x:f>IF(AND(B84=1,'Trial Rows'!G84="B",C84=1,D84=1,ISNUMBER(E84),ISNUMBER('Trial Rows'!M84),'Trial Rows'!M84&gt;=0,'Trial Rows'!M84&lt;=4,'Trial Rows'!Q84=0,'Trial Rows'!S84=0),1,0)</x:f>
        <x:v>0</x:v>
      </x:c>
      <x:c r="G84" s="2" t="n">
        <x:f>IF(F84=1,IF(E84='Trial Rows'!M84,1,0),0)</x:f>
        <x:v>0</x:v>
      </x:c>
      <x:c r="H84" s="2" t="n">
        <x:f>IF(AND(B84=1,'Trial Rows'!G84="B",C84=1,D84=1,ISNUMBER(E84),'Trial Rows'!R84=1,'Trial Rows'!Q84=0,'Trial Rows'!S84=0,ISNUMBER('Trial Rows'!L84),'Trial Rows'!L84&gt;=0,'Trial Rows'!L84&lt;=4),1,0)</x:f>
        <x:v>0</x:v>
      </x:c>
      <x:c r="I84" s="2" t="n">
        <x:f>IF(H84=1,IF(E84='Trial Rows'!L84,1,0),0)</x:f>
        <x:v>0</x:v>
      </x:c>
      <x:c r="J84" s="2" t="n">
        <x:f>IF(AND(B84=1,'Trial Rows'!G84="B",'Trial Rows'!P84&gt;0),1,0)</x:f>
        <x:v>0</x:v>
      </x:c>
      <x:c r="K84" s="2" t="n">
        <x:f>IF(AND(B84=1,'Trial Rows'!G84="B",'Trial Rows'!Q84=1),1,0)</x:f>
        <x:v>0</x:v>
      </x:c>
      <x:c r="L84" s="2" t="n">
        <x:f>IF(AND(B84=1,'Trial Rows'!G84="B",'Trial Rows'!R84=1,'Trial Rows'!Q84=0,'Trial Rows'!S84=0),1,0)</x:f>
        <x:v>0</x:v>
      </x:c>
      <x:c r="M84" s="2" t="n">
        <x:f>IF(AND(B84=1,'Trial Rows'!G84="B"),1,0)</x:f>
        <x:v>0</x:v>
      </x:c>
      <x:c r="N84" s="2" t="n">
        <x:f>IF(AND(B84=1,'Trial Rows'!I84=1,COUNTIFS('Trial Rows'!$B$2:$B$201,'Trial Rows'!B84,'Trial Rows'!$C$2:$C$201,'Trial Rows'!C84,'Trial Rows'!$F$2:$F$201,'Trial Rows'!F84,'Trial Rows'!$G$2:$G$201,'Trial Rows'!G84,'Trial Rows'!$Y$2:$Y$201,'Trial Rows'!Y84)=4,COUNTIFS('Trial Rows'!$B$2:$B$201,'Trial Rows'!B84,'Trial Rows'!$C$2:$C$201,'Trial Rows'!C84,'Trial Rows'!$F$2:$F$201,'Trial Rows'!F84,'Trial Rows'!$G$2:$G$201,'Trial Rows'!G84,'Trial Rows'!$Y$2:$Y$201,'Trial Rows'!Y84,'Trial Rows'!$I$2:$I$201,1)=1,COUNTIFS('Trial Rows'!$B$2:$B$201,'Trial Rows'!B84,'Trial Rows'!$C$2:$C$201,'Trial Rows'!C84,'Trial Rows'!$F$2:$F$201,'Trial Rows'!F84,'Trial Rows'!$G$2:$G$201,'Trial Rows'!G84,'Trial Rows'!$Y$2:$Y$201,'Trial Rows'!Y84,'Trial Rows'!$I$2:$I$201,2)=1,COUNTIFS('Trial Rows'!$B$2:$B$201,'Trial Rows'!B84,'Trial Rows'!$C$2:$C$201,'Trial Rows'!C84,'Trial Rows'!$F$2:$F$201,'Trial Rows'!F84,'Trial Rows'!$G$2:$G$201,'Trial Rows'!G84,'Trial Rows'!$Y$2:$Y$201,'Trial Rows'!Y84,'Trial Rows'!$I$2:$I$201,3)=1,COUNTIFS('Trial Rows'!$B$2:$B$201,'Trial Rows'!B84,'Trial Rows'!$C$2:$C$201,'Trial Rows'!C84,'Trial Rows'!$F$2:$F$201,'Trial Rows'!F84,'Trial Rows'!$G$2:$G$201,'Trial Rows'!G84,'Trial Rows'!$Y$2:$Y$201,'Trial Rows'!Y84,'Trial Rows'!$I$2:$I$201,4)=1,COUNTIFS('Trial Rows'!$B$2:$B$201,'Trial Rows'!B84,'Trial Rows'!$C$2:$C$201,'Trial Rows'!C84,'Trial Rows'!$F$2:$F$201,'Trial Rows'!F84,'Trial Rows'!$G$2:$G$201,'Trial Rows'!G84,'Trial Rows'!$Y$2:$Y$201,'Trial Rows'!Y84,'Trial Rows'!$W$2:$W$201,"&lt;&gt;")=4,ISNUMBER('Trial Rows'!U84),COUNTIFS('Trial Rows'!$B$2:$B$201,'Trial Rows'!B84,'Trial Rows'!$C$2:$C$201,'Trial Rows'!C84,'Trial Rows'!$F$2:$F$201,'Trial Rows'!F84,'Trial Rows'!$G$2:$G$201,'Trial Rows'!G84,'Trial Rows'!$Y$2:$Y$201,'Trial Rows'!Y84,'Trial Rows'!$U$2:$U$201,'Trial Rows'!U84)=4,'Trial Rows'!U84&gt;=0),1,0)</x:f>
        <x:v>0</x:v>
      </x:c>
      <x:c r="O84" s="2" t="str">
        <x:f>IF(N84=1,'Trial Rows'!U84/1000,"")</x:f>
      </x:c>
      <x:c r="P84" s="2" t="str">
        <x:f>IF(AND(N84=1,'Trial Rows'!G84="A"),O84,"")</x:f>
      </x:c>
      <x:c r="Q84" s="2" t="str">
        <x:f>IF(AND(N84=1,'Trial Rows'!G84="B"),O84,"")</x:f>
      </x:c>
      <x:c r="R84" s="2" t="str">
        <x:f>IF(AND(N84=1,COUNTIFS('Trial Rows'!$B$2:$B$201,'Trial Rows'!B84,'Trial Rows'!$C$2:$C$201,'Trial Rows'!C84,'Trial Rows'!$F$2:$F$201,'Trial Rows'!F84,'Trial Rows'!$G$2:$G$201,'Trial Rows'!G84,'Trial Rows'!$Y$2:$Y$201,'Trial Rows'!Y84,'Trial Rows'!$N$2:$N$201,"&gt;=0",'Trial Rows'!$N$2:$N$201,"&lt;=4",'Trial Rows'!$N$2:$N$201,"&lt;&gt;")=4),SUMIFS('Trial Rows'!$N$2:$N$201,'Trial Rows'!$B$2:$B$201,'Trial Rows'!B84,'Trial Rows'!$C$2:$C$201,'Trial Rows'!C84,'Trial Rows'!$F$2:$F$201,'Trial Rows'!F84,'Trial Rows'!$G$2:$G$201,'Trial Rows'!G84,'Trial Rows'!$Y$2:$Y$201,'Trial Rows'!Y84,'Trial Rows'!$I$2:$I$201,1)+4-SUMIFS('Trial Rows'!$N$2:$N$201,'Trial Rows'!$B$2:$B$201,'Trial Rows'!B84,'Trial Rows'!$C$2:$C$201,'Trial Rows'!C84,'Trial Rows'!$F$2:$F$201,'Trial Rows'!F84,'Trial Rows'!$G$2:$G$201,'Trial Rows'!G84,'Trial Rows'!$Y$2:$Y$201,'Trial Rows'!Y84,'Trial Rows'!$I$2:$I$201,2)+4-SUMIFS('Trial Rows'!$N$2:$N$201,'Trial Rows'!$B$2:$B$201,'Trial Rows'!B84,'Trial Rows'!$C$2:$C$201,'Trial Rows'!C84,'Trial Rows'!$F$2:$F$201,'Trial Rows'!F84,'Trial Rows'!$G$2:$G$201,'Trial Rows'!G84,'Trial Rows'!$Y$2:$Y$201,'Trial Rows'!Y84,'Trial Rows'!$I$2:$I$201,3)+SUMIFS('Trial Rows'!$N$2:$N$201,'Trial Rows'!$B$2:$B$201,'Trial Rows'!B84,'Trial Rows'!$C$2:$C$201,'Trial Rows'!C84,'Trial Rows'!$F$2:$F$201,'Trial Rows'!F84,'Trial Rows'!$G$2:$G$201,'Trial Rows'!G84,'Trial Rows'!$Y$2:$Y$201,'Trial Rows'!Y84,'Trial Rows'!$I$2:$I$201,4),"")</x:f>
      </x:c>
      <x:c r="S84" s="2" t="n">
        <x:f>IF(AND(B84=1,COUNTIFS('Trial Rows'!$C$2:C84,'Trial Rows'!C84,'Trial Rows'!$F$2:F84,Summary!$B$5,'Trial Rows'!$Y$2:Y84,Summary!$B$4)=1),1,0)</x:f>
        <x:v>0</x:v>
      </x:c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 t="str">
        <x:f>IF('Trial Rows'!A85="","",'Trial Rows'!F85&amp;"|"&amp;'Trial Rows'!B85&amp;"|"&amp;'Trial Rows'!C85&amp;"|"&amp;'Trial Rows'!I85)</x:f>
      </x:c>
      <x:c r="B85" s="2" t="n">
        <x:f>IF(AND('Trial Rows'!A85&lt;&gt;"",'Trial Rows'!Y85=Summary!$B$4,'Trial Rows'!F85=Summary!$B$5),1,0)</x:f>
        <x:v>0</x:v>
      </x:c>
      <x:c r="C85" s="2" t="n">
        <x:f>IF(B85=1,COUNTIFS('Trial Rows'!$B$2:$B$201,'Trial Rows'!B85,'Trial Rows'!$C$2:$C$201,'Trial Rows'!C85,'Trial Rows'!$F$2:$F$201,'Trial Rows'!F85,'Trial Rows'!$I$2:$I$201,'Trial Rows'!I85,'Trial Rows'!$Y$2:$Y$201,'Trial Rows'!Y85,'Trial Rows'!$G$2:$G$201,"A"),0)</x:f>
        <x:v>0</x:v>
      </x:c>
      <x:c r="D85" s="2" t="n">
        <x:f>IF(B85=1,COUNTIFS('Trial Rows'!$B$2:$B$201,'Trial Rows'!B85,'Trial Rows'!$C$2:$C$201,'Trial Rows'!C85,'Trial Rows'!$F$2:$F$201,'Trial Rows'!F85,'Trial Rows'!$I$2:$I$201,'Trial Rows'!I85,'Trial Rows'!$Y$2:$Y$201,'Trial Rows'!Y85,'Trial Rows'!$G$2:$G$201,"B"),0)</x:f>
        <x:v>0</x:v>
      </x:c>
      <x:c r="E85" s="2" t="str">
        <x:f>IF(AND(C85=1,COUNTIFS('Trial Rows'!$B$2:$B$201,'Trial Rows'!B85,'Trial Rows'!$C$2:$C$201,'Trial Rows'!C85,'Trial Rows'!$F$2:$F$201,'Trial Rows'!F85,'Trial Rows'!$I$2:$I$201,'Trial Rows'!I85,'Trial Rows'!$Y$2:$Y$201,'Trial Rows'!Y85,'Trial Rows'!$G$2:$G$201,"A",'Trial Rows'!$K$2:$K$201,"&gt;=0",'Trial Rows'!$K$2:$K$201,"&lt;=4",'Trial Rows'!$K$2:$K$201,"&lt;&gt;")=1),SUMIFS('Trial Rows'!$K$2:$K$201,'Trial Rows'!$B$2:$B$201,'Trial Rows'!B85,'Trial Rows'!$C$2:$C$201,'Trial Rows'!C85,'Trial Rows'!$F$2:$F$201,'Trial Rows'!F85,'Trial Rows'!$I$2:$I$201,'Trial Rows'!I85,'Trial Rows'!$Y$2:$Y$201,'Trial Rows'!Y85,'Trial Rows'!$G$2:$G$201,"A"),"")</x:f>
      </x:c>
      <x:c r="F85" s="2" t="n">
        <x:f>IF(AND(B85=1,'Trial Rows'!G85="B",C85=1,D85=1,ISNUMBER(E85),ISNUMBER('Trial Rows'!M85),'Trial Rows'!M85&gt;=0,'Trial Rows'!M85&lt;=4,'Trial Rows'!Q85=0,'Trial Rows'!S85=0),1,0)</x:f>
        <x:v>0</x:v>
      </x:c>
      <x:c r="G85" s="2" t="n">
        <x:f>IF(F85=1,IF(E85='Trial Rows'!M85,1,0),0)</x:f>
        <x:v>0</x:v>
      </x:c>
      <x:c r="H85" s="2" t="n">
        <x:f>IF(AND(B85=1,'Trial Rows'!G85="B",C85=1,D85=1,ISNUMBER(E85),'Trial Rows'!R85=1,'Trial Rows'!Q85=0,'Trial Rows'!S85=0,ISNUMBER('Trial Rows'!L85),'Trial Rows'!L85&gt;=0,'Trial Rows'!L85&lt;=4),1,0)</x:f>
        <x:v>0</x:v>
      </x:c>
      <x:c r="I85" s="2" t="n">
        <x:f>IF(H85=1,IF(E85='Trial Rows'!L85,1,0),0)</x:f>
        <x:v>0</x:v>
      </x:c>
      <x:c r="J85" s="2" t="n">
        <x:f>IF(AND(B85=1,'Trial Rows'!G85="B",'Trial Rows'!P85&gt;0),1,0)</x:f>
        <x:v>0</x:v>
      </x:c>
      <x:c r="K85" s="2" t="n">
        <x:f>IF(AND(B85=1,'Trial Rows'!G85="B",'Trial Rows'!Q85=1),1,0)</x:f>
        <x:v>0</x:v>
      </x:c>
      <x:c r="L85" s="2" t="n">
        <x:f>IF(AND(B85=1,'Trial Rows'!G85="B",'Trial Rows'!R85=1,'Trial Rows'!Q85=0,'Trial Rows'!S85=0),1,0)</x:f>
        <x:v>0</x:v>
      </x:c>
      <x:c r="M85" s="2" t="n">
        <x:f>IF(AND(B85=1,'Trial Rows'!G85="B"),1,0)</x:f>
        <x:v>0</x:v>
      </x:c>
      <x:c r="N85" s="2" t="n">
        <x:f>IF(AND(B85=1,'Trial Rows'!I85=1,COUNTIFS('Trial Rows'!$B$2:$B$201,'Trial Rows'!B85,'Trial Rows'!$C$2:$C$201,'Trial Rows'!C85,'Trial Rows'!$F$2:$F$201,'Trial Rows'!F85,'Trial Rows'!$G$2:$G$201,'Trial Rows'!G85,'Trial Rows'!$Y$2:$Y$201,'Trial Rows'!Y85)=4,COUNTIFS('Trial Rows'!$B$2:$B$201,'Trial Rows'!B85,'Trial Rows'!$C$2:$C$201,'Trial Rows'!C85,'Trial Rows'!$F$2:$F$201,'Trial Rows'!F85,'Trial Rows'!$G$2:$G$201,'Trial Rows'!G85,'Trial Rows'!$Y$2:$Y$201,'Trial Rows'!Y85,'Trial Rows'!$I$2:$I$201,1)=1,COUNTIFS('Trial Rows'!$B$2:$B$201,'Trial Rows'!B85,'Trial Rows'!$C$2:$C$201,'Trial Rows'!C85,'Trial Rows'!$F$2:$F$201,'Trial Rows'!F85,'Trial Rows'!$G$2:$G$201,'Trial Rows'!G85,'Trial Rows'!$Y$2:$Y$201,'Trial Rows'!Y85,'Trial Rows'!$I$2:$I$201,2)=1,COUNTIFS('Trial Rows'!$B$2:$B$201,'Trial Rows'!B85,'Trial Rows'!$C$2:$C$201,'Trial Rows'!C85,'Trial Rows'!$F$2:$F$201,'Trial Rows'!F85,'Trial Rows'!$G$2:$G$201,'Trial Rows'!G85,'Trial Rows'!$Y$2:$Y$201,'Trial Rows'!Y85,'Trial Rows'!$I$2:$I$201,3)=1,COUNTIFS('Trial Rows'!$B$2:$B$201,'Trial Rows'!B85,'Trial Rows'!$C$2:$C$201,'Trial Rows'!C85,'Trial Rows'!$F$2:$F$201,'Trial Rows'!F85,'Trial Rows'!$G$2:$G$201,'Trial Rows'!G85,'Trial Rows'!$Y$2:$Y$201,'Trial Rows'!Y85,'Trial Rows'!$I$2:$I$201,4)=1,COUNTIFS('Trial Rows'!$B$2:$B$201,'Trial Rows'!B85,'Trial Rows'!$C$2:$C$201,'Trial Rows'!C85,'Trial Rows'!$F$2:$F$201,'Trial Rows'!F85,'Trial Rows'!$G$2:$G$201,'Trial Rows'!G85,'Trial Rows'!$Y$2:$Y$201,'Trial Rows'!Y85,'Trial Rows'!$W$2:$W$201,"&lt;&gt;")=4,ISNUMBER('Trial Rows'!U85),COUNTIFS('Trial Rows'!$B$2:$B$201,'Trial Rows'!B85,'Trial Rows'!$C$2:$C$201,'Trial Rows'!C85,'Trial Rows'!$F$2:$F$201,'Trial Rows'!F85,'Trial Rows'!$G$2:$G$201,'Trial Rows'!G85,'Trial Rows'!$Y$2:$Y$201,'Trial Rows'!Y85,'Trial Rows'!$U$2:$U$201,'Trial Rows'!U85)=4,'Trial Rows'!U85&gt;=0),1,0)</x:f>
        <x:v>0</x:v>
      </x:c>
      <x:c r="O85" s="2" t="str">
        <x:f>IF(N85=1,'Trial Rows'!U85/1000,"")</x:f>
      </x:c>
      <x:c r="P85" s="2" t="str">
        <x:f>IF(AND(N85=1,'Trial Rows'!G85="A"),O85,"")</x:f>
      </x:c>
      <x:c r="Q85" s="2" t="str">
        <x:f>IF(AND(N85=1,'Trial Rows'!G85="B"),O85,"")</x:f>
      </x:c>
      <x:c r="R85" s="2" t="str">
        <x:f>IF(AND(N85=1,COUNTIFS('Trial Rows'!$B$2:$B$201,'Trial Rows'!B85,'Trial Rows'!$C$2:$C$201,'Trial Rows'!C85,'Trial Rows'!$F$2:$F$201,'Trial Rows'!F85,'Trial Rows'!$G$2:$G$201,'Trial Rows'!G85,'Trial Rows'!$Y$2:$Y$201,'Trial Rows'!Y85,'Trial Rows'!$N$2:$N$201,"&gt;=0",'Trial Rows'!$N$2:$N$201,"&lt;=4",'Trial Rows'!$N$2:$N$201,"&lt;&gt;")=4),SUMIFS('Trial Rows'!$N$2:$N$201,'Trial Rows'!$B$2:$B$201,'Trial Rows'!B85,'Trial Rows'!$C$2:$C$201,'Trial Rows'!C85,'Trial Rows'!$F$2:$F$201,'Trial Rows'!F85,'Trial Rows'!$G$2:$G$201,'Trial Rows'!G85,'Trial Rows'!$Y$2:$Y$201,'Trial Rows'!Y85,'Trial Rows'!$I$2:$I$201,1)+4-SUMIFS('Trial Rows'!$N$2:$N$201,'Trial Rows'!$B$2:$B$201,'Trial Rows'!B85,'Trial Rows'!$C$2:$C$201,'Trial Rows'!C85,'Trial Rows'!$F$2:$F$201,'Trial Rows'!F85,'Trial Rows'!$G$2:$G$201,'Trial Rows'!G85,'Trial Rows'!$Y$2:$Y$201,'Trial Rows'!Y85,'Trial Rows'!$I$2:$I$201,2)+4-SUMIFS('Trial Rows'!$N$2:$N$201,'Trial Rows'!$B$2:$B$201,'Trial Rows'!B85,'Trial Rows'!$C$2:$C$201,'Trial Rows'!C85,'Trial Rows'!$F$2:$F$201,'Trial Rows'!F85,'Trial Rows'!$G$2:$G$201,'Trial Rows'!G85,'Trial Rows'!$Y$2:$Y$201,'Trial Rows'!Y85,'Trial Rows'!$I$2:$I$201,3)+SUMIFS('Trial Rows'!$N$2:$N$201,'Trial Rows'!$B$2:$B$201,'Trial Rows'!B85,'Trial Rows'!$C$2:$C$201,'Trial Rows'!C85,'Trial Rows'!$F$2:$F$201,'Trial Rows'!F85,'Trial Rows'!$G$2:$G$201,'Trial Rows'!G85,'Trial Rows'!$Y$2:$Y$201,'Trial Rows'!Y85,'Trial Rows'!$I$2:$I$201,4),"")</x:f>
      </x:c>
      <x:c r="S85" s="2" t="n">
        <x:f>IF(AND(B85=1,COUNTIFS('Trial Rows'!$C$2:C85,'Trial Rows'!C85,'Trial Rows'!$F$2:F85,Summary!$B$5,'Trial Rows'!$Y$2:Y85,Summary!$B$4)=1),1,0)</x:f>
        <x:v>0</x:v>
      </x:c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 t="str">
        <x:f>IF('Trial Rows'!A86="","",'Trial Rows'!F86&amp;"|"&amp;'Trial Rows'!B86&amp;"|"&amp;'Trial Rows'!C86&amp;"|"&amp;'Trial Rows'!I86)</x:f>
      </x:c>
      <x:c r="B86" s="2" t="n">
        <x:f>IF(AND('Trial Rows'!A86&lt;&gt;"",'Trial Rows'!Y86=Summary!$B$4,'Trial Rows'!F86=Summary!$B$5),1,0)</x:f>
        <x:v>0</x:v>
      </x:c>
      <x:c r="C86" s="2" t="n">
        <x:f>IF(B86=1,COUNTIFS('Trial Rows'!$B$2:$B$201,'Trial Rows'!B86,'Trial Rows'!$C$2:$C$201,'Trial Rows'!C86,'Trial Rows'!$F$2:$F$201,'Trial Rows'!F86,'Trial Rows'!$I$2:$I$201,'Trial Rows'!I86,'Trial Rows'!$Y$2:$Y$201,'Trial Rows'!Y86,'Trial Rows'!$G$2:$G$201,"A"),0)</x:f>
        <x:v>0</x:v>
      </x:c>
      <x:c r="D86" s="2" t="n">
        <x:f>IF(B86=1,COUNTIFS('Trial Rows'!$B$2:$B$201,'Trial Rows'!B86,'Trial Rows'!$C$2:$C$201,'Trial Rows'!C86,'Trial Rows'!$F$2:$F$201,'Trial Rows'!F86,'Trial Rows'!$I$2:$I$201,'Trial Rows'!I86,'Trial Rows'!$Y$2:$Y$201,'Trial Rows'!Y86,'Trial Rows'!$G$2:$G$201,"B"),0)</x:f>
        <x:v>0</x:v>
      </x:c>
      <x:c r="E86" s="2" t="str">
        <x:f>IF(AND(C86=1,COUNTIFS('Trial Rows'!$B$2:$B$201,'Trial Rows'!B86,'Trial Rows'!$C$2:$C$201,'Trial Rows'!C86,'Trial Rows'!$F$2:$F$201,'Trial Rows'!F86,'Trial Rows'!$I$2:$I$201,'Trial Rows'!I86,'Trial Rows'!$Y$2:$Y$201,'Trial Rows'!Y86,'Trial Rows'!$G$2:$G$201,"A",'Trial Rows'!$K$2:$K$201,"&gt;=0",'Trial Rows'!$K$2:$K$201,"&lt;=4",'Trial Rows'!$K$2:$K$201,"&lt;&gt;")=1),SUMIFS('Trial Rows'!$K$2:$K$201,'Trial Rows'!$B$2:$B$201,'Trial Rows'!B86,'Trial Rows'!$C$2:$C$201,'Trial Rows'!C86,'Trial Rows'!$F$2:$F$201,'Trial Rows'!F86,'Trial Rows'!$I$2:$I$201,'Trial Rows'!I86,'Trial Rows'!$Y$2:$Y$201,'Trial Rows'!Y86,'Trial Rows'!$G$2:$G$201,"A"),"")</x:f>
      </x:c>
      <x:c r="F86" s="2" t="n">
        <x:f>IF(AND(B86=1,'Trial Rows'!G86="B",C86=1,D86=1,ISNUMBER(E86),ISNUMBER('Trial Rows'!M86),'Trial Rows'!M86&gt;=0,'Trial Rows'!M86&lt;=4,'Trial Rows'!Q86=0,'Trial Rows'!S86=0),1,0)</x:f>
        <x:v>0</x:v>
      </x:c>
      <x:c r="G86" s="2" t="n">
        <x:f>IF(F86=1,IF(E86='Trial Rows'!M86,1,0),0)</x:f>
        <x:v>0</x:v>
      </x:c>
      <x:c r="H86" s="2" t="n">
        <x:f>IF(AND(B86=1,'Trial Rows'!G86="B",C86=1,D86=1,ISNUMBER(E86),'Trial Rows'!R86=1,'Trial Rows'!Q86=0,'Trial Rows'!S86=0,ISNUMBER('Trial Rows'!L86),'Trial Rows'!L86&gt;=0,'Trial Rows'!L86&lt;=4),1,0)</x:f>
        <x:v>0</x:v>
      </x:c>
      <x:c r="I86" s="2" t="n">
        <x:f>IF(H86=1,IF(E86='Trial Rows'!L86,1,0),0)</x:f>
        <x:v>0</x:v>
      </x:c>
      <x:c r="J86" s="2" t="n">
        <x:f>IF(AND(B86=1,'Trial Rows'!G86="B",'Trial Rows'!P86&gt;0),1,0)</x:f>
        <x:v>0</x:v>
      </x:c>
      <x:c r="K86" s="2" t="n">
        <x:f>IF(AND(B86=1,'Trial Rows'!G86="B",'Trial Rows'!Q86=1),1,0)</x:f>
        <x:v>0</x:v>
      </x:c>
      <x:c r="L86" s="2" t="n">
        <x:f>IF(AND(B86=1,'Trial Rows'!G86="B",'Trial Rows'!R86=1,'Trial Rows'!Q86=0,'Trial Rows'!S86=0),1,0)</x:f>
        <x:v>0</x:v>
      </x:c>
      <x:c r="M86" s="2" t="n">
        <x:f>IF(AND(B86=1,'Trial Rows'!G86="B"),1,0)</x:f>
        <x:v>0</x:v>
      </x:c>
      <x:c r="N86" s="2" t="n">
        <x:f>IF(AND(B86=1,'Trial Rows'!I86=1,COUNTIFS('Trial Rows'!$B$2:$B$201,'Trial Rows'!B86,'Trial Rows'!$C$2:$C$201,'Trial Rows'!C86,'Trial Rows'!$F$2:$F$201,'Trial Rows'!F86,'Trial Rows'!$G$2:$G$201,'Trial Rows'!G86,'Trial Rows'!$Y$2:$Y$201,'Trial Rows'!Y86)=4,COUNTIFS('Trial Rows'!$B$2:$B$201,'Trial Rows'!B86,'Trial Rows'!$C$2:$C$201,'Trial Rows'!C86,'Trial Rows'!$F$2:$F$201,'Trial Rows'!F86,'Trial Rows'!$G$2:$G$201,'Trial Rows'!G86,'Trial Rows'!$Y$2:$Y$201,'Trial Rows'!Y86,'Trial Rows'!$I$2:$I$201,1)=1,COUNTIFS('Trial Rows'!$B$2:$B$201,'Trial Rows'!B86,'Trial Rows'!$C$2:$C$201,'Trial Rows'!C86,'Trial Rows'!$F$2:$F$201,'Trial Rows'!F86,'Trial Rows'!$G$2:$G$201,'Trial Rows'!G86,'Trial Rows'!$Y$2:$Y$201,'Trial Rows'!Y86,'Trial Rows'!$I$2:$I$201,2)=1,COUNTIFS('Trial Rows'!$B$2:$B$201,'Trial Rows'!B86,'Trial Rows'!$C$2:$C$201,'Trial Rows'!C86,'Trial Rows'!$F$2:$F$201,'Trial Rows'!F86,'Trial Rows'!$G$2:$G$201,'Trial Rows'!G86,'Trial Rows'!$Y$2:$Y$201,'Trial Rows'!Y86,'Trial Rows'!$I$2:$I$201,3)=1,COUNTIFS('Trial Rows'!$B$2:$B$201,'Trial Rows'!B86,'Trial Rows'!$C$2:$C$201,'Trial Rows'!C86,'Trial Rows'!$F$2:$F$201,'Trial Rows'!F86,'Trial Rows'!$G$2:$G$201,'Trial Rows'!G86,'Trial Rows'!$Y$2:$Y$201,'Trial Rows'!Y86,'Trial Rows'!$I$2:$I$201,4)=1,COUNTIFS('Trial Rows'!$B$2:$B$201,'Trial Rows'!B86,'Trial Rows'!$C$2:$C$201,'Trial Rows'!C86,'Trial Rows'!$F$2:$F$201,'Trial Rows'!F86,'Trial Rows'!$G$2:$G$201,'Trial Rows'!G86,'Trial Rows'!$Y$2:$Y$201,'Trial Rows'!Y86,'Trial Rows'!$W$2:$W$201,"&lt;&gt;")=4,ISNUMBER('Trial Rows'!U86),COUNTIFS('Trial Rows'!$B$2:$B$201,'Trial Rows'!B86,'Trial Rows'!$C$2:$C$201,'Trial Rows'!C86,'Trial Rows'!$F$2:$F$201,'Trial Rows'!F86,'Trial Rows'!$G$2:$G$201,'Trial Rows'!G86,'Trial Rows'!$Y$2:$Y$201,'Trial Rows'!Y86,'Trial Rows'!$U$2:$U$201,'Trial Rows'!U86)=4,'Trial Rows'!U86&gt;=0),1,0)</x:f>
        <x:v>0</x:v>
      </x:c>
      <x:c r="O86" s="2" t="str">
        <x:f>IF(N86=1,'Trial Rows'!U86/1000,"")</x:f>
      </x:c>
      <x:c r="P86" s="2" t="str">
        <x:f>IF(AND(N86=1,'Trial Rows'!G86="A"),O86,"")</x:f>
      </x:c>
      <x:c r="Q86" s="2" t="str">
        <x:f>IF(AND(N86=1,'Trial Rows'!G86="B"),O86,"")</x:f>
      </x:c>
      <x:c r="R86" s="2" t="str">
        <x:f>IF(AND(N86=1,COUNTIFS('Trial Rows'!$B$2:$B$201,'Trial Rows'!B86,'Trial Rows'!$C$2:$C$201,'Trial Rows'!C86,'Trial Rows'!$F$2:$F$201,'Trial Rows'!F86,'Trial Rows'!$G$2:$G$201,'Trial Rows'!G86,'Trial Rows'!$Y$2:$Y$201,'Trial Rows'!Y86,'Trial Rows'!$N$2:$N$201,"&gt;=0",'Trial Rows'!$N$2:$N$201,"&lt;=4",'Trial Rows'!$N$2:$N$201,"&lt;&gt;")=4),SUMIFS('Trial Rows'!$N$2:$N$201,'Trial Rows'!$B$2:$B$201,'Trial Rows'!B86,'Trial Rows'!$C$2:$C$201,'Trial Rows'!C86,'Trial Rows'!$F$2:$F$201,'Trial Rows'!F86,'Trial Rows'!$G$2:$G$201,'Trial Rows'!G86,'Trial Rows'!$Y$2:$Y$201,'Trial Rows'!Y86,'Trial Rows'!$I$2:$I$201,1)+4-SUMIFS('Trial Rows'!$N$2:$N$201,'Trial Rows'!$B$2:$B$201,'Trial Rows'!B86,'Trial Rows'!$C$2:$C$201,'Trial Rows'!C86,'Trial Rows'!$F$2:$F$201,'Trial Rows'!F86,'Trial Rows'!$G$2:$G$201,'Trial Rows'!G86,'Trial Rows'!$Y$2:$Y$201,'Trial Rows'!Y86,'Trial Rows'!$I$2:$I$201,2)+4-SUMIFS('Trial Rows'!$N$2:$N$201,'Trial Rows'!$B$2:$B$201,'Trial Rows'!B86,'Trial Rows'!$C$2:$C$201,'Trial Rows'!C86,'Trial Rows'!$F$2:$F$201,'Trial Rows'!F86,'Trial Rows'!$G$2:$G$201,'Trial Rows'!G86,'Trial Rows'!$Y$2:$Y$201,'Trial Rows'!Y86,'Trial Rows'!$I$2:$I$201,3)+SUMIFS('Trial Rows'!$N$2:$N$201,'Trial Rows'!$B$2:$B$201,'Trial Rows'!B86,'Trial Rows'!$C$2:$C$201,'Trial Rows'!C86,'Trial Rows'!$F$2:$F$201,'Trial Rows'!F86,'Trial Rows'!$G$2:$G$201,'Trial Rows'!G86,'Trial Rows'!$Y$2:$Y$201,'Trial Rows'!Y86,'Trial Rows'!$I$2:$I$201,4),"")</x:f>
      </x:c>
      <x:c r="S86" s="2" t="n">
        <x:f>IF(AND(B86=1,COUNTIFS('Trial Rows'!$C$2:C86,'Trial Rows'!C86,'Trial Rows'!$F$2:F86,Summary!$B$5,'Trial Rows'!$Y$2:Y86,Summary!$B$4)=1),1,0)</x:f>
        <x:v>0</x:v>
      </x:c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 t="str">
        <x:f>IF('Trial Rows'!A87="","",'Trial Rows'!F87&amp;"|"&amp;'Trial Rows'!B87&amp;"|"&amp;'Trial Rows'!C87&amp;"|"&amp;'Trial Rows'!I87)</x:f>
      </x:c>
      <x:c r="B87" s="2" t="n">
        <x:f>IF(AND('Trial Rows'!A87&lt;&gt;"",'Trial Rows'!Y87=Summary!$B$4,'Trial Rows'!F87=Summary!$B$5),1,0)</x:f>
        <x:v>0</x:v>
      </x:c>
      <x:c r="C87" s="2" t="n">
        <x:f>IF(B87=1,COUNTIFS('Trial Rows'!$B$2:$B$201,'Trial Rows'!B87,'Trial Rows'!$C$2:$C$201,'Trial Rows'!C87,'Trial Rows'!$F$2:$F$201,'Trial Rows'!F87,'Trial Rows'!$I$2:$I$201,'Trial Rows'!I87,'Trial Rows'!$Y$2:$Y$201,'Trial Rows'!Y87,'Trial Rows'!$G$2:$G$201,"A"),0)</x:f>
        <x:v>0</x:v>
      </x:c>
      <x:c r="D87" s="2" t="n">
        <x:f>IF(B87=1,COUNTIFS('Trial Rows'!$B$2:$B$201,'Trial Rows'!B87,'Trial Rows'!$C$2:$C$201,'Trial Rows'!C87,'Trial Rows'!$F$2:$F$201,'Trial Rows'!F87,'Trial Rows'!$I$2:$I$201,'Trial Rows'!I87,'Trial Rows'!$Y$2:$Y$201,'Trial Rows'!Y87,'Trial Rows'!$G$2:$G$201,"B"),0)</x:f>
        <x:v>0</x:v>
      </x:c>
      <x:c r="E87" s="2" t="str">
        <x:f>IF(AND(C87=1,COUNTIFS('Trial Rows'!$B$2:$B$201,'Trial Rows'!B87,'Trial Rows'!$C$2:$C$201,'Trial Rows'!C87,'Trial Rows'!$F$2:$F$201,'Trial Rows'!F87,'Trial Rows'!$I$2:$I$201,'Trial Rows'!I87,'Trial Rows'!$Y$2:$Y$201,'Trial Rows'!Y87,'Trial Rows'!$G$2:$G$201,"A",'Trial Rows'!$K$2:$K$201,"&gt;=0",'Trial Rows'!$K$2:$K$201,"&lt;=4",'Trial Rows'!$K$2:$K$201,"&lt;&gt;")=1),SUMIFS('Trial Rows'!$K$2:$K$201,'Trial Rows'!$B$2:$B$201,'Trial Rows'!B87,'Trial Rows'!$C$2:$C$201,'Trial Rows'!C87,'Trial Rows'!$F$2:$F$201,'Trial Rows'!F87,'Trial Rows'!$I$2:$I$201,'Trial Rows'!I87,'Trial Rows'!$Y$2:$Y$201,'Trial Rows'!Y87,'Trial Rows'!$G$2:$G$201,"A"),"")</x:f>
      </x:c>
      <x:c r="F87" s="2" t="n">
        <x:f>IF(AND(B87=1,'Trial Rows'!G87="B",C87=1,D87=1,ISNUMBER(E87),ISNUMBER('Trial Rows'!M87),'Trial Rows'!M87&gt;=0,'Trial Rows'!M87&lt;=4,'Trial Rows'!Q87=0,'Trial Rows'!S87=0),1,0)</x:f>
        <x:v>0</x:v>
      </x:c>
      <x:c r="G87" s="2" t="n">
        <x:f>IF(F87=1,IF(E87='Trial Rows'!M87,1,0),0)</x:f>
        <x:v>0</x:v>
      </x:c>
      <x:c r="H87" s="2" t="n">
        <x:f>IF(AND(B87=1,'Trial Rows'!G87="B",C87=1,D87=1,ISNUMBER(E87),'Trial Rows'!R87=1,'Trial Rows'!Q87=0,'Trial Rows'!S87=0,ISNUMBER('Trial Rows'!L87),'Trial Rows'!L87&gt;=0,'Trial Rows'!L87&lt;=4),1,0)</x:f>
        <x:v>0</x:v>
      </x:c>
      <x:c r="I87" s="2" t="n">
        <x:f>IF(H87=1,IF(E87='Trial Rows'!L87,1,0),0)</x:f>
        <x:v>0</x:v>
      </x:c>
      <x:c r="J87" s="2" t="n">
        <x:f>IF(AND(B87=1,'Trial Rows'!G87="B",'Trial Rows'!P87&gt;0),1,0)</x:f>
        <x:v>0</x:v>
      </x:c>
      <x:c r="K87" s="2" t="n">
        <x:f>IF(AND(B87=1,'Trial Rows'!G87="B",'Trial Rows'!Q87=1),1,0)</x:f>
        <x:v>0</x:v>
      </x:c>
      <x:c r="L87" s="2" t="n">
        <x:f>IF(AND(B87=1,'Trial Rows'!G87="B",'Trial Rows'!R87=1,'Trial Rows'!Q87=0,'Trial Rows'!S87=0),1,0)</x:f>
        <x:v>0</x:v>
      </x:c>
      <x:c r="M87" s="2" t="n">
        <x:f>IF(AND(B87=1,'Trial Rows'!G87="B"),1,0)</x:f>
        <x:v>0</x:v>
      </x:c>
      <x:c r="N87" s="2" t="n">
        <x:f>IF(AND(B87=1,'Trial Rows'!I87=1,COUNTIFS('Trial Rows'!$B$2:$B$201,'Trial Rows'!B87,'Trial Rows'!$C$2:$C$201,'Trial Rows'!C87,'Trial Rows'!$F$2:$F$201,'Trial Rows'!F87,'Trial Rows'!$G$2:$G$201,'Trial Rows'!G87,'Trial Rows'!$Y$2:$Y$201,'Trial Rows'!Y87)=4,COUNTIFS('Trial Rows'!$B$2:$B$201,'Trial Rows'!B87,'Trial Rows'!$C$2:$C$201,'Trial Rows'!C87,'Trial Rows'!$F$2:$F$201,'Trial Rows'!F87,'Trial Rows'!$G$2:$G$201,'Trial Rows'!G87,'Trial Rows'!$Y$2:$Y$201,'Trial Rows'!Y87,'Trial Rows'!$I$2:$I$201,1)=1,COUNTIFS('Trial Rows'!$B$2:$B$201,'Trial Rows'!B87,'Trial Rows'!$C$2:$C$201,'Trial Rows'!C87,'Trial Rows'!$F$2:$F$201,'Trial Rows'!F87,'Trial Rows'!$G$2:$G$201,'Trial Rows'!G87,'Trial Rows'!$Y$2:$Y$201,'Trial Rows'!Y87,'Trial Rows'!$I$2:$I$201,2)=1,COUNTIFS('Trial Rows'!$B$2:$B$201,'Trial Rows'!B87,'Trial Rows'!$C$2:$C$201,'Trial Rows'!C87,'Trial Rows'!$F$2:$F$201,'Trial Rows'!F87,'Trial Rows'!$G$2:$G$201,'Trial Rows'!G87,'Trial Rows'!$Y$2:$Y$201,'Trial Rows'!Y87,'Trial Rows'!$I$2:$I$201,3)=1,COUNTIFS('Trial Rows'!$B$2:$B$201,'Trial Rows'!B87,'Trial Rows'!$C$2:$C$201,'Trial Rows'!C87,'Trial Rows'!$F$2:$F$201,'Trial Rows'!F87,'Trial Rows'!$G$2:$G$201,'Trial Rows'!G87,'Trial Rows'!$Y$2:$Y$201,'Trial Rows'!Y87,'Trial Rows'!$I$2:$I$201,4)=1,COUNTIFS('Trial Rows'!$B$2:$B$201,'Trial Rows'!B87,'Trial Rows'!$C$2:$C$201,'Trial Rows'!C87,'Trial Rows'!$F$2:$F$201,'Trial Rows'!F87,'Trial Rows'!$G$2:$G$201,'Trial Rows'!G87,'Trial Rows'!$Y$2:$Y$201,'Trial Rows'!Y87,'Trial Rows'!$W$2:$W$201,"&lt;&gt;")=4,ISNUMBER('Trial Rows'!U87),COUNTIFS('Trial Rows'!$B$2:$B$201,'Trial Rows'!B87,'Trial Rows'!$C$2:$C$201,'Trial Rows'!C87,'Trial Rows'!$F$2:$F$201,'Trial Rows'!F87,'Trial Rows'!$G$2:$G$201,'Trial Rows'!G87,'Trial Rows'!$Y$2:$Y$201,'Trial Rows'!Y87,'Trial Rows'!$U$2:$U$201,'Trial Rows'!U87)=4,'Trial Rows'!U87&gt;=0),1,0)</x:f>
        <x:v>0</x:v>
      </x:c>
      <x:c r="O87" s="2" t="str">
        <x:f>IF(N87=1,'Trial Rows'!U87/1000,"")</x:f>
      </x:c>
      <x:c r="P87" s="2" t="str">
        <x:f>IF(AND(N87=1,'Trial Rows'!G87="A"),O87,"")</x:f>
      </x:c>
      <x:c r="Q87" s="2" t="str">
        <x:f>IF(AND(N87=1,'Trial Rows'!G87="B"),O87,"")</x:f>
      </x:c>
      <x:c r="R87" s="2" t="str">
        <x:f>IF(AND(N87=1,COUNTIFS('Trial Rows'!$B$2:$B$201,'Trial Rows'!B87,'Trial Rows'!$C$2:$C$201,'Trial Rows'!C87,'Trial Rows'!$F$2:$F$201,'Trial Rows'!F87,'Trial Rows'!$G$2:$G$201,'Trial Rows'!G87,'Trial Rows'!$Y$2:$Y$201,'Trial Rows'!Y87,'Trial Rows'!$N$2:$N$201,"&gt;=0",'Trial Rows'!$N$2:$N$201,"&lt;=4",'Trial Rows'!$N$2:$N$201,"&lt;&gt;")=4),SUMIFS('Trial Rows'!$N$2:$N$201,'Trial Rows'!$B$2:$B$201,'Trial Rows'!B87,'Trial Rows'!$C$2:$C$201,'Trial Rows'!C87,'Trial Rows'!$F$2:$F$201,'Trial Rows'!F87,'Trial Rows'!$G$2:$G$201,'Trial Rows'!G87,'Trial Rows'!$Y$2:$Y$201,'Trial Rows'!Y87,'Trial Rows'!$I$2:$I$201,1)+4-SUMIFS('Trial Rows'!$N$2:$N$201,'Trial Rows'!$B$2:$B$201,'Trial Rows'!B87,'Trial Rows'!$C$2:$C$201,'Trial Rows'!C87,'Trial Rows'!$F$2:$F$201,'Trial Rows'!F87,'Trial Rows'!$G$2:$G$201,'Trial Rows'!G87,'Trial Rows'!$Y$2:$Y$201,'Trial Rows'!Y87,'Trial Rows'!$I$2:$I$201,2)+4-SUMIFS('Trial Rows'!$N$2:$N$201,'Trial Rows'!$B$2:$B$201,'Trial Rows'!B87,'Trial Rows'!$C$2:$C$201,'Trial Rows'!C87,'Trial Rows'!$F$2:$F$201,'Trial Rows'!F87,'Trial Rows'!$G$2:$G$201,'Trial Rows'!G87,'Trial Rows'!$Y$2:$Y$201,'Trial Rows'!Y87,'Trial Rows'!$I$2:$I$201,3)+SUMIFS('Trial Rows'!$N$2:$N$201,'Trial Rows'!$B$2:$B$201,'Trial Rows'!B87,'Trial Rows'!$C$2:$C$201,'Trial Rows'!C87,'Trial Rows'!$F$2:$F$201,'Trial Rows'!F87,'Trial Rows'!$G$2:$G$201,'Trial Rows'!G87,'Trial Rows'!$Y$2:$Y$201,'Trial Rows'!Y87,'Trial Rows'!$I$2:$I$201,4),"")</x:f>
      </x:c>
      <x:c r="S87" s="2" t="n">
        <x:f>IF(AND(B87=1,COUNTIFS('Trial Rows'!$C$2:C87,'Trial Rows'!C87,'Trial Rows'!$F$2:F87,Summary!$B$5,'Trial Rows'!$Y$2:Y87,Summary!$B$4)=1),1,0)</x:f>
        <x:v>0</x:v>
      </x:c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 t="str">
        <x:f>IF('Trial Rows'!A88="","",'Trial Rows'!F88&amp;"|"&amp;'Trial Rows'!B88&amp;"|"&amp;'Trial Rows'!C88&amp;"|"&amp;'Trial Rows'!I88)</x:f>
      </x:c>
      <x:c r="B88" s="2" t="n">
        <x:f>IF(AND('Trial Rows'!A88&lt;&gt;"",'Trial Rows'!Y88=Summary!$B$4,'Trial Rows'!F88=Summary!$B$5),1,0)</x:f>
        <x:v>0</x:v>
      </x:c>
      <x:c r="C88" s="2" t="n">
        <x:f>IF(B88=1,COUNTIFS('Trial Rows'!$B$2:$B$201,'Trial Rows'!B88,'Trial Rows'!$C$2:$C$201,'Trial Rows'!C88,'Trial Rows'!$F$2:$F$201,'Trial Rows'!F88,'Trial Rows'!$I$2:$I$201,'Trial Rows'!I88,'Trial Rows'!$Y$2:$Y$201,'Trial Rows'!Y88,'Trial Rows'!$G$2:$G$201,"A"),0)</x:f>
        <x:v>0</x:v>
      </x:c>
      <x:c r="D88" s="2" t="n">
        <x:f>IF(B88=1,COUNTIFS('Trial Rows'!$B$2:$B$201,'Trial Rows'!B88,'Trial Rows'!$C$2:$C$201,'Trial Rows'!C88,'Trial Rows'!$F$2:$F$201,'Trial Rows'!F88,'Trial Rows'!$I$2:$I$201,'Trial Rows'!I88,'Trial Rows'!$Y$2:$Y$201,'Trial Rows'!Y88,'Trial Rows'!$G$2:$G$201,"B"),0)</x:f>
        <x:v>0</x:v>
      </x:c>
      <x:c r="E88" s="2" t="str">
        <x:f>IF(AND(C88=1,COUNTIFS('Trial Rows'!$B$2:$B$201,'Trial Rows'!B88,'Trial Rows'!$C$2:$C$201,'Trial Rows'!C88,'Trial Rows'!$F$2:$F$201,'Trial Rows'!F88,'Trial Rows'!$I$2:$I$201,'Trial Rows'!I88,'Trial Rows'!$Y$2:$Y$201,'Trial Rows'!Y88,'Trial Rows'!$G$2:$G$201,"A",'Trial Rows'!$K$2:$K$201,"&gt;=0",'Trial Rows'!$K$2:$K$201,"&lt;=4",'Trial Rows'!$K$2:$K$201,"&lt;&gt;")=1),SUMIFS('Trial Rows'!$K$2:$K$201,'Trial Rows'!$B$2:$B$201,'Trial Rows'!B88,'Trial Rows'!$C$2:$C$201,'Trial Rows'!C88,'Trial Rows'!$F$2:$F$201,'Trial Rows'!F88,'Trial Rows'!$I$2:$I$201,'Trial Rows'!I88,'Trial Rows'!$Y$2:$Y$201,'Trial Rows'!Y88,'Trial Rows'!$G$2:$G$201,"A"),"")</x:f>
      </x:c>
      <x:c r="F88" s="2" t="n">
        <x:f>IF(AND(B88=1,'Trial Rows'!G88="B",C88=1,D88=1,ISNUMBER(E88),ISNUMBER('Trial Rows'!M88),'Trial Rows'!M88&gt;=0,'Trial Rows'!M88&lt;=4,'Trial Rows'!Q88=0,'Trial Rows'!S88=0),1,0)</x:f>
        <x:v>0</x:v>
      </x:c>
      <x:c r="G88" s="2" t="n">
        <x:f>IF(F88=1,IF(E88='Trial Rows'!M88,1,0),0)</x:f>
        <x:v>0</x:v>
      </x:c>
      <x:c r="H88" s="2" t="n">
        <x:f>IF(AND(B88=1,'Trial Rows'!G88="B",C88=1,D88=1,ISNUMBER(E88),'Trial Rows'!R88=1,'Trial Rows'!Q88=0,'Trial Rows'!S88=0,ISNUMBER('Trial Rows'!L88),'Trial Rows'!L88&gt;=0,'Trial Rows'!L88&lt;=4),1,0)</x:f>
        <x:v>0</x:v>
      </x:c>
      <x:c r="I88" s="2" t="n">
        <x:f>IF(H88=1,IF(E88='Trial Rows'!L88,1,0),0)</x:f>
        <x:v>0</x:v>
      </x:c>
      <x:c r="J88" s="2" t="n">
        <x:f>IF(AND(B88=1,'Trial Rows'!G88="B",'Trial Rows'!P88&gt;0),1,0)</x:f>
        <x:v>0</x:v>
      </x:c>
      <x:c r="K88" s="2" t="n">
        <x:f>IF(AND(B88=1,'Trial Rows'!G88="B",'Trial Rows'!Q88=1),1,0)</x:f>
        <x:v>0</x:v>
      </x:c>
      <x:c r="L88" s="2" t="n">
        <x:f>IF(AND(B88=1,'Trial Rows'!G88="B",'Trial Rows'!R88=1,'Trial Rows'!Q88=0,'Trial Rows'!S88=0),1,0)</x:f>
        <x:v>0</x:v>
      </x:c>
      <x:c r="M88" s="2" t="n">
        <x:f>IF(AND(B88=1,'Trial Rows'!G88="B"),1,0)</x:f>
        <x:v>0</x:v>
      </x:c>
      <x:c r="N88" s="2" t="n">
        <x:f>IF(AND(B88=1,'Trial Rows'!I88=1,COUNTIFS('Trial Rows'!$B$2:$B$201,'Trial Rows'!B88,'Trial Rows'!$C$2:$C$201,'Trial Rows'!C88,'Trial Rows'!$F$2:$F$201,'Trial Rows'!F88,'Trial Rows'!$G$2:$G$201,'Trial Rows'!G88,'Trial Rows'!$Y$2:$Y$201,'Trial Rows'!Y88)=4,COUNTIFS('Trial Rows'!$B$2:$B$201,'Trial Rows'!B88,'Trial Rows'!$C$2:$C$201,'Trial Rows'!C88,'Trial Rows'!$F$2:$F$201,'Trial Rows'!F88,'Trial Rows'!$G$2:$G$201,'Trial Rows'!G88,'Trial Rows'!$Y$2:$Y$201,'Trial Rows'!Y88,'Trial Rows'!$I$2:$I$201,1)=1,COUNTIFS('Trial Rows'!$B$2:$B$201,'Trial Rows'!B88,'Trial Rows'!$C$2:$C$201,'Trial Rows'!C88,'Trial Rows'!$F$2:$F$201,'Trial Rows'!F88,'Trial Rows'!$G$2:$G$201,'Trial Rows'!G88,'Trial Rows'!$Y$2:$Y$201,'Trial Rows'!Y88,'Trial Rows'!$I$2:$I$201,2)=1,COUNTIFS('Trial Rows'!$B$2:$B$201,'Trial Rows'!B88,'Trial Rows'!$C$2:$C$201,'Trial Rows'!C88,'Trial Rows'!$F$2:$F$201,'Trial Rows'!F88,'Trial Rows'!$G$2:$G$201,'Trial Rows'!G88,'Trial Rows'!$Y$2:$Y$201,'Trial Rows'!Y88,'Trial Rows'!$I$2:$I$201,3)=1,COUNTIFS('Trial Rows'!$B$2:$B$201,'Trial Rows'!B88,'Trial Rows'!$C$2:$C$201,'Trial Rows'!C88,'Trial Rows'!$F$2:$F$201,'Trial Rows'!F88,'Trial Rows'!$G$2:$G$201,'Trial Rows'!G88,'Trial Rows'!$Y$2:$Y$201,'Trial Rows'!Y88,'Trial Rows'!$I$2:$I$201,4)=1,COUNTIFS('Trial Rows'!$B$2:$B$201,'Trial Rows'!B88,'Trial Rows'!$C$2:$C$201,'Trial Rows'!C88,'Trial Rows'!$F$2:$F$201,'Trial Rows'!F88,'Trial Rows'!$G$2:$G$201,'Trial Rows'!G88,'Trial Rows'!$Y$2:$Y$201,'Trial Rows'!Y88,'Trial Rows'!$W$2:$W$201,"&lt;&gt;")=4,ISNUMBER('Trial Rows'!U88),COUNTIFS('Trial Rows'!$B$2:$B$201,'Trial Rows'!B88,'Trial Rows'!$C$2:$C$201,'Trial Rows'!C88,'Trial Rows'!$F$2:$F$201,'Trial Rows'!F88,'Trial Rows'!$G$2:$G$201,'Trial Rows'!G88,'Trial Rows'!$Y$2:$Y$201,'Trial Rows'!Y88,'Trial Rows'!$U$2:$U$201,'Trial Rows'!U88)=4,'Trial Rows'!U88&gt;=0),1,0)</x:f>
        <x:v>0</x:v>
      </x:c>
      <x:c r="O88" s="2" t="str">
        <x:f>IF(N88=1,'Trial Rows'!U88/1000,"")</x:f>
      </x:c>
      <x:c r="P88" s="2" t="str">
        <x:f>IF(AND(N88=1,'Trial Rows'!G88="A"),O88,"")</x:f>
      </x:c>
      <x:c r="Q88" s="2" t="str">
        <x:f>IF(AND(N88=1,'Trial Rows'!G88="B"),O88,"")</x:f>
      </x:c>
      <x:c r="R88" s="2" t="str">
        <x:f>IF(AND(N88=1,COUNTIFS('Trial Rows'!$B$2:$B$201,'Trial Rows'!B88,'Trial Rows'!$C$2:$C$201,'Trial Rows'!C88,'Trial Rows'!$F$2:$F$201,'Trial Rows'!F88,'Trial Rows'!$G$2:$G$201,'Trial Rows'!G88,'Trial Rows'!$Y$2:$Y$201,'Trial Rows'!Y88,'Trial Rows'!$N$2:$N$201,"&gt;=0",'Trial Rows'!$N$2:$N$201,"&lt;=4",'Trial Rows'!$N$2:$N$201,"&lt;&gt;")=4),SUMIFS('Trial Rows'!$N$2:$N$201,'Trial Rows'!$B$2:$B$201,'Trial Rows'!B88,'Trial Rows'!$C$2:$C$201,'Trial Rows'!C88,'Trial Rows'!$F$2:$F$201,'Trial Rows'!F88,'Trial Rows'!$G$2:$G$201,'Trial Rows'!G88,'Trial Rows'!$Y$2:$Y$201,'Trial Rows'!Y88,'Trial Rows'!$I$2:$I$201,1)+4-SUMIFS('Trial Rows'!$N$2:$N$201,'Trial Rows'!$B$2:$B$201,'Trial Rows'!B88,'Trial Rows'!$C$2:$C$201,'Trial Rows'!C88,'Trial Rows'!$F$2:$F$201,'Trial Rows'!F88,'Trial Rows'!$G$2:$G$201,'Trial Rows'!G88,'Trial Rows'!$Y$2:$Y$201,'Trial Rows'!Y88,'Trial Rows'!$I$2:$I$201,2)+4-SUMIFS('Trial Rows'!$N$2:$N$201,'Trial Rows'!$B$2:$B$201,'Trial Rows'!B88,'Trial Rows'!$C$2:$C$201,'Trial Rows'!C88,'Trial Rows'!$F$2:$F$201,'Trial Rows'!F88,'Trial Rows'!$G$2:$G$201,'Trial Rows'!G88,'Trial Rows'!$Y$2:$Y$201,'Trial Rows'!Y88,'Trial Rows'!$I$2:$I$201,3)+SUMIFS('Trial Rows'!$N$2:$N$201,'Trial Rows'!$B$2:$B$201,'Trial Rows'!B88,'Trial Rows'!$C$2:$C$201,'Trial Rows'!C88,'Trial Rows'!$F$2:$F$201,'Trial Rows'!F88,'Trial Rows'!$G$2:$G$201,'Trial Rows'!G88,'Trial Rows'!$Y$2:$Y$201,'Trial Rows'!Y88,'Trial Rows'!$I$2:$I$201,4),"")</x:f>
      </x:c>
      <x:c r="S88" s="2" t="n">
        <x:f>IF(AND(B88=1,COUNTIFS('Trial Rows'!$C$2:C88,'Trial Rows'!C88,'Trial Rows'!$F$2:F88,Summary!$B$5,'Trial Rows'!$Y$2:Y88,Summary!$B$4)=1),1,0)</x:f>
        <x:v>0</x:v>
      </x:c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 t="str">
        <x:f>IF('Trial Rows'!A89="","",'Trial Rows'!F89&amp;"|"&amp;'Trial Rows'!B89&amp;"|"&amp;'Trial Rows'!C89&amp;"|"&amp;'Trial Rows'!I89)</x:f>
      </x:c>
      <x:c r="B89" s="2" t="n">
        <x:f>IF(AND('Trial Rows'!A89&lt;&gt;"",'Trial Rows'!Y89=Summary!$B$4,'Trial Rows'!F89=Summary!$B$5),1,0)</x:f>
        <x:v>0</x:v>
      </x:c>
      <x:c r="C89" s="2" t="n">
        <x:f>IF(B89=1,COUNTIFS('Trial Rows'!$B$2:$B$201,'Trial Rows'!B89,'Trial Rows'!$C$2:$C$201,'Trial Rows'!C89,'Trial Rows'!$F$2:$F$201,'Trial Rows'!F89,'Trial Rows'!$I$2:$I$201,'Trial Rows'!I89,'Trial Rows'!$Y$2:$Y$201,'Trial Rows'!Y89,'Trial Rows'!$G$2:$G$201,"A"),0)</x:f>
        <x:v>0</x:v>
      </x:c>
      <x:c r="D89" s="2" t="n">
        <x:f>IF(B89=1,COUNTIFS('Trial Rows'!$B$2:$B$201,'Trial Rows'!B89,'Trial Rows'!$C$2:$C$201,'Trial Rows'!C89,'Trial Rows'!$F$2:$F$201,'Trial Rows'!F89,'Trial Rows'!$I$2:$I$201,'Trial Rows'!I89,'Trial Rows'!$Y$2:$Y$201,'Trial Rows'!Y89,'Trial Rows'!$G$2:$G$201,"B"),0)</x:f>
        <x:v>0</x:v>
      </x:c>
      <x:c r="E89" s="2" t="str">
        <x:f>IF(AND(C89=1,COUNTIFS('Trial Rows'!$B$2:$B$201,'Trial Rows'!B89,'Trial Rows'!$C$2:$C$201,'Trial Rows'!C89,'Trial Rows'!$F$2:$F$201,'Trial Rows'!F89,'Trial Rows'!$I$2:$I$201,'Trial Rows'!I89,'Trial Rows'!$Y$2:$Y$201,'Trial Rows'!Y89,'Trial Rows'!$G$2:$G$201,"A",'Trial Rows'!$K$2:$K$201,"&gt;=0",'Trial Rows'!$K$2:$K$201,"&lt;=4",'Trial Rows'!$K$2:$K$201,"&lt;&gt;")=1),SUMIFS('Trial Rows'!$K$2:$K$201,'Trial Rows'!$B$2:$B$201,'Trial Rows'!B89,'Trial Rows'!$C$2:$C$201,'Trial Rows'!C89,'Trial Rows'!$F$2:$F$201,'Trial Rows'!F89,'Trial Rows'!$I$2:$I$201,'Trial Rows'!I89,'Trial Rows'!$Y$2:$Y$201,'Trial Rows'!Y89,'Trial Rows'!$G$2:$G$201,"A"),"")</x:f>
      </x:c>
      <x:c r="F89" s="2" t="n">
        <x:f>IF(AND(B89=1,'Trial Rows'!G89="B",C89=1,D89=1,ISNUMBER(E89),ISNUMBER('Trial Rows'!M89),'Trial Rows'!M89&gt;=0,'Trial Rows'!M89&lt;=4,'Trial Rows'!Q89=0,'Trial Rows'!S89=0),1,0)</x:f>
        <x:v>0</x:v>
      </x:c>
      <x:c r="G89" s="2" t="n">
        <x:f>IF(F89=1,IF(E89='Trial Rows'!M89,1,0),0)</x:f>
        <x:v>0</x:v>
      </x:c>
      <x:c r="H89" s="2" t="n">
        <x:f>IF(AND(B89=1,'Trial Rows'!G89="B",C89=1,D89=1,ISNUMBER(E89),'Trial Rows'!R89=1,'Trial Rows'!Q89=0,'Trial Rows'!S89=0,ISNUMBER('Trial Rows'!L89),'Trial Rows'!L89&gt;=0,'Trial Rows'!L89&lt;=4),1,0)</x:f>
        <x:v>0</x:v>
      </x:c>
      <x:c r="I89" s="2" t="n">
        <x:f>IF(H89=1,IF(E89='Trial Rows'!L89,1,0),0)</x:f>
        <x:v>0</x:v>
      </x:c>
      <x:c r="J89" s="2" t="n">
        <x:f>IF(AND(B89=1,'Trial Rows'!G89="B",'Trial Rows'!P89&gt;0),1,0)</x:f>
        <x:v>0</x:v>
      </x:c>
      <x:c r="K89" s="2" t="n">
        <x:f>IF(AND(B89=1,'Trial Rows'!G89="B",'Trial Rows'!Q89=1),1,0)</x:f>
        <x:v>0</x:v>
      </x:c>
      <x:c r="L89" s="2" t="n">
        <x:f>IF(AND(B89=1,'Trial Rows'!G89="B",'Trial Rows'!R89=1,'Trial Rows'!Q89=0,'Trial Rows'!S89=0),1,0)</x:f>
        <x:v>0</x:v>
      </x:c>
      <x:c r="M89" s="2" t="n">
        <x:f>IF(AND(B89=1,'Trial Rows'!G89="B"),1,0)</x:f>
        <x:v>0</x:v>
      </x:c>
      <x:c r="N89" s="2" t="n">
        <x:f>IF(AND(B89=1,'Trial Rows'!I89=1,COUNTIFS('Trial Rows'!$B$2:$B$201,'Trial Rows'!B89,'Trial Rows'!$C$2:$C$201,'Trial Rows'!C89,'Trial Rows'!$F$2:$F$201,'Trial Rows'!F89,'Trial Rows'!$G$2:$G$201,'Trial Rows'!G89,'Trial Rows'!$Y$2:$Y$201,'Trial Rows'!Y89)=4,COUNTIFS('Trial Rows'!$B$2:$B$201,'Trial Rows'!B89,'Trial Rows'!$C$2:$C$201,'Trial Rows'!C89,'Trial Rows'!$F$2:$F$201,'Trial Rows'!F89,'Trial Rows'!$G$2:$G$201,'Trial Rows'!G89,'Trial Rows'!$Y$2:$Y$201,'Trial Rows'!Y89,'Trial Rows'!$I$2:$I$201,1)=1,COUNTIFS('Trial Rows'!$B$2:$B$201,'Trial Rows'!B89,'Trial Rows'!$C$2:$C$201,'Trial Rows'!C89,'Trial Rows'!$F$2:$F$201,'Trial Rows'!F89,'Trial Rows'!$G$2:$G$201,'Trial Rows'!G89,'Trial Rows'!$Y$2:$Y$201,'Trial Rows'!Y89,'Trial Rows'!$I$2:$I$201,2)=1,COUNTIFS('Trial Rows'!$B$2:$B$201,'Trial Rows'!B89,'Trial Rows'!$C$2:$C$201,'Trial Rows'!C89,'Trial Rows'!$F$2:$F$201,'Trial Rows'!F89,'Trial Rows'!$G$2:$G$201,'Trial Rows'!G89,'Trial Rows'!$Y$2:$Y$201,'Trial Rows'!Y89,'Trial Rows'!$I$2:$I$201,3)=1,COUNTIFS('Trial Rows'!$B$2:$B$201,'Trial Rows'!B89,'Trial Rows'!$C$2:$C$201,'Trial Rows'!C89,'Trial Rows'!$F$2:$F$201,'Trial Rows'!F89,'Trial Rows'!$G$2:$G$201,'Trial Rows'!G89,'Trial Rows'!$Y$2:$Y$201,'Trial Rows'!Y89,'Trial Rows'!$I$2:$I$201,4)=1,COUNTIFS('Trial Rows'!$B$2:$B$201,'Trial Rows'!B89,'Trial Rows'!$C$2:$C$201,'Trial Rows'!C89,'Trial Rows'!$F$2:$F$201,'Trial Rows'!F89,'Trial Rows'!$G$2:$G$201,'Trial Rows'!G89,'Trial Rows'!$Y$2:$Y$201,'Trial Rows'!Y89,'Trial Rows'!$W$2:$W$201,"&lt;&gt;")=4,ISNUMBER('Trial Rows'!U89),COUNTIFS('Trial Rows'!$B$2:$B$201,'Trial Rows'!B89,'Trial Rows'!$C$2:$C$201,'Trial Rows'!C89,'Trial Rows'!$F$2:$F$201,'Trial Rows'!F89,'Trial Rows'!$G$2:$G$201,'Trial Rows'!G89,'Trial Rows'!$Y$2:$Y$201,'Trial Rows'!Y89,'Trial Rows'!$U$2:$U$201,'Trial Rows'!U89)=4,'Trial Rows'!U89&gt;=0),1,0)</x:f>
        <x:v>0</x:v>
      </x:c>
      <x:c r="O89" s="2" t="str">
        <x:f>IF(N89=1,'Trial Rows'!U89/1000,"")</x:f>
      </x:c>
      <x:c r="P89" s="2" t="str">
        <x:f>IF(AND(N89=1,'Trial Rows'!G89="A"),O89,"")</x:f>
      </x:c>
      <x:c r="Q89" s="2" t="str">
        <x:f>IF(AND(N89=1,'Trial Rows'!G89="B"),O89,"")</x:f>
      </x:c>
      <x:c r="R89" s="2" t="str">
        <x:f>IF(AND(N89=1,COUNTIFS('Trial Rows'!$B$2:$B$201,'Trial Rows'!B89,'Trial Rows'!$C$2:$C$201,'Trial Rows'!C89,'Trial Rows'!$F$2:$F$201,'Trial Rows'!F89,'Trial Rows'!$G$2:$G$201,'Trial Rows'!G89,'Trial Rows'!$Y$2:$Y$201,'Trial Rows'!Y89,'Trial Rows'!$N$2:$N$201,"&gt;=0",'Trial Rows'!$N$2:$N$201,"&lt;=4",'Trial Rows'!$N$2:$N$201,"&lt;&gt;")=4),SUMIFS('Trial Rows'!$N$2:$N$201,'Trial Rows'!$B$2:$B$201,'Trial Rows'!B89,'Trial Rows'!$C$2:$C$201,'Trial Rows'!C89,'Trial Rows'!$F$2:$F$201,'Trial Rows'!F89,'Trial Rows'!$G$2:$G$201,'Trial Rows'!G89,'Trial Rows'!$Y$2:$Y$201,'Trial Rows'!Y89,'Trial Rows'!$I$2:$I$201,1)+4-SUMIFS('Trial Rows'!$N$2:$N$201,'Trial Rows'!$B$2:$B$201,'Trial Rows'!B89,'Trial Rows'!$C$2:$C$201,'Trial Rows'!C89,'Trial Rows'!$F$2:$F$201,'Trial Rows'!F89,'Trial Rows'!$G$2:$G$201,'Trial Rows'!G89,'Trial Rows'!$Y$2:$Y$201,'Trial Rows'!Y89,'Trial Rows'!$I$2:$I$201,2)+4-SUMIFS('Trial Rows'!$N$2:$N$201,'Trial Rows'!$B$2:$B$201,'Trial Rows'!B89,'Trial Rows'!$C$2:$C$201,'Trial Rows'!C89,'Trial Rows'!$F$2:$F$201,'Trial Rows'!F89,'Trial Rows'!$G$2:$G$201,'Trial Rows'!G89,'Trial Rows'!$Y$2:$Y$201,'Trial Rows'!Y89,'Trial Rows'!$I$2:$I$201,3)+SUMIFS('Trial Rows'!$N$2:$N$201,'Trial Rows'!$B$2:$B$201,'Trial Rows'!B89,'Trial Rows'!$C$2:$C$201,'Trial Rows'!C89,'Trial Rows'!$F$2:$F$201,'Trial Rows'!F89,'Trial Rows'!$G$2:$G$201,'Trial Rows'!G89,'Trial Rows'!$Y$2:$Y$201,'Trial Rows'!Y89,'Trial Rows'!$I$2:$I$201,4),"")</x:f>
      </x:c>
      <x:c r="S89" s="2" t="n">
        <x:f>IF(AND(B89=1,COUNTIFS('Trial Rows'!$C$2:C89,'Trial Rows'!C89,'Trial Rows'!$F$2:F89,Summary!$B$5,'Trial Rows'!$Y$2:Y89,Summary!$B$4)=1),1,0)</x:f>
        <x:v>0</x:v>
      </x:c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 t="str">
        <x:f>IF('Trial Rows'!A90="","",'Trial Rows'!F90&amp;"|"&amp;'Trial Rows'!B90&amp;"|"&amp;'Trial Rows'!C90&amp;"|"&amp;'Trial Rows'!I90)</x:f>
      </x:c>
      <x:c r="B90" s="2" t="n">
        <x:f>IF(AND('Trial Rows'!A90&lt;&gt;"",'Trial Rows'!Y90=Summary!$B$4,'Trial Rows'!F90=Summary!$B$5),1,0)</x:f>
        <x:v>0</x:v>
      </x:c>
      <x:c r="C90" s="2" t="n">
        <x:f>IF(B90=1,COUNTIFS('Trial Rows'!$B$2:$B$201,'Trial Rows'!B90,'Trial Rows'!$C$2:$C$201,'Trial Rows'!C90,'Trial Rows'!$F$2:$F$201,'Trial Rows'!F90,'Trial Rows'!$I$2:$I$201,'Trial Rows'!I90,'Trial Rows'!$Y$2:$Y$201,'Trial Rows'!Y90,'Trial Rows'!$G$2:$G$201,"A"),0)</x:f>
        <x:v>0</x:v>
      </x:c>
      <x:c r="D90" s="2" t="n">
        <x:f>IF(B90=1,COUNTIFS('Trial Rows'!$B$2:$B$201,'Trial Rows'!B90,'Trial Rows'!$C$2:$C$201,'Trial Rows'!C90,'Trial Rows'!$F$2:$F$201,'Trial Rows'!F90,'Trial Rows'!$I$2:$I$201,'Trial Rows'!I90,'Trial Rows'!$Y$2:$Y$201,'Trial Rows'!Y90,'Trial Rows'!$G$2:$G$201,"B"),0)</x:f>
        <x:v>0</x:v>
      </x:c>
      <x:c r="E90" s="2" t="str">
        <x:f>IF(AND(C90=1,COUNTIFS('Trial Rows'!$B$2:$B$201,'Trial Rows'!B90,'Trial Rows'!$C$2:$C$201,'Trial Rows'!C90,'Trial Rows'!$F$2:$F$201,'Trial Rows'!F90,'Trial Rows'!$I$2:$I$201,'Trial Rows'!I90,'Trial Rows'!$Y$2:$Y$201,'Trial Rows'!Y90,'Trial Rows'!$G$2:$G$201,"A",'Trial Rows'!$K$2:$K$201,"&gt;=0",'Trial Rows'!$K$2:$K$201,"&lt;=4",'Trial Rows'!$K$2:$K$201,"&lt;&gt;")=1),SUMIFS('Trial Rows'!$K$2:$K$201,'Trial Rows'!$B$2:$B$201,'Trial Rows'!B90,'Trial Rows'!$C$2:$C$201,'Trial Rows'!C90,'Trial Rows'!$F$2:$F$201,'Trial Rows'!F90,'Trial Rows'!$I$2:$I$201,'Trial Rows'!I90,'Trial Rows'!$Y$2:$Y$201,'Trial Rows'!Y90,'Trial Rows'!$G$2:$G$201,"A"),"")</x:f>
      </x:c>
      <x:c r="F90" s="2" t="n">
        <x:f>IF(AND(B90=1,'Trial Rows'!G90="B",C90=1,D90=1,ISNUMBER(E90),ISNUMBER('Trial Rows'!M90),'Trial Rows'!M90&gt;=0,'Trial Rows'!M90&lt;=4,'Trial Rows'!Q90=0,'Trial Rows'!S90=0),1,0)</x:f>
        <x:v>0</x:v>
      </x:c>
      <x:c r="G90" s="2" t="n">
        <x:f>IF(F90=1,IF(E90='Trial Rows'!M90,1,0),0)</x:f>
        <x:v>0</x:v>
      </x:c>
      <x:c r="H90" s="2" t="n">
        <x:f>IF(AND(B90=1,'Trial Rows'!G90="B",C90=1,D90=1,ISNUMBER(E90),'Trial Rows'!R90=1,'Trial Rows'!Q90=0,'Trial Rows'!S90=0,ISNUMBER('Trial Rows'!L90),'Trial Rows'!L90&gt;=0,'Trial Rows'!L90&lt;=4),1,0)</x:f>
        <x:v>0</x:v>
      </x:c>
      <x:c r="I90" s="2" t="n">
        <x:f>IF(H90=1,IF(E90='Trial Rows'!L90,1,0),0)</x:f>
        <x:v>0</x:v>
      </x:c>
      <x:c r="J90" s="2" t="n">
        <x:f>IF(AND(B90=1,'Trial Rows'!G90="B",'Trial Rows'!P90&gt;0),1,0)</x:f>
        <x:v>0</x:v>
      </x:c>
      <x:c r="K90" s="2" t="n">
        <x:f>IF(AND(B90=1,'Trial Rows'!G90="B",'Trial Rows'!Q90=1),1,0)</x:f>
        <x:v>0</x:v>
      </x:c>
      <x:c r="L90" s="2" t="n">
        <x:f>IF(AND(B90=1,'Trial Rows'!G90="B",'Trial Rows'!R90=1,'Trial Rows'!Q90=0,'Trial Rows'!S90=0),1,0)</x:f>
        <x:v>0</x:v>
      </x:c>
      <x:c r="M90" s="2" t="n">
        <x:f>IF(AND(B90=1,'Trial Rows'!G90="B"),1,0)</x:f>
        <x:v>0</x:v>
      </x:c>
      <x:c r="N90" s="2" t="n">
        <x:f>IF(AND(B90=1,'Trial Rows'!I90=1,COUNTIFS('Trial Rows'!$B$2:$B$201,'Trial Rows'!B90,'Trial Rows'!$C$2:$C$201,'Trial Rows'!C90,'Trial Rows'!$F$2:$F$201,'Trial Rows'!F90,'Trial Rows'!$G$2:$G$201,'Trial Rows'!G90,'Trial Rows'!$Y$2:$Y$201,'Trial Rows'!Y90)=4,COUNTIFS('Trial Rows'!$B$2:$B$201,'Trial Rows'!B90,'Trial Rows'!$C$2:$C$201,'Trial Rows'!C90,'Trial Rows'!$F$2:$F$201,'Trial Rows'!F90,'Trial Rows'!$G$2:$G$201,'Trial Rows'!G90,'Trial Rows'!$Y$2:$Y$201,'Trial Rows'!Y90,'Trial Rows'!$I$2:$I$201,1)=1,COUNTIFS('Trial Rows'!$B$2:$B$201,'Trial Rows'!B90,'Trial Rows'!$C$2:$C$201,'Trial Rows'!C90,'Trial Rows'!$F$2:$F$201,'Trial Rows'!F90,'Trial Rows'!$G$2:$G$201,'Trial Rows'!G90,'Trial Rows'!$Y$2:$Y$201,'Trial Rows'!Y90,'Trial Rows'!$I$2:$I$201,2)=1,COUNTIFS('Trial Rows'!$B$2:$B$201,'Trial Rows'!B90,'Trial Rows'!$C$2:$C$201,'Trial Rows'!C90,'Trial Rows'!$F$2:$F$201,'Trial Rows'!F90,'Trial Rows'!$G$2:$G$201,'Trial Rows'!G90,'Trial Rows'!$Y$2:$Y$201,'Trial Rows'!Y90,'Trial Rows'!$I$2:$I$201,3)=1,COUNTIFS('Trial Rows'!$B$2:$B$201,'Trial Rows'!B90,'Trial Rows'!$C$2:$C$201,'Trial Rows'!C90,'Trial Rows'!$F$2:$F$201,'Trial Rows'!F90,'Trial Rows'!$G$2:$G$201,'Trial Rows'!G90,'Trial Rows'!$Y$2:$Y$201,'Trial Rows'!Y90,'Trial Rows'!$I$2:$I$201,4)=1,COUNTIFS('Trial Rows'!$B$2:$B$201,'Trial Rows'!B90,'Trial Rows'!$C$2:$C$201,'Trial Rows'!C90,'Trial Rows'!$F$2:$F$201,'Trial Rows'!F90,'Trial Rows'!$G$2:$G$201,'Trial Rows'!G90,'Trial Rows'!$Y$2:$Y$201,'Trial Rows'!Y90,'Trial Rows'!$W$2:$W$201,"&lt;&gt;")=4,ISNUMBER('Trial Rows'!U90),COUNTIFS('Trial Rows'!$B$2:$B$201,'Trial Rows'!B90,'Trial Rows'!$C$2:$C$201,'Trial Rows'!C90,'Trial Rows'!$F$2:$F$201,'Trial Rows'!F90,'Trial Rows'!$G$2:$G$201,'Trial Rows'!G90,'Trial Rows'!$Y$2:$Y$201,'Trial Rows'!Y90,'Trial Rows'!$U$2:$U$201,'Trial Rows'!U90)=4,'Trial Rows'!U90&gt;=0),1,0)</x:f>
        <x:v>0</x:v>
      </x:c>
      <x:c r="O90" s="2" t="str">
        <x:f>IF(N90=1,'Trial Rows'!U90/1000,"")</x:f>
      </x:c>
      <x:c r="P90" s="2" t="str">
        <x:f>IF(AND(N90=1,'Trial Rows'!G90="A"),O90,"")</x:f>
      </x:c>
      <x:c r="Q90" s="2" t="str">
        <x:f>IF(AND(N90=1,'Trial Rows'!G90="B"),O90,"")</x:f>
      </x:c>
      <x:c r="R90" s="2" t="str">
        <x:f>IF(AND(N90=1,COUNTIFS('Trial Rows'!$B$2:$B$201,'Trial Rows'!B90,'Trial Rows'!$C$2:$C$201,'Trial Rows'!C90,'Trial Rows'!$F$2:$F$201,'Trial Rows'!F90,'Trial Rows'!$G$2:$G$201,'Trial Rows'!G90,'Trial Rows'!$Y$2:$Y$201,'Trial Rows'!Y90,'Trial Rows'!$N$2:$N$201,"&gt;=0",'Trial Rows'!$N$2:$N$201,"&lt;=4",'Trial Rows'!$N$2:$N$201,"&lt;&gt;")=4),SUMIFS('Trial Rows'!$N$2:$N$201,'Trial Rows'!$B$2:$B$201,'Trial Rows'!B90,'Trial Rows'!$C$2:$C$201,'Trial Rows'!C90,'Trial Rows'!$F$2:$F$201,'Trial Rows'!F90,'Trial Rows'!$G$2:$G$201,'Trial Rows'!G90,'Trial Rows'!$Y$2:$Y$201,'Trial Rows'!Y90,'Trial Rows'!$I$2:$I$201,1)+4-SUMIFS('Trial Rows'!$N$2:$N$201,'Trial Rows'!$B$2:$B$201,'Trial Rows'!B90,'Trial Rows'!$C$2:$C$201,'Trial Rows'!C90,'Trial Rows'!$F$2:$F$201,'Trial Rows'!F90,'Trial Rows'!$G$2:$G$201,'Trial Rows'!G90,'Trial Rows'!$Y$2:$Y$201,'Trial Rows'!Y90,'Trial Rows'!$I$2:$I$201,2)+4-SUMIFS('Trial Rows'!$N$2:$N$201,'Trial Rows'!$B$2:$B$201,'Trial Rows'!B90,'Trial Rows'!$C$2:$C$201,'Trial Rows'!C90,'Trial Rows'!$F$2:$F$201,'Trial Rows'!F90,'Trial Rows'!$G$2:$G$201,'Trial Rows'!G90,'Trial Rows'!$Y$2:$Y$201,'Trial Rows'!Y90,'Trial Rows'!$I$2:$I$201,3)+SUMIFS('Trial Rows'!$N$2:$N$201,'Trial Rows'!$B$2:$B$201,'Trial Rows'!B90,'Trial Rows'!$C$2:$C$201,'Trial Rows'!C90,'Trial Rows'!$F$2:$F$201,'Trial Rows'!F90,'Trial Rows'!$G$2:$G$201,'Trial Rows'!G90,'Trial Rows'!$Y$2:$Y$201,'Trial Rows'!Y90,'Trial Rows'!$I$2:$I$201,4),"")</x:f>
      </x:c>
      <x:c r="S90" s="2" t="n">
        <x:f>IF(AND(B90=1,COUNTIFS('Trial Rows'!$C$2:C90,'Trial Rows'!C90,'Trial Rows'!$F$2:F90,Summary!$B$5,'Trial Rows'!$Y$2:Y90,Summary!$B$4)=1),1,0)</x:f>
        <x:v>0</x:v>
      </x:c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 t="str">
        <x:f>IF('Trial Rows'!A91="","",'Trial Rows'!F91&amp;"|"&amp;'Trial Rows'!B91&amp;"|"&amp;'Trial Rows'!C91&amp;"|"&amp;'Trial Rows'!I91)</x:f>
      </x:c>
      <x:c r="B91" s="2" t="n">
        <x:f>IF(AND('Trial Rows'!A91&lt;&gt;"",'Trial Rows'!Y91=Summary!$B$4,'Trial Rows'!F91=Summary!$B$5),1,0)</x:f>
        <x:v>0</x:v>
      </x:c>
      <x:c r="C91" s="2" t="n">
        <x:f>IF(B91=1,COUNTIFS('Trial Rows'!$B$2:$B$201,'Trial Rows'!B91,'Trial Rows'!$C$2:$C$201,'Trial Rows'!C91,'Trial Rows'!$F$2:$F$201,'Trial Rows'!F91,'Trial Rows'!$I$2:$I$201,'Trial Rows'!I91,'Trial Rows'!$Y$2:$Y$201,'Trial Rows'!Y91,'Trial Rows'!$G$2:$G$201,"A"),0)</x:f>
        <x:v>0</x:v>
      </x:c>
      <x:c r="D91" s="2" t="n">
        <x:f>IF(B91=1,COUNTIFS('Trial Rows'!$B$2:$B$201,'Trial Rows'!B91,'Trial Rows'!$C$2:$C$201,'Trial Rows'!C91,'Trial Rows'!$F$2:$F$201,'Trial Rows'!F91,'Trial Rows'!$I$2:$I$201,'Trial Rows'!I91,'Trial Rows'!$Y$2:$Y$201,'Trial Rows'!Y91,'Trial Rows'!$G$2:$G$201,"B"),0)</x:f>
        <x:v>0</x:v>
      </x:c>
      <x:c r="E91" s="2" t="str">
        <x:f>IF(AND(C91=1,COUNTIFS('Trial Rows'!$B$2:$B$201,'Trial Rows'!B91,'Trial Rows'!$C$2:$C$201,'Trial Rows'!C91,'Trial Rows'!$F$2:$F$201,'Trial Rows'!F91,'Trial Rows'!$I$2:$I$201,'Trial Rows'!I91,'Trial Rows'!$Y$2:$Y$201,'Trial Rows'!Y91,'Trial Rows'!$G$2:$G$201,"A",'Trial Rows'!$K$2:$K$201,"&gt;=0",'Trial Rows'!$K$2:$K$201,"&lt;=4",'Trial Rows'!$K$2:$K$201,"&lt;&gt;")=1),SUMIFS('Trial Rows'!$K$2:$K$201,'Trial Rows'!$B$2:$B$201,'Trial Rows'!B91,'Trial Rows'!$C$2:$C$201,'Trial Rows'!C91,'Trial Rows'!$F$2:$F$201,'Trial Rows'!F91,'Trial Rows'!$I$2:$I$201,'Trial Rows'!I91,'Trial Rows'!$Y$2:$Y$201,'Trial Rows'!Y91,'Trial Rows'!$G$2:$G$201,"A"),"")</x:f>
      </x:c>
      <x:c r="F91" s="2" t="n">
        <x:f>IF(AND(B91=1,'Trial Rows'!G91="B",C91=1,D91=1,ISNUMBER(E91),ISNUMBER('Trial Rows'!M91),'Trial Rows'!M91&gt;=0,'Trial Rows'!M91&lt;=4,'Trial Rows'!Q91=0,'Trial Rows'!S91=0),1,0)</x:f>
        <x:v>0</x:v>
      </x:c>
      <x:c r="G91" s="2" t="n">
        <x:f>IF(F91=1,IF(E91='Trial Rows'!M91,1,0),0)</x:f>
        <x:v>0</x:v>
      </x:c>
      <x:c r="H91" s="2" t="n">
        <x:f>IF(AND(B91=1,'Trial Rows'!G91="B",C91=1,D91=1,ISNUMBER(E91),'Trial Rows'!R91=1,'Trial Rows'!Q91=0,'Trial Rows'!S91=0,ISNUMBER('Trial Rows'!L91),'Trial Rows'!L91&gt;=0,'Trial Rows'!L91&lt;=4),1,0)</x:f>
        <x:v>0</x:v>
      </x:c>
      <x:c r="I91" s="2" t="n">
        <x:f>IF(H91=1,IF(E91='Trial Rows'!L91,1,0),0)</x:f>
        <x:v>0</x:v>
      </x:c>
      <x:c r="J91" s="2" t="n">
        <x:f>IF(AND(B91=1,'Trial Rows'!G91="B",'Trial Rows'!P91&gt;0),1,0)</x:f>
        <x:v>0</x:v>
      </x:c>
      <x:c r="K91" s="2" t="n">
        <x:f>IF(AND(B91=1,'Trial Rows'!G91="B",'Trial Rows'!Q91=1),1,0)</x:f>
        <x:v>0</x:v>
      </x:c>
      <x:c r="L91" s="2" t="n">
        <x:f>IF(AND(B91=1,'Trial Rows'!G91="B",'Trial Rows'!R91=1,'Trial Rows'!Q91=0,'Trial Rows'!S91=0),1,0)</x:f>
        <x:v>0</x:v>
      </x:c>
      <x:c r="M91" s="2" t="n">
        <x:f>IF(AND(B91=1,'Trial Rows'!G91="B"),1,0)</x:f>
        <x:v>0</x:v>
      </x:c>
      <x:c r="N91" s="2" t="n">
        <x:f>IF(AND(B91=1,'Trial Rows'!I91=1,COUNTIFS('Trial Rows'!$B$2:$B$201,'Trial Rows'!B91,'Trial Rows'!$C$2:$C$201,'Trial Rows'!C91,'Trial Rows'!$F$2:$F$201,'Trial Rows'!F91,'Trial Rows'!$G$2:$G$201,'Trial Rows'!G91,'Trial Rows'!$Y$2:$Y$201,'Trial Rows'!Y91)=4,COUNTIFS('Trial Rows'!$B$2:$B$201,'Trial Rows'!B91,'Trial Rows'!$C$2:$C$201,'Trial Rows'!C91,'Trial Rows'!$F$2:$F$201,'Trial Rows'!F91,'Trial Rows'!$G$2:$G$201,'Trial Rows'!G91,'Trial Rows'!$Y$2:$Y$201,'Trial Rows'!Y91,'Trial Rows'!$I$2:$I$201,1)=1,COUNTIFS('Trial Rows'!$B$2:$B$201,'Trial Rows'!B91,'Trial Rows'!$C$2:$C$201,'Trial Rows'!C91,'Trial Rows'!$F$2:$F$201,'Trial Rows'!F91,'Trial Rows'!$G$2:$G$201,'Trial Rows'!G91,'Trial Rows'!$Y$2:$Y$201,'Trial Rows'!Y91,'Trial Rows'!$I$2:$I$201,2)=1,COUNTIFS('Trial Rows'!$B$2:$B$201,'Trial Rows'!B91,'Trial Rows'!$C$2:$C$201,'Trial Rows'!C91,'Trial Rows'!$F$2:$F$201,'Trial Rows'!F91,'Trial Rows'!$G$2:$G$201,'Trial Rows'!G91,'Trial Rows'!$Y$2:$Y$201,'Trial Rows'!Y91,'Trial Rows'!$I$2:$I$201,3)=1,COUNTIFS('Trial Rows'!$B$2:$B$201,'Trial Rows'!B91,'Trial Rows'!$C$2:$C$201,'Trial Rows'!C91,'Trial Rows'!$F$2:$F$201,'Trial Rows'!F91,'Trial Rows'!$G$2:$G$201,'Trial Rows'!G91,'Trial Rows'!$Y$2:$Y$201,'Trial Rows'!Y91,'Trial Rows'!$I$2:$I$201,4)=1,COUNTIFS('Trial Rows'!$B$2:$B$201,'Trial Rows'!B91,'Trial Rows'!$C$2:$C$201,'Trial Rows'!C91,'Trial Rows'!$F$2:$F$201,'Trial Rows'!F91,'Trial Rows'!$G$2:$G$201,'Trial Rows'!G91,'Trial Rows'!$Y$2:$Y$201,'Trial Rows'!Y91,'Trial Rows'!$W$2:$W$201,"&lt;&gt;")=4,ISNUMBER('Trial Rows'!U91),COUNTIFS('Trial Rows'!$B$2:$B$201,'Trial Rows'!B91,'Trial Rows'!$C$2:$C$201,'Trial Rows'!C91,'Trial Rows'!$F$2:$F$201,'Trial Rows'!F91,'Trial Rows'!$G$2:$G$201,'Trial Rows'!G91,'Trial Rows'!$Y$2:$Y$201,'Trial Rows'!Y91,'Trial Rows'!$U$2:$U$201,'Trial Rows'!U91)=4,'Trial Rows'!U91&gt;=0),1,0)</x:f>
        <x:v>0</x:v>
      </x:c>
      <x:c r="O91" s="2" t="str">
        <x:f>IF(N91=1,'Trial Rows'!U91/1000,"")</x:f>
      </x:c>
      <x:c r="P91" s="2" t="str">
        <x:f>IF(AND(N91=1,'Trial Rows'!G91="A"),O91,"")</x:f>
      </x:c>
      <x:c r="Q91" s="2" t="str">
        <x:f>IF(AND(N91=1,'Trial Rows'!G91="B"),O91,"")</x:f>
      </x:c>
      <x:c r="R91" s="2" t="str">
        <x:f>IF(AND(N91=1,COUNTIFS('Trial Rows'!$B$2:$B$201,'Trial Rows'!B91,'Trial Rows'!$C$2:$C$201,'Trial Rows'!C91,'Trial Rows'!$F$2:$F$201,'Trial Rows'!F91,'Trial Rows'!$G$2:$G$201,'Trial Rows'!G91,'Trial Rows'!$Y$2:$Y$201,'Trial Rows'!Y91,'Trial Rows'!$N$2:$N$201,"&gt;=0",'Trial Rows'!$N$2:$N$201,"&lt;=4",'Trial Rows'!$N$2:$N$201,"&lt;&gt;")=4),SUMIFS('Trial Rows'!$N$2:$N$201,'Trial Rows'!$B$2:$B$201,'Trial Rows'!B91,'Trial Rows'!$C$2:$C$201,'Trial Rows'!C91,'Trial Rows'!$F$2:$F$201,'Trial Rows'!F91,'Trial Rows'!$G$2:$G$201,'Trial Rows'!G91,'Trial Rows'!$Y$2:$Y$201,'Trial Rows'!Y91,'Trial Rows'!$I$2:$I$201,1)+4-SUMIFS('Trial Rows'!$N$2:$N$201,'Trial Rows'!$B$2:$B$201,'Trial Rows'!B91,'Trial Rows'!$C$2:$C$201,'Trial Rows'!C91,'Trial Rows'!$F$2:$F$201,'Trial Rows'!F91,'Trial Rows'!$G$2:$G$201,'Trial Rows'!G91,'Trial Rows'!$Y$2:$Y$201,'Trial Rows'!Y91,'Trial Rows'!$I$2:$I$201,2)+4-SUMIFS('Trial Rows'!$N$2:$N$201,'Trial Rows'!$B$2:$B$201,'Trial Rows'!B91,'Trial Rows'!$C$2:$C$201,'Trial Rows'!C91,'Trial Rows'!$F$2:$F$201,'Trial Rows'!F91,'Trial Rows'!$G$2:$G$201,'Trial Rows'!G91,'Trial Rows'!$Y$2:$Y$201,'Trial Rows'!Y91,'Trial Rows'!$I$2:$I$201,3)+SUMIFS('Trial Rows'!$N$2:$N$201,'Trial Rows'!$B$2:$B$201,'Trial Rows'!B91,'Trial Rows'!$C$2:$C$201,'Trial Rows'!C91,'Trial Rows'!$F$2:$F$201,'Trial Rows'!F91,'Trial Rows'!$G$2:$G$201,'Trial Rows'!G91,'Trial Rows'!$Y$2:$Y$201,'Trial Rows'!Y91,'Trial Rows'!$I$2:$I$201,4),"")</x:f>
      </x:c>
      <x:c r="S91" s="2" t="n">
        <x:f>IF(AND(B91=1,COUNTIFS('Trial Rows'!$C$2:C91,'Trial Rows'!C91,'Trial Rows'!$F$2:F91,Summary!$B$5,'Trial Rows'!$Y$2:Y91,Summary!$B$4)=1),1,0)</x:f>
        <x:v>0</x:v>
      </x:c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 t="str">
        <x:f>IF('Trial Rows'!A92="","",'Trial Rows'!F92&amp;"|"&amp;'Trial Rows'!B92&amp;"|"&amp;'Trial Rows'!C92&amp;"|"&amp;'Trial Rows'!I92)</x:f>
      </x:c>
      <x:c r="B92" s="2" t="n">
        <x:f>IF(AND('Trial Rows'!A92&lt;&gt;"",'Trial Rows'!Y92=Summary!$B$4,'Trial Rows'!F92=Summary!$B$5),1,0)</x:f>
        <x:v>0</x:v>
      </x:c>
      <x:c r="C92" s="2" t="n">
        <x:f>IF(B92=1,COUNTIFS('Trial Rows'!$B$2:$B$201,'Trial Rows'!B92,'Trial Rows'!$C$2:$C$201,'Trial Rows'!C92,'Trial Rows'!$F$2:$F$201,'Trial Rows'!F92,'Trial Rows'!$I$2:$I$201,'Trial Rows'!I92,'Trial Rows'!$Y$2:$Y$201,'Trial Rows'!Y92,'Trial Rows'!$G$2:$G$201,"A"),0)</x:f>
        <x:v>0</x:v>
      </x:c>
      <x:c r="D92" s="2" t="n">
        <x:f>IF(B92=1,COUNTIFS('Trial Rows'!$B$2:$B$201,'Trial Rows'!B92,'Trial Rows'!$C$2:$C$201,'Trial Rows'!C92,'Trial Rows'!$F$2:$F$201,'Trial Rows'!F92,'Trial Rows'!$I$2:$I$201,'Trial Rows'!I92,'Trial Rows'!$Y$2:$Y$201,'Trial Rows'!Y92,'Trial Rows'!$G$2:$G$201,"B"),0)</x:f>
        <x:v>0</x:v>
      </x:c>
      <x:c r="E92" s="2" t="str">
        <x:f>IF(AND(C92=1,COUNTIFS('Trial Rows'!$B$2:$B$201,'Trial Rows'!B92,'Trial Rows'!$C$2:$C$201,'Trial Rows'!C92,'Trial Rows'!$F$2:$F$201,'Trial Rows'!F92,'Trial Rows'!$I$2:$I$201,'Trial Rows'!I92,'Trial Rows'!$Y$2:$Y$201,'Trial Rows'!Y92,'Trial Rows'!$G$2:$G$201,"A",'Trial Rows'!$K$2:$K$201,"&gt;=0",'Trial Rows'!$K$2:$K$201,"&lt;=4",'Trial Rows'!$K$2:$K$201,"&lt;&gt;")=1),SUMIFS('Trial Rows'!$K$2:$K$201,'Trial Rows'!$B$2:$B$201,'Trial Rows'!B92,'Trial Rows'!$C$2:$C$201,'Trial Rows'!C92,'Trial Rows'!$F$2:$F$201,'Trial Rows'!F92,'Trial Rows'!$I$2:$I$201,'Trial Rows'!I92,'Trial Rows'!$Y$2:$Y$201,'Trial Rows'!Y92,'Trial Rows'!$G$2:$G$201,"A"),"")</x:f>
      </x:c>
      <x:c r="F92" s="2" t="n">
        <x:f>IF(AND(B92=1,'Trial Rows'!G92="B",C92=1,D92=1,ISNUMBER(E92),ISNUMBER('Trial Rows'!M92),'Trial Rows'!M92&gt;=0,'Trial Rows'!M92&lt;=4,'Trial Rows'!Q92=0,'Trial Rows'!S92=0),1,0)</x:f>
        <x:v>0</x:v>
      </x:c>
      <x:c r="G92" s="2" t="n">
        <x:f>IF(F92=1,IF(E92='Trial Rows'!M92,1,0),0)</x:f>
        <x:v>0</x:v>
      </x:c>
      <x:c r="H92" s="2" t="n">
        <x:f>IF(AND(B92=1,'Trial Rows'!G92="B",C92=1,D92=1,ISNUMBER(E92),'Trial Rows'!R92=1,'Trial Rows'!Q92=0,'Trial Rows'!S92=0,ISNUMBER('Trial Rows'!L92),'Trial Rows'!L92&gt;=0,'Trial Rows'!L92&lt;=4),1,0)</x:f>
        <x:v>0</x:v>
      </x:c>
      <x:c r="I92" s="2" t="n">
        <x:f>IF(H92=1,IF(E92='Trial Rows'!L92,1,0),0)</x:f>
        <x:v>0</x:v>
      </x:c>
      <x:c r="J92" s="2" t="n">
        <x:f>IF(AND(B92=1,'Trial Rows'!G92="B",'Trial Rows'!P92&gt;0),1,0)</x:f>
        <x:v>0</x:v>
      </x:c>
      <x:c r="K92" s="2" t="n">
        <x:f>IF(AND(B92=1,'Trial Rows'!G92="B",'Trial Rows'!Q92=1),1,0)</x:f>
        <x:v>0</x:v>
      </x:c>
      <x:c r="L92" s="2" t="n">
        <x:f>IF(AND(B92=1,'Trial Rows'!G92="B",'Trial Rows'!R92=1,'Trial Rows'!Q92=0,'Trial Rows'!S92=0),1,0)</x:f>
        <x:v>0</x:v>
      </x:c>
      <x:c r="M92" s="2" t="n">
        <x:f>IF(AND(B92=1,'Trial Rows'!G92="B"),1,0)</x:f>
        <x:v>0</x:v>
      </x:c>
      <x:c r="N92" s="2" t="n">
        <x:f>IF(AND(B92=1,'Trial Rows'!I92=1,COUNTIFS('Trial Rows'!$B$2:$B$201,'Trial Rows'!B92,'Trial Rows'!$C$2:$C$201,'Trial Rows'!C92,'Trial Rows'!$F$2:$F$201,'Trial Rows'!F92,'Trial Rows'!$G$2:$G$201,'Trial Rows'!G92,'Trial Rows'!$Y$2:$Y$201,'Trial Rows'!Y92)=4,COUNTIFS('Trial Rows'!$B$2:$B$201,'Trial Rows'!B92,'Trial Rows'!$C$2:$C$201,'Trial Rows'!C92,'Trial Rows'!$F$2:$F$201,'Trial Rows'!F92,'Trial Rows'!$G$2:$G$201,'Trial Rows'!G92,'Trial Rows'!$Y$2:$Y$201,'Trial Rows'!Y92,'Trial Rows'!$I$2:$I$201,1)=1,COUNTIFS('Trial Rows'!$B$2:$B$201,'Trial Rows'!B92,'Trial Rows'!$C$2:$C$201,'Trial Rows'!C92,'Trial Rows'!$F$2:$F$201,'Trial Rows'!F92,'Trial Rows'!$G$2:$G$201,'Trial Rows'!G92,'Trial Rows'!$Y$2:$Y$201,'Trial Rows'!Y92,'Trial Rows'!$I$2:$I$201,2)=1,COUNTIFS('Trial Rows'!$B$2:$B$201,'Trial Rows'!B92,'Trial Rows'!$C$2:$C$201,'Trial Rows'!C92,'Trial Rows'!$F$2:$F$201,'Trial Rows'!F92,'Trial Rows'!$G$2:$G$201,'Trial Rows'!G92,'Trial Rows'!$Y$2:$Y$201,'Trial Rows'!Y92,'Trial Rows'!$I$2:$I$201,3)=1,COUNTIFS('Trial Rows'!$B$2:$B$201,'Trial Rows'!B92,'Trial Rows'!$C$2:$C$201,'Trial Rows'!C92,'Trial Rows'!$F$2:$F$201,'Trial Rows'!F92,'Trial Rows'!$G$2:$G$201,'Trial Rows'!G92,'Trial Rows'!$Y$2:$Y$201,'Trial Rows'!Y92,'Trial Rows'!$I$2:$I$201,4)=1,COUNTIFS('Trial Rows'!$B$2:$B$201,'Trial Rows'!B92,'Trial Rows'!$C$2:$C$201,'Trial Rows'!C92,'Trial Rows'!$F$2:$F$201,'Trial Rows'!F92,'Trial Rows'!$G$2:$G$201,'Trial Rows'!G92,'Trial Rows'!$Y$2:$Y$201,'Trial Rows'!Y92,'Trial Rows'!$W$2:$W$201,"&lt;&gt;")=4,ISNUMBER('Trial Rows'!U92),COUNTIFS('Trial Rows'!$B$2:$B$201,'Trial Rows'!B92,'Trial Rows'!$C$2:$C$201,'Trial Rows'!C92,'Trial Rows'!$F$2:$F$201,'Trial Rows'!F92,'Trial Rows'!$G$2:$G$201,'Trial Rows'!G92,'Trial Rows'!$Y$2:$Y$201,'Trial Rows'!Y92,'Trial Rows'!$U$2:$U$201,'Trial Rows'!U92)=4,'Trial Rows'!U92&gt;=0),1,0)</x:f>
        <x:v>0</x:v>
      </x:c>
      <x:c r="O92" s="2" t="str">
        <x:f>IF(N92=1,'Trial Rows'!U92/1000,"")</x:f>
      </x:c>
      <x:c r="P92" s="2" t="str">
        <x:f>IF(AND(N92=1,'Trial Rows'!G92="A"),O92,"")</x:f>
      </x:c>
      <x:c r="Q92" s="2" t="str">
        <x:f>IF(AND(N92=1,'Trial Rows'!G92="B"),O92,"")</x:f>
      </x:c>
      <x:c r="R92" s="2" t="str">
        <x:f>IF(AND(N92=1,COUNTIFS('Trial Rows'!$B$2:$B$201,'Trial Rows'!B92,'Trial Rows'!$C$2:$C$201,'Trial Rows'!C92,'Trial Rows'!$F$2:$F$201,'Trial Rows'!F92,'Trial Rows'!$G$2:$G$201,'Trial Rows'!G92,'Trial Rows'!$Y$2:$Y$201,'Trial Rows'!Y92,'Trial Rows'!$N$2:$N$201,"&gt;=0",'Trial Rows'!$N$2:$N$201,"&lt;=4",'Trial Rows'!$N$2:$N$201,"&lt;&gt;")=4),SUMIFS('Trial Rows'!$N$2:$N$201,'Trial Rows'!$B$2:$B$201,'Trial Rows'!B92,'Trial Rows'!$C$2:$C$201,'Trial Rows'!C92,'Trial Rows'!$F$2:$F$201,'Trial Rows'!F92,'Trial Rows'!$G$2:$G$201,'Trial Rows'!G92,'Trial Rows'!$Y$2:$Y$201,'Trial Rows'!Y92,'Trial Rows'!$I$2:$I$201,1)+4-SUMIFS('Trial Rows'!$N$2:$N$201,'Trial Rows'!$B$2:$B$201,'Trial Rows'!B92,'Trial Rows'!$C$2:$C$201,'Trial Rows'!C92,'Trial Rows'!$F$2:$F$201,'Trial Rows'!F92,'Trial Rows'!$G$2:$G$201,'Trial Rows'!G92,'Trial Rows'!$Y$2:$Y$201,'Trial Rows'!Y92,'Trial Rows'!$I$2:$I$201,2)+4-SUMIFS('Trial Rows'!$N$2:$N$201,'Trial Rows'!$B$2:$B$201,'Trial Rows'!B92,'Trial Rows'!$C$2:$C$201,'Trial Rows'!C92,'Trial Rows'!$F$2:$F$201,'Trial Rows'!F92,'Trial Rows'!$G$2:$G$201,'Trial Rows'!G92,'Trial Rows'!$Y$2:$Y$201,'Trial Rows'!Y92,'Trial Rows'!$I$2:$I$201,3)+SUMIFS('Trial Rows'!$N$2:$N$201,'Trial Rows'!$B$2:$B$201,'Trial Rows'!B92,'Trial Rows'!$C$2:$C$201,'Trial Rows'!C92,'Trial Rows'!$F$2:$F$201,'Trial Rows'!F92,'Trial Rows'!$G$2:$G$201,'Trial Rows'!G92,'Trial Rows'!$Y$2:$Y$201,'Trial Rows'!Y92,'Trial Rows'!$I$2:$I$201,4),"")</x:f>
      </x:c>
      <x:c r="S92" s="2" t="n">
        <x:f>IF(AND(B92=1,COUNTIFS('Trial Rows'!$C$2:C92,'Trial Rows'!C92,'Trial Rows'!$F$2:F92,Summary!$B$5,'Trial Rows'!$Y$2:Y92,Summary!$B$4)=1),1,0)</x:f>
        <x:v>0</x:v>
      </x:c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 t="str">
        <x:f>IF('Trial Rows'!A93="","",'Trial Rows'!F93&amp;"|"&amp;'Trial Rows'!B93&amp;"|"&amp;'Trial Rows'!C93&amp;"|"&amp;'Trial Rows'!I93)</x:f>
      </x:c>
      <x:c r="B93" s="2" t="n">
        <x:f>IF(AND('Trial Rows'!A93&lt;&gt;"",'Trial Rows'!Y93=Summary!$B$4,'Trial Rows'!F93=Summary!$B$5),1,0)</x:f>
        <x:v>0</x:v>
      </x:c>
      <x:c r="C93" s="2" t="n">
        <x:f>IF(B93=1,COUNTIFS('Trial Rows'!$B$2:$B$201,'Trial Rows'!B93,'Trial Rows'!$C$2:$C$201,'Trial Rows'!C93,'Trial Rows'!$F$2:$F$201,'Trial Rows'!F93,'Trial Rows'!$I$2:$I$201,'Trial Rows'!I93,'Trial Rows'!$Y$2:$Y$201,'Trial Rows'!Y93,'Trial Rows'!$G$2:$G$201,"A"),0)</x:f>
        <x:v>0</x:v>
      </x:c>
      <x:c r="D93" s="2" t="n">
        <x:f>IF(B93=1,COUNTIFS('Trial Rows'!$B$2:$B$201,'Trial Rows'!B93,'Trial Rows'!$C$2:$C$201,'Trial Rows'!C93,'Trial Rows'!$F$2:$F$201,'Trial Rows'!F93,'Trial Rows'!$I$2:$I$201,'Trial Rows'!I93,'Trial Rows'!$Y$2:$Y$201,'Trial Rows'!Y93,'Trial Rows'!$G$2:$G$201,"B"),0)</x:f>
        <x:v>0</x:v>
      </x:c>
      <x:c r="E93" s="2" t="str">
        <x:f>IF(AND(C93=1,COUNTIFS('Trial Rows'!$B$2:$B$201,'Trial Rows'!B93,'Trial Rows'!$C$2:$C$201,'Trial Rows'!C93,'Trial Rows'!$F$2:$F$201,'Trial Rows'!F93,'Trial Rows'!$I$2:$I$201,'Trial Rows'!I93,'Trial Rows'!$Y$2:$Y$201,'Trial Rows'!Y93,'Trial Rows'!$G$2:$G$201,"A",'Trial Rows'!$K$2:$K$201,"&gt;=0",'Trial Rows'!$K$2:$K$201,"&lt;=4",'Trial Rows'!$K$2:$K$201,"&lt;&gt;")=1),SUMIFS('Trial Rows'!$K$2:$K$201,'Trial Rows'!$B$2:$B$201,'Trial Rows'!B93,'Trial Rows'!$C$2:$C$201,'Trial Rows'!C93,'Trial Rows'!$F$2:$F$201,'Trial Rows'!F93,'Trial Rows'!$I$2:$I$201,'Trial Rows'!I93,'Trial Rows'!$Y$2:$Y$201,'Trial Rows'!Y93,'Trial Rows'!$G$2:$G$201,"A"),"")</x:f>
      </x:c>
      <x:c r="F93" s="2" t="n">
        <x:f>IF(AND(B93=1,'Trial Rows'!G93="B",C93=1,D93=1,ISNUMBER(E93),ISNUMBER('Trial Rows'!M93),'Trial Rows'!M93&gt;=0,'Trial Rows'!M93&lt;=4,'Trial Rows'!Q93=0,'Trial Rows'!S93=0),1,0)</x:f>
        <x:v>0</x:v>
      </x:c>
      <x:c r="G93" s="2" t="n">
        <x:f>IF(F93=1,IF(E93='Trial Rows'!M93,1,0),0)</x:f>
        <x:v>0</x:v>
      </x:c>
      <x:c r="H93" s="2" t="n">
        <x:f>IF(AND(B93=1,'Trial Rows'!G93="B",C93=1,D93=1,ISNUMBER(E93),'Trial Rows'!R93=1,'Trial Rows'!Q93=0,'Trial Rows'!S93=0,ISNUMBER('Trial Rows'!L93),'Trial Rows'!L93&gt;=0,'Trial Rows'!L93&lt;=4),1,0)</x:f>
        <x:v>0</x:v>
      </x:c>
      <x:c r="I93" s="2" t="n">
        <x:f>IF(H93=1,IF(E93='Trial Rows'!L93,1,0),0)</x:f>
        <x:v>0</x:v>
      </x:c>
      <x:c r="J93" s="2" t="n">
        <x:f>IF(AND(B93=1,'Trial Rows'!G93="B",'Trial Rows'!P93&gt;0),1,0)</x:f>
        <x:v>0</x:v>
      </x:c>
      <x:c r="K93" s="2" t="n">
        <x:f>IF(AND(B93=1,'Trial Rows'!G93="B",'Trial Rows'!Q93=1),1,0)</x:f>
        <x:v>0</x:v>
      </x:c>
      <x:c r="L93" s="2" t="n">
        <x:f>IF(AND(B93=1,'Trial Rows'!G93="B",'Trial Rows'!R93=1,'Trial Rows'!Q93=0,'Trial Rows'!S93=0),1,0)</x:f>
        <x:v>0</x:v>
      </x:c>
      <x:c r="M93" s="2" t="n">
        <x:f>IF(AND(B93=1,'Trial Rows'!G93="B"),1,0)</x:f>
        <x:v>0</x:v>
      </x:c>
      <x:c r="N93" s="2" t="n">
        <x:f>IF(AND(B93=1,'Trial Rows'!I93=1,COUNTIFS('Trial Rows'!$B$2:$B$201,'Trial Rows'!B93,'Trial Rows'!$C$2:$C$201,'Trial Rows'!C93,'Trial Rows'!$F$2:$F$201,'Trial Rows'!F93,'Trial Rows'!$G$2:$G$201,'Trial Rows'!G93,'Trial Rows'!$Y$2:$Y$201,'Trial Rows'!Y93)=4,COUNTIFS('Trial Rows'!$B$2:$B$201,'Trial Rows'!B93,'Trial Rows'!$C$2:$C$201,'Trial Rows'!C93,'Trial Rows'!$F$2:$F$201,'Trial Rows'!F93,'Trial Rows'!$G$2:$G$201,'Trial Rows'!G93,'Trial Rows'!$Y$2:$Y$201,'Trial Rows'!Y93,'Trial Rows'!$I$2:$I$201,1)=1,COUNTIFS('Trial Rows'!$B$2:$B$201,'Trial Rows'!B93,'Trial Rows'!$C$2:$C$201,'Trial Rows'!C93,'Trial Rows'!$F$2:$F$201,'Trial Rows'!F93,'Trial Rows'!$G$2:$G$201,'Trial Rows'!G93,'Trial Rows'!$Y$2:$Y$201,'Trial Rows'!Y93,'Trial Rows'!$I$2:$I$201,2)=1,COUNTIFS('Trial Rows'!$B$2:$B$201,'Trial Rows'!B93,'Trial Rows'!$C$2:$C$201,'Trial Rows'!C93,'Trial Rows'!$F$2:$F$201,'Trial Rows'!F93,'Trial Rows'!$G$2:$G$201,'Trial Rows'!G93,'Trial Rows'!$Y$2:$Y$201,'Trial Rows'!Y93,'Trial Rows'!$I$2:$I$201,3)=1,COUNTIFS('Trial Rows'!$B$2:$B$201,'Trial Rows'!B93,'Trial Rows'!$C$2:$C$201,'Trial Rows'!C93,'Trial Rows'!$F$2:$F$201,'Trial Rows'!F93,'Trial Rows'!$G$2:$G$201,'Trial Rows'!G93,'Trial Rows'!$Y$2:$Y$201,'Trial Rows'!Y93,'Trial Rows'!$I$2:$I$201,4)=1,COUNTIFS('Trial Rows'!$B$2:$B$201,'Trial Rows'!B93,'Trial Rows'!$C$2:$C$201,'Trial Rows'!C93,'Trial Rows'!$F$2:$F$201,'Trial Rows'!F93,'Trial Rows'!$G$2:$G$201,'Trial Rows'!G93,'Trial Rows'!$Y$2:$Y$201,'Trial Rows'!Y93,'Trial Rows'!$W$2:$W$201,"&lt;&gt;")=4,ISNUMBER('Trial Rows'!U93),COUNTIFS('Trial Rows'!$B$2:$B$201,'Trial Rows'!B93,'Trial Rows'!$C$2:$C$201,'Trial Rows'!C93,'Trial Rows'!$F$2:$F$201,'Trial Rows'!F93,'Trial Rows'!$G$2:$G$201,'Trial Rows'!G93,'Trial Rows'!$Y$2:$Y$201,'Trial Rows'!Y93,'Trial Rows'!$U$2:$U$201,'Trial Rows'!U93)=4,'Trial Rows'!U93&gt;=0),1,0)</x:f>
        <x:v>0</x:v>
      </x:c>
      <x:c r="O93" s="2" t="str">
        <x:f>IF(N93=1,'Trial Rows'!U93/1000,"")</x:f>
      </x:c>
      <x:c r="P93" s="2" t="str">
        <x:f>IF(AND(N93=1,'Trial Rows'!G93="A"),O93,"")</x:f>
      </x:c>
      <x:c r="Q93" s="2" t="str">
        <x:f>IF(AND(N93=1,'Trial Rows'!G93="B"),O93,"")</x:f>
      </x:c>
      <x:c r="R93" s="2" t="str">
        <x:f>IF(AND(N93=1,COUNTIFS('Trial Rows'!$B$2:$B$201,'Trial Rows'!B93,'Trial Rows'!$C$2:$C$201,'Trial Rows'!C93,'Trial Rows'!$F$2:$F$201,'Trial Rows'!F93,'Trial Rows'!$G$2:$G$201,'Trial Rows'!G93,'Trial Rows'!$Y$2:$Y$201,'Trial Rows'!Y93,'Trial Rows'!$N$2:$N$201,"&gt;=0",'Trial Rows'!$N$2:$N$201,"&lt;=4",'Trial Rows'!$N$2:$N$201,"&lt;&gt;")=4),SUMIFS('Trial Rows'!$N$2:$N$201,'Trial Rows'!$B$2:$B$201,'Trial Rows'!B93,'Trial Rows'!$C$2:$C$201,'Trial Rows'!C93,'Trial Rows'!$F$2:$F$201,'Trial Rows'!F93,'Trial Rows'!$G$2:$G$201,'Trial Rows'!G93,'Trial Rows'!$Y$2:$Y$201,'Trial Rows'!Y93,'Trial Rows'!$I$2:$I$201,1)+4-SUMIFS('Trial Rows'!$N$2:$N$201,'Trial Rows'!$B$2:$B$201,'Trial Rows'!B93,'Trial Rows'!$C$2:$C$201,'Trial Rows'!C93,'Trial Rows'!$F$2:$F$201,'Trial Rows'!F93,'Trial Rows'!$G$2:$G$201,'Trial Rows'!G93,'Trial Rows'!$Y$2:$Y$201,'Trial Rows'!Y93,'Trial Rows'!$I$2:$I$201,2)+4-SUMIFS('Trial Rows'!$N$2:$N$201,'Trial Rows'!$B$2:$B$201,'Trial Rows'!B93,'Trial Rows'!$C$2:$C$201,'Trial Rows'!C93,'Trial Rows'!$F$2:$F$201,'Trial Rows'!F93,'Trial Rows'!$G$2:$G$201,'Trial Rows'!G93,'Trial Rows'!$Y$2:$Y$201,'Trial Rows'!Y93,'Trial Rows'!$I$2:$I$201,3)+SUMIFS('Trial Rows'!$N$2:$N$201,'Trial Rows'!$B$2:$B$201,'Trial Rows'!B93,'Trial Rows'!$C$2:$C$201,'Trial Rows'!C93,'Trial Rows'!$F$2:$F$201,'Trial Rows'!F93,'Trial Rows'!$G$2:$G$201,'Trial Rows'!G93,'Trial Rows'!$Y$2:$Y$201,'Trial Rows'!Y93,'Trial Rows'!$I$2:$I$201,4),"")</x:f>
      </x:c>
      <x:c r="S93" s="2" t="n">
        <x:f>IF(AND(B93=1,COUNTIFS('Trial Rows'!$C$2:C93,'Trial Rows'!C93,'Trial Rows'!$F$2:F93,Summary!$B$5,'Trial Rows'!$Y$2:Y93,Summary!$B$4)=1),1,0)</x:f>
        <x:v>0</x:v>
      </x:c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 t="str">
        <x:f>IF('Trial Rows'!A94="","",'Trial Rows'!F94&amp;"|"&amp;'Trial Rows'!B94&amp;"|"&amp;'Trial Rows'!C94&amp;"|"&amp;'Trial Rows'!I94)</x:f>
      </x:c>
      <x:c r="B94" s="2" t="n">
        <x:f>IF(AND('Trial Rows'!A94&lt;&gt;"",'Trial Rows'!Y94=Summary!$B$4,'Trial Rows'!F94=Summary!$B$5),1,0)</x:f>
        <x:v>0</x:v>
      </x:c>
      <x:c r="C94" s="2" t="n">
        <x:f>IF(B94=1,COUNTIFS('Trial Rows'!$B$2:$B$201,'Trial Rows'!B94,'Trial Rows'!$C$2:$C$201,'Trial Rows'!C94,'Trial Rows'!$F$2:$F$201,'Trial Rows'!F94,'Trial Rows'!$I$2:$I$201,'Trial Rows'!I94,'Trial Rows'!$Y$2:$Y$201,'Trial Rows'!Y94,'Trial Rows'!$G$2:$G$201,"A"),0)</x:f>
        <x:v>0</x:v>
      </x:c>
      <x:c r="D94" s="2" t="n">
        <x:f>IF(B94=1,COUNTIFS('Trial Rows'!$B$2:$B$201,'Trial Rows'!B94,'Trial Rows'!$C$2:$C$201,'Trial Rows'!C94,'Trial Rows'!$F$2:$F$201,'Trial Rows'!F94,'Trial Rows'!$I$2:$I$201,'Trial Rows'!I94,'Trial Rows'!$Y$2:$Y$201,'Trial Rows'!Y94,'Trial Rows'!$G$2:$G$201,"B"),0)</x:f>
        <x:v>0</x:v>
      </x:c>
      <x:c r="E94" s="2" t="str">
        <x:f>IF(AND(C94=1,COUNTIFS('Trial Rows'!$B$2:$B$201,'Trial Rows'!B94,'Trial Rows'!$C$2:$C$201,'Trial Rows'!C94,'Trial Rows'!$F$2:$F$201,'Trial Rows'!F94,'Trial Rows'!$I$2:$I$201,'Trial Rows'!I94,'Trial Rows'!$Y$2:$Y$201,'Trial Rows'!Y94,'Trial Rows'!$G$2:$G$201,"A",'Trial Rows'!$K$2:$K$201,"&gt;=0",'Trial Rows'!$K$2:$K$201,"&lt;=4",'Trial Rows'!$K$2:$K$201,"&lt;&gt;")=1),SUMIFS('Trial Rows'!$K$2:$K$201,'Trial Rows'!$B$2:$B$201,'Trial Rows'!B94,'Trial Rows'!$C$2:$C$201,'Trial Rows'!C94,'Trial Rows'!$F$2:$F$201,'Trial Rows'!F94,'Trial Rows'!$I$2:$I$201,'Trial Rows'!I94,'Trial Rows'!$Y$2:$Y$201,'Trial Rows'!Y94,'Trial Rows'!$G$2:$G$201,"A"),"")</x:f>
      </x:c>
      <x:c r="F94" s="2" t="n">
        <x:f>IF(AND(B94=1,'Trial Rows'!G94="B",C94=1,D94=1,ISNUMBER(E94),ISNUMBER('Trial Rows'!M94),'Trial Rows'!M94&gt;=0,'Trial Rows'!M94&lt;=4,'Trial Rows'!Q94=0,'Trial Rows'!S94=0),1,0)</x:f>
        <x:v>0</x:v>
      </x:c>
      <x:c r="G94" s="2" t="n">
        <x:f>IF(F94=1,IF(E94='Trial Rows'!M94,1,0),0)</x:f>
        <x:v>0</x:v>
      </x:c>
      <x:c r="H94" s="2" t="n">
        <x:f>IF(AND(B94=1,'Trial Rows'!G94="B",C94=1,D94=1,ISNUMBER(E94),'Trial Rows'!R94=1,'Trial Rows'!Q94=0,'Trial Rows'!S94=0,ISNUMBER('Trial Rows'!L94),'Trial Rows'!L94&gt;=0,'Trial Rows'!L94&lt;=4),1,0)</x:f>
        <x:v>0</x:v>
      </x:c>
      <x:c r="I94" s="2" t="n">
        <x:f>IF(H94=1,IF(E94='Trial Rows'!L94,1,0),0)</x:f>
        <x:v>0</x:v>
      </x:c>
      <x:c r="J94" s="2" t="n">
        <x:f>IF(AND(B94=1,'Trial Rows'!G94="B",'Trial Rows'!P94&gt;0),1,0)</x:f>
        <x:v>0</x:v>
      </x:c>
      <x:c r="K94" s="2" t="n">
        <x:f>IF(AND(B94=1,'Trial Rows'!G94="B",'Trial Rows'!Q94=1),1,0)</x:f>
        <x:v>0</x:v>
      </x:c>
      <x:c r="L94" s="2" t="n">
        <x:f>IF(AND(B94=1,'Trial Rows'!G94="B",'Trial Rows'!R94=1,'Trial Rows'!Q94=0,'Trial Rows'!S94=0),1,0)</x:f>
        <x:v>0</x:v>
      </x:c>
      <x:c r="M94" s="2" t="n">
        <x:f>IF(AND(B94=1,'Trial Rows'!G94="B"),1,0)</x:f>
        <x:v>0</x:v>
      </x:c>
      <x:c r="N94" s="2" t="n">
        <x:f>IF(AND(B94=1,'Trial Rows'!I94=1,COUNTIFS('Trial Rows'!$B$2:$B$201,'Trial Rows'!B94,'Trial Rows'!$C$2:$C$201,'Trial Rows'!C94,'Trial Rows'!$F$2:$F$201,'Trial Rows'!F94,'Trial Rows'!$G$2:$G$201,'Trial Rows'!G94,'Trial Rows'!$Y$2:$Y$201,'Trial Rows'!Y94)=4,COUNTIFS('Trial Rows'!$B$2:$B$201,'Trial Rows'!B94,'Trial Rows'!$C$2:$C$201,'Trial Rows'!C94,'Trial Rows'!$F$2:$F$201,'Trial Rows'!F94,'Trial Rows'!$G$2:$G$201,'Trial Rows'!G94,'Trial Rows'!$Y$2:$Y$201,'Trial Rows'!Y94,'Trial Rows'!$I$2:$I$201,1)=1,COUNTIFS('Trial Rows'!$B$2:$B$201,'Trial Rows'!B94,'Trial Rows'!$C$2:$C$201,'Trial Rows'!C94,'Trial Rows'!$F$2:$F$201,'Trial Rows'!F94,'Trial Rows'!$G$2:$G$201,'Trial Rows'!G94,'Trial Rows'!$Y$2:$Y$201,'Trial Rows'!Y94,'Trial Rows'!$I$2:$I$201,2)=1,COUNTIFS('Trial Rows'!$B$2:$B$201,'Trial Rows'!B94,'Trial Rows'!$C$2:$C$201,'Trial Rows'!C94,'Trial Rows'!$F$2:$F$201,'Trial Rows'!F94,'Trial Rows'!$G$2:$G$201,'Trial Rows'!G94,'Trial Rows'!$Y$2:$Y$201,'Trial Rows'!Y94,'Trial Rows'!$I$2:$I$201,3)=1,COUNTIFS('Trial Rows'!$B$2:$B$201,'Trial Rows'!B94,'Trial Rows'!$C$2:$C$201,'Trial Rows'!C94,'Trial Rows'!$F$2:$F$201,'Trial Rows'!F94,'Trial Rows'!$G$2:$G$201,'Trial Rows'!G94,'Trial Rows'!$Y$2:$Y$201,'Trial Rows'!Y94,'Trial Rows'!$I$2:$I$201,4)=1,COUNTIFS('Trial Rows'!$B$2:$B$201,'Trial Rows'!B94,'Trial Rows'!$C$2:$C$201,'Trial Rows'!C94,'Trial Rows'!$F$2:$F$201,'Trial Rows'!F94,'Trial Rows'!$G$2:$G$201,'Trial Rows'!G94,'Trial Rows'!$Y$2:$Y$201,'Trial Rows'!Y94,'Trial Rows'!$W$2:$W$201,"&lt;&gt;")=4,ISNUMBER('Trial Rows'!U94),COUNTIFS('Trial Rows'!$B$2:$B$201,'Trial Rows'!B94,'Trial Rows'!$C$2:$C$201,'Trial Rows'!C94,'Trial Rows'!$F$2:$F$201,'Trial Rows'!F94,'Trial Rows'!$G$2:$G$201,'Trial Rows'!G94,'Trial Rows'!$Y$2:$Y$201,'Trial Rows'!Y94,'Trial Rows'!$U$2:$U$201,'Trial Rows'!U94)=4,'Trial Rows'!U94&gt;=0),1,0)</x:f>
        <x:v>0</x:v>
      </x:c>
      <x:c r="O94" s="2" t="str">
        <x:f>IF(N94=1,'Trial Rows'!U94/1000,"")</x:f>
      </x:c>
      <x:c r="P94" s="2" t="str">
        <x:f>IF(AND(N94=1,'Trial Rows'!G94="A"),O94,"")</x:f>
      </x:c>
      <x:c r="Q94" s="2" t="str">
        <x:f>IF(AND(N94=1,'Trial Rows'!G94="B"),O94,"")</x:f>
      </x:c>
      <x:c r="R94" s="2" t="str">
        <x:f>IF(AND(N94=1,COUNTIFS('Trial Rows'!$B$2:$B$201,'Trial Rows'!B94,'Trial Rows'!$C$2:$C$201,'Trial Rows'!C94,'Trial Rows'!$F$2:$F$201,'Trial Rows'!F94,'Trial Rows'!$G$2:$G$201,'Trial Rows'!G94,'Trial Rows'!$Y$2:$Y$201,'Trial Rows'!Y94,'Trial Rows'!$N$2:$N$201,"&gt;=0",'Trial Rows'!$N$2:$N$201,"&lt;=4",'Trial Rows'!$N$2:$N$201,"&lt;&gt;")=4),SUMIFS('Trial Rows'!$N$2:$N$201,'Trial Rows'!$B$2:$B$201,'Trial Rows'!B94,'Trial Rows'!$C$2:$C$201,'Trial Rows'!C94,'Trial Rows'!$F$2:$F$201,'Trial Rows'!F94,'Trial Rows'!$G$2:$G$201,'Trial Rows'!G94,'Trial Rows'!$Y$2:$Y$201,'Trial Rows'!Y94,'Trial Rows'!$I$2:$I$201,1)+4-SUMIFS('Trial Rows'!$N$2:$N$201,'Trial Rows'!$B$2:$B$201,'Trial Rows'!B94,'Trial Rows'!$C$2:$C$201,'Trial Rows'!C94,'Trial Rows'!$F$2:$F$201,'Trial Rows'!F94,'Trial Rows'!$G$2:$G$201,'Trial Rows'!G94,'Trial Rows'!$Y$2:$Y$201,'Trial Rows'!Y94,'Trial Rows'!$I$2:$I$201,2)+4-SUMIFS('Trial Rows'!$N$2:$N$201,'Trial Rows'!$B$2:$B$201,'Trial Rows'!B94,'Trial Rows'!$C$2:$C$201,'Trial Rows'!C94,'Trial Rows'!$F$2:$F$201,'Trial Rows'!F94,'Trial Rows'!$G$2:$G$201,'Trial Rows'!G94,'Trial Rows'!$Y$2:$Y$201,'Trial Rows'!Y94,'Trial Rows'!$I$2:$I$201,3)+SUMIFS('Trial Rows'!$N$2:$N$201,'Trial Rows'!$B$2:$B$201,'Trial Rows'!B94,'Trial Rows'!$C$2:$C$201,'Trial Rows'!C94,'Trial Rows'!$F$2:$F$201,'Trial Rows'!F94,'Trial Rows'!$G$2:$G$201,'Trial Rows'!G94,'Trial Rows'!$Y$2:$Y$201,'Trial Rows'!Y94,'Trial Rows'!$I$2:$I$201,4),"")</x:f>
      </x:c>
      <x:c r="S94" s="2" t="n">
        <x:f>IF(AND(B94=1,COUNTIFS('Trial Rows'!$C$2:C94,'Trial Rows'!C94,'Trial Rows'!$F$2:F94,Summary!$B$5,'Trial Rows'!$Y$2:Y94,Summary!$B$4)=1),1,0)</x:f>
        <x:v>0</x:v>
      </x:c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 t="str">
        <x:f>IF('Trial Rows'!A95="","",'Trial Rows'!F95&amp;"|"&amp;'Trial Rows'!B95&amp;"|"&amp;'Trial Rows'!C95&amp;"|"&amp;'Trial Rows'!I95)</x:f>
      </x:c>
      <x:c r="B95" s="2" t="n">
        <x:f>IF(AND('Trial Rows'!A95&lt;&gt;"",'Trial Rows'!Y95=Summary!$B$4,'Trial Rows'!F95=Summary!$B$5),1,0)</x:f>
        <x:v>0</x:v>
      </x:c>
      <x:c r="C95" s="2" t="n">
        <x:f>IF(B95=1,COUNTIFS('Trial Rows'!$B$2:$B$201,'Trial Rows'!B95,'Trial Rows'!$C$2:$C$201,'Trial Rows'!C95,'Trial Rows'!$F$2:$F$201,'Trial Rows'!F95,'Trial Rows'!$I$2:$I$201,'Trial Rows'!I95,'Trial Rows'!$Y$2:$Y$201,'Trial Rows'!Y95,'Trial Rows'!$G$2:$G$201,"A"),0)</x:f>
        <x:v>0</x:v>
      </x:c>
      <x:c r="D95" s="2" t="n">
        <x:f>IF(B95=1,COUNTIFS('Trial Rows'!$B$2:$B$201,'Trial Rows'!B95,'Trial Rows'!$C$2:$C$201,'Trial Rows'!C95,'Trial Rows'!$F$2:$F$201,'Trial Rows'!F95,'Trial Rows'!$I$2:$I$201,'Trial Rows'!I95,'Trial Rows'!$Y$2:$Y$201,'Trial Rows'!Y95,'Trial Rows'!$G$2:$G$201,"B"),0)</x:f>
        <x:v>0</x:v>
      </x:c>
      <x:c r="E95" s="2" t="str">
        <x:f>IF(AND(C95=1,COUNTIFS('Trial Rows'!$B$2:$B$201,'Trial Rows'!B95,'Trial Rows'!$C$2:$C$201,'Trial Rows'!C95,'Trial Rows'!$F$2:$F$201,'Trial Rows'!F95,'Trial Rows'!$I$2:$I$201,'Trial Rows'!I95,'Trial Rows'!$Y$2:$Y$201,'Trial Rows'!Y95,'Trial Rows'!$G$2:$G$201,"A",'Trial Rows'!$K$2:$K$201,"&gt;=0",'Trial Rows'!$K$2:$K$201,"&lt;=4",'Trial Rows'!$K$2:$K$201,"&lt;&gt;")=1),SUMIFS('Trial Rows'!$K$2:$K$201,'Trial Rows'!$B$2:$B$201,'Trial Rows'!B95,'Trial Rows'!$C$2:$C$201,'Trial Rows'!C95,'Trial Rows'!$F$2:$F$201,'Trial Rows'!F95,'Trial Rows'!$I$2:$I$201,'Trial Rows'!I95,'Trial Rows'!$Y$2:$Y$201,'Trial Rows'!Y95,'Trial Rows'!$G$2:$G$201,"A"),"")</x:f>
      </x:c>
      <x:c r="F95" s="2" t="n">
        <x:f>IF(AND(B95=1,'Trial Rows'!G95="B",C95=1,D95=1,ISNUMBER(E95),ISNUMBER('Trial Rows'!M95),'Trial Rows'!M95&gt;=0,'Trial Rows'!M95&lt;=4,'Trial Rows'!Q95=0,'Trial Rows'!S95=0),1,0)</x:f>
        <x:v>0</x:v>
      </x:c>
      <x:c r="G95" s="2" t="n">
        <x:f>IF(F95=1,IF(E95='Trial Rows'!M95,1,0),0)</x:f>
        <x:v>0</x:v>
      </x:c>
      <x:c r="H95" s="2" t="n">
        <x:f>IF(AND(B95=1,'Trial Rows'!G95="B",C95=1,D95=1,ISNUMBER(E95),'Trial Rows'!R95=1,'Trial Rows'!Q95=0,'Trial Rows'!S95=0,ISNUMBER('Trial Rows'!L95),'Trial Rows'!L95&gt;=0,'Trial Rows'!L95&lt;=4),1,0)</x:f>
        <x:v>0</x:v>
      </x:c>
      <x:c r="I95" s="2" t="n">
        <x:f>IF(H95=1,IF(E95='Trial Rows'!L95,1,0),0)</x:f>
        <x:v>0</x:v>
      </x:c>
      <x:c r="J95" s="2" t="n">
        <x:f>IF(AND(B95=1,'Trial Rows'!G95="B",'Trial Rows'!P95&gt;0),1,0)</x:f>
        <x:v>0</x:v>
      </x:c>
      <x:c r="K95" s="2" t="n">
        <x:f>IF(AND(B95=1,'Trial Rows'!G95="B",'Trial Rows'!Q95=1),1,0)</x:f>
        <x:v>0</x:v>
      </x:c>
      <x:c r="L95" s="2" t="n">
        <x:f>IF(AND(B95=1,'Trial Rows'!G95="B",'Trial Rows'!R95=1,'Trial Rows'!Q95=0,'Trial Rows'!S95=0),1,0)</x:f>
        <x:v>0</x:v>
      </x:c>
      <x:c r="M95" s="2" t="n">
        <x:f>IF(AND(B95=1,'Trial Rows'!G95="B"),1,0)</x:f>
        <x:v>0</x:v>
      </x:c>
      <x:c r="N95" s="2" t="n">
        <x:f>IF(AND(B95=1,'Trial Rows'!I95=1,COUNTIFS('Trial Rows'!$B$2:$B$201,'Trial Rows'!B95,'Trial Rows'!$C$2:$C$201,'Trial Rows'!C95,'Trial Rows'!$F$2:$F$201,'Trial Rows'!F95,'Trial Rows'!$G$2:$G$201,'Trial Rows'!G95,'Trial Rows'!$Y$2:$Y$201,'Trial Rows'!Y95)=4,COUNTIFS('Trial Rows'!$B$2:$B$201,'Trial Rows'!B95,'Trial Rows'!$C$2:$C$201,'Trial Rows'!C95,'Trial Rows'!$F$2:$F$201,'Trial Rows'!F95,'Trial Rows'!$G$2:$G$201,'Trial Rows'!G95,'Trial Rows'!$Y$2:$Y$201,'Trial Rows'!Y95,'Trial Rows'!$I$2:$I$201,1)=1,COUNTIFS('Trial Rows'!$B$2:$B$201,'Trial Rows'!B95,'Trial Rows'!$C$2:$C$201,'Trial Rows'!C95,'Trial Rows'!$F$2:$F$201,'Trial Rows'!F95,'Trial Rows'!$G$2:$G$201,'Trial Rows'!G95,'Trial Rows'!$Y$2:$Y$201,'Trial Rows'!Y95,'Trial Rows'!$I$2:$I$201,2)=1,COUNTIFS('Trial Rows'!$B$2:$B$201,'Trial Rows'!B95,'Trial Rows'!$C$2:$C$201,'Trial Rows'!C95,'Trial Rows'!$F$2:$F$201,'Trial Rows'!F95,'Trial Rows'!$G$2:$G$201,'Trial Rows'!G95,'Trial Rows'!$Y$2:$Y$201,'Trial Rows'!Y95,'Trial Rows'!$I$2:$I$201,3)=1,COUNTIFS('Trial Rows'!$B$2:$B$201,'Trial Rows'!B95,'Trial Rows'!$C$2:$C$201,'Trial Rows'!C95,'Trial Rows'!$F$2:$F$201,'Trial Rows'!F95,'Trial Rows'!$G$2:$G$201,'Trial Rows'!G95,'Trial Rows'!$Y$2:$Y$201,'Trial Rows'!Y95,'Trial Rows'!$I$2:$I$201,4)=1,COUNTIFS('Trial Rows'!$B$2:$B$201,'Trial Rows'!B95,'Trial Rows'!$C$2:$C$201,'Trial Rows'!C95,'Trial Rows'!$F$2:$F$201,'Trial Rows'!F95,'Trial Rows'!$G$2:$G$201,'Trial Rows'!G95,'Trial Rows'!$Y$2:$Y$201,'Trial Rows'!Y95,'Trial Rows'!$W$2:$W$201,"&lt;&gt;")=4,ISNUMBER('Trial Rows'!U95),COUNTIFS('Trial Rows'!$B$2:$B$201,'Trial Rows'!B95,'Trial Rows'!$C$2:$C$201,'Trial Rows'!C95,'Trial Rows'!$F$2:$F$201,'Trial Rows'!F95,'Trial Rows'!$G$2:$G$201,'Trial Rows'!G95,'Trial Rows'!$Y$2:$Y$201,'Trial Rows'!Y95,'Trial Rows'!$U$2:$U$201,'Trial Rows'!U95)=4,'Trial Rows'!U95&gt;=0),1,0)</x:f>
        <x:v>0</x:v>
      </x:c>
      <x:c r="O95" s="2" t="str">
        <x:f>IF(N95=1,'Trial Rows'!U95/1000,"")</x:f>
      </x:c>
      <x:c r="P95" s="2" t="str">
        <x:f>IF(AND(N95=1,'Trial Rows'!G95="A"),O95,"")</x:f>
      </x:c>
      <x:c r="Q95" s="2" t="str">
        <x:f>IF(AND(N95=1,'Trial Rows'!G95="B"),O95,"")</x:f>
      </x:c>
      <x:c r="R95" s="2" t="str">
        <x:f>IF(AND(N95=1,COUNTIFS('Trial Rows'!$B$2:$B$201,'Trial Rows'!B95,'Trial Rows'!$C$2:$C$201,'Trial Rows'!C95,'Trial Rows'!$F$2:$F$201,'Trial Rows'!F95,'Trial Rows'!$G$2:$G$201,'Trial Rows'!G95,'Trial Rows'!$Y$2:$Y$201,'Trial Rows'!Y95,'Trial Rows'!$N$2:$N$201,"&gt;=0",'Trial Rows'!$N$2:$N$201,"&lt;=4",'Trial Rows'!$N$2:$N$201,"&lt;&gt;")=4),SUMIFS('Trial Rows'!$N$2:$N$201,'Trial Rows'!$B$2:$B$201,'Trial Rows'!B95,'Trial Rows'!$C$2:$C$201,'Trial Rows'!C95,'Trial Rows'!$F$2:$F$201,'Trial Rows'!F95,'Trial Rows'!$G$2:$G$201,'Trial Rows'!G95,'Trial Rows'!$Y$2:$Y$201,'Trial Rows'!Y95,'Trial Rows'!$I$2:$I$201,1)+4-SUMIFS('Trial Rows'!$N$2:$N$201,'Trial Rows'!$B$2:$B$201,'Trial Rows'!B95,'Trial Rows'!$C$2:$C$201,'Trial Rows'!C95,'Trial Rows'!$F$2:$F$201,'Trial Rows'!F95,'Trial Rows'!$G$2:$G$201,'Trial Rows'!G95,'Trial Rows'!$Y$2:$Y$201,'Trial Rows'!Y95,'Trial Rows'!$I$2:$I$201,2)+4-SUMIFS('Trial Rows'!$N$2:$N$201,'Trial Rows'!$B$2:$B$201,'Trial Rows'!B95,'Trial Rows'!$C$2:$C$201,'Trial Rows'!C95,'Trial Rows'!$F$2:$F$201,'Trial Rows'!F95,'Trial Rows'!$G$2:$G$201,'Trial Rows'!G95,'Trial Rows'!$Y$2:$Y$201,'Trial Rows'!Y95,'Trial Rows'!$I$2:$I$201,3)+SUMIFS('Trial Rows'!$N$2:$N$201,'Trial Rows'!$B$2:$B$201,'Trial Rows'!B95,'Trial Rows'!$C$2:$C$201,'Trial Rows'!C95,'Trial Rows'!$F$2:$F$201,'Trial Rows'!F95,'Trial Rows'!$G$2:$G$201,'Trial Rows'!G95,'Trial Rows'!$Y$2:$Y$201,'Trial Rows'!Y95,'Trial Rows'!$I$2:$I$201,4),"")</x:f>
      </x:c>
      <x:c r="S95" s="2" t="n">
        <x:f>IF(AND(B95=1,COUNTIFS('Trial Rows'!$C$2:C95,'Trial Rows'!C95,'Trial Rows'!$F$2:F95,Summary!$B$5,'Trial Rows'!$Y$2:Y95,Summary!$B$4)=1),1,0)</x:f>
        <x:v>0</x:v>
      </x:c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 t="str">
        <x:f>IF('Trial Rows'!A96="","",'Trial Rows'!F96&amp;"|"&amp;'Trial Rows'!B96&amp;"|"&amp;'Trial Rows'!C96&amp;"|"&amp;'Trial Rows'!I96)</x:f>
      </x:c>
      <x:c r="B96" s="2" t="n">
        <x:f>IF(AND('Trial Rows'!A96&lt;&gt;"",'Trial Rows'!Y96=Summary!$B$4,'Trial Rows'!F96=Summary!$B$5),1,0)</x:f>
        <x:v>0</x:v>
      </x:c>
      <x:c r="C96" s="2" t="n">
        <x:f>IF(B96=1,COUNTIFS('Trial Rows'!$B$2:$B$201,'Trial Rows'!B96,'Trial Rows'!$C$2:$C$201,'Trial Rows'!C96,'Trial Rows'!$F$2:$F$201,'Trial Rows'!F96,'Trial Rows'!$I$2:$I$201,'Trial Rows'!I96,'Trial Rows'!$Y$2:$Y$201,'Trial Rows'!Y96,'Trial Rows'!$G$2:$G$201,"A"),0)</x:f>
        <x:v>0</x:v>
      </x:c>
      <x:c r="D96" s="2" t="n">
        <x:f>IF(B96=1,COUNTIFS('Trial Rows'!$B$2:$B$201,'Trial Rows'!B96,'Trial Rows'!$C$2:$C$201,'Trial Rows'!C96,'Trial Rows'!$F$2:$F$201,'Trial Rows'!F96,'Trial Rows'!$I$2:$I$201,'Trial Rows'!I96,'Trial Rows'!$Y$2:$Y$201,'Trial Rows'!Y96,'Trial Rows'!$G$2:$G$201,"B"),0)</x:f>
        <x:v>0</x:v>
      </x:c>
      <x:c r="E96" s="2" t="str">
        <x:f>IF(AND(C96=1,COUNTIFS('Trial Rows'!$B$2:$B$201,'Trial Rows'!B96,'Trial Rows'!$C$2:$C$201,'Trial Rows'!C96,'Trial Rows'!$F$2:$F$201,'Trial Rows'!F96,'Trial Rows'!$I$2:$I$201,'Trial Rows'!I96,'Trial Rows'!$Y$2:$Y$201,'Trial Rows'!Y96,'Trial Rows'!$G$2:$G$201,"A",'Trial Rows'!$K$2:$K$201,"&gt;=0",'Trial Rows'!$K$2:$K$201,"&lt;=4",'Trial Rows'!$K$2:$K$201,"&lt;&gt;")=1),SUMIFS('Trial Rows'!$K$2:$K$201,'Trial Rows'!$B$2:$B$201,'Trial Rows'!B96,'Trial Rows'!$C$2:$C$201,'Trial Rows'!C96,'Trial Rows'!$F$2:$F$201,'Trial Rows'!F96,'Trial Rows'!$I$2:$I$201,'Trial Rows'!I96,'Trial Rows'!$Y$2:$Y$201,'Trial Rows'!Y96,'Trial Rows'!$G$2:$G$201,"A"),"")</x:f>
      </x:c>
      <x:c r="F96" s="2" t="n">
        <x:f>IF(AND(B96=1,'Trial Rows'!G96="B",C96=1,D96=1,ISNUMBER(E96),ISNUMBER('Trial Rows'!M96),'Trial Rows'!M96&gt;=0,'Trial Rows'!M96&lt;=4,'Trial Rows'!Q96=0,'Trial Rows'!S96=0),1,0)</x:f>
        <x:v>0</x:v>
      </x:c>
      <x:c r="G96" s="2" t="n">
        <x:f>IF(F96=1,IF(E96='Trial Rows'!M96,1,0),0)</x:f>
        <x:v>0</x:v>
      </x:c>
      <x:c r="H96" s="2" t="n">
        <x:f>IF(AND(B96=1,'Trial Rows'!G96="B",C96=1,D96=1,ISNUMBER(E96),'Trial Rows'!R96=1,'Trial Rows'!Q96=0,'Trial Rows'!S96=0,ISNUMBER('Trial Rows'!L96),'Trial Rows'!L96&gt;=0,'Trial Rows'!L96&lt;=4),1,0)</x:f>
        <x:v>0</x:v>
      </x:c>
      <x:c r="I96" s="2" t="n">
        <x:f>IF(H96=1,IF(E96='Trial Rows'!L96,1,0),0)</x:f>
        <x:v>0</x:v>
      </x:c>
      <x:c r="J96" s="2" t="n">
        <x:f>IF(AND(B96=1,'Trial Rows'!G96="B",'Trial Rows'!P96&gt;0),1,0)</x:f>
        <x:v>0</x:v>
      </x:c>
      <x:c r="K96" s="2" t="n">
        <x:f>IF(AND(B96=1,'Trial Rows'!G96="B",'Trial Rows'!Q96=1),1,0)</x:f>
        <x:v>0</x:v>
      </x:c>
      <x:c r="L96" s="2" t="n">
        <x:f>IF(AND(B96=1,'Trial Rows'!G96="B",'Trial Rows'!R96=1,'Trial Rows'!Q96=0,'Trial Rows'!S96=0),1,0)</x:f>
        <x:v>0</x:v>
      </x:c>
      <x:c r="M96" s="2" t="n">
        <x:f>IF(AND(B96=1,'Trial Rows'!G96="B"),1,0)</x:f>
        <x:v>0</x:v>
      </x:c>
      <x:c r="N96" s="2" t="n">
        <x:f>IF(AND(B96=1,'Trial Rows'!I96=1,COUNTIFS('Trial Rows'!$B$2:$B$201,'Trial Rows'!B96,'Trial Rows'!$C$2:$C$201,'Trial Rows'!C96,'Trial Rows'!$F$2:$F$201,'Trial Rows'!F96,'Trial Rows'!$G$2:$G$201,'Trial Rows'!G96,'Trial Rows'!$Y$2:$Y$201,'Trial Rows'!Y96)=4,COUNTIFS('Trial Rows'!$B$2:$B$201,'Trial Rows'!B96,'Trial Rows'!$C$2:$C$201,'Trial Rows'!C96,'Trial Rows'!$F$2:$F$201,'Trial Rows'!F96,'Trial Rows'!$G$2:$G$201,'Trial Rows'!G96,'Trial Rows'!$Y$2:$Y$201,'Trial Rows'!Y96,'Trial Rows'!$I$2:$I$201,1)=1,COUNTIFS('Trial Rows'!$B$2:$B$201,'Trial Rows'!B96,'Trial Rows'!$C$2:$C$201,'Trial Rows'!C96,'Trial Rows'!$F$2:$F$201,'Trial Rows'!F96,'Trial Rows'!$G$2:$G$201,'Trial Rows'!G96,'Trial Rows'!$Y$2:$Y$201,'Trial Rows'!Y96,'Trial Rows'!$I$2:$I$201,2)=1,COUNTIFS('Trial Rows'!$B$2:$B$201,'Trial Rows'!B96,'Trial Rows'!$C$2:$C$201,'Trial Rows'!C96,'Trial Rows'!$F$2:$F$201,'Trial Rows'!F96,'Trial Rows'!$G$2:$G$201,'Trial Rows'!G96,'Trial Rows'!$Y$2:$Y$201,'Trial Rows'!Y96,'Trial Rows'!$I$2:$I$201,3)=1,COUNTIFS('Trial Rows'!$B$2:$B$201,'Trial Rows'!B96,'Trial Rows'!$C$2:$C$201,'Trial Rows'!C96,'Trial Rows'!$F$2:$F$201,'Trial Rows'!F96,'Trial Rows'!$G$2:$G$201,'Trial Rows'!G96,'Trial Rows'!$Y$2:$Y$201,'Trial Rows'!Y96,'Trial Rows'!$I$2:$I$201,4)=1,COUNTIFS('Trial Rows'!$B$2:$B$201,'Trial Rows'!B96,'Trial Rows'!$C$2:$C$201,'Trial Rows'!C96,'Trial Rows'!$F$2:$F$201,'Trial Rows'!F96,'Trial Rows'!$G$2:$G$201,'Trial Rows'!G96,'Trial Rows'!$Y$2:$Y$201,'Trial Rows'!Y96,'Trial Rows'!$W$2:$W$201,"&lt;&gt;")=4,ISNUMBER('Trial Rows'!U96),COUNTIFS('Trial Rows'!$B$2:$B$201,'Trial Rows'!B96,'Trial Rows'!$C$2:$C$201,'Trial Rows'!C96,'Trial Rows'!$F$2:$F$201,'Trial Rows'!F96,'Trial Rows'!$G$2:$G$201,'Trial Rows'!G96,'Trial Rows'!$Y$2:$Y$201,'Trial Rows'!Y96,'Trial Rows'!$U$2:$U$201,'Trial Rows'!U96)=4,'Trial Rows'!U96&gt;=0),1,0)</x:f>
        <x:v>0</x:v>
      </x:c>
      <x:c r="O96" s="2" t="str">
        <x:f>IF(N96=1,'Trial Rows'!U96/1000,"")</x:f>
      </x:c>
      <x:c r="P96" s="2" t="str">
        <x:f>IF(AND(N96=1,'Trial Rows'!G96="A"),O96,"")</x:f>
      </x:c>
      <x:c r="Q96" s="2" t="str">
        <x:f>IF(AND(N96=1,'Trial Rows'!G96="B"),O96,"")</x:f>
      </x:c>
      <x:c r="R96" s="2" t="str">
        <x:f>IF(AND(N96=1,COUNTIFS('Trial Rows'!$B$2:$B$201,'Trial Rows'!B96,'Trial Rows'!$C$2:$C$201,'Trial Rows'!C96,'Trial Rows'!$F$2:$F$201,'Trial Rows'!F96,'Trial Rows'!$G$2:$G$201,'Trial Rows'!G96,'Trial Rows'!$Y$2:$Y$201,'Trial Rows'!Y96,'Trial Rows'!$N$2:$N$201,"&gt;=0",'Trial Rows'!$N$2:$N$201,"&lt;=4",'Trial Rows'!$N$2:$N$201,"&lt;&gt;")=4),SUMIFS('Trial Rows'!$N$2:$N$201,'Trial Rows'!$B$2:$B$201,'Trial Rows'!B96,'Trial Rows'!$C$2:$C$201,'Trial Rows'!C96,'Trial Rows'!$F$2:$F$201,'Trial Rows'!F96,'Trial Rows'!$G$2:$G$201,'Trial Rows'!G96,'Trial Rows'!$Y$2:$Y$201,'Trial Rows'!Y96,'Trial Rows'!$I$2:$I$201,1)+4-SUMIFS('Trial Rows'!$N$2:$N$201,'Trial Rows'!$B$2:$B$201,'Trial Rows'!B96,'Trial Rows'!$C$2:$C$201,'Trial Rows'!C96,'Trial Rows'!$F$2:$F$201,'Trial Rows'!F96,'Trial Rows'!$G$2:$G$201,'Trial Rows'!G96,'Trial Rows'!$Y$2:$Y$201,'Trial Rows'!Y96,'Trial Rows'!$I$2:$I$201,2)+4-SUMIFS('Trial Rows'!$N$2:$N$201,'Trial Rows'!$B$2:$B$201,'Trial Rows'!B96,'Trial Rows'!$C$2:$C$201,'Trial Rows'!C96,'Trial Rows'!$F$2:$F$201,'Trial Rows'!F96,'Trial Rows'!$G$2:$G$201,'Trial Rows'!G96,'Trial Rows'!$Y$2:$Y$201,'Trial Rows'!Y96,'Trial Rows'!$I$2:$I$201,3)+SUMIFS('Trial Rows'!$N$2:$N$201,'Trial Rows'!$B$2:$B$201,'Trial Rows'!B96,'Trial Rows'!$C$2:$C$201,'Trial Rows'!C96,'Trial Rows'!$F$2:$F$201,'Trial Rows'!F96,'Trial Rows'!$G$2:$G$201,'Trial Rows'!G96,'Trial Rows'!$Y$2:$Y$201,'Trial Rows'!Y96,'Trial Rows'!$I$2:$I$201,4),"")</x:f>
      </x:c>
      <x:c r="S96" s="2" t="n">
        <x:f>IF(AND(B96=1,COUNTIFS('Trial Rows'!$C$2:C96,'Trial Rows'!C96,'Trial Rows'!$F$2:F96,Summary!$B$5,'Trial Rows'!$Y$2:Y96,Summary!$B$4)=1),1,0)</x:f>
        <x:v>0</x:v>
      </x:c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 t="str">
        <x:f>IF('Trial Rows'!A97="","",'Trial Rows'!F97&amp;"|"&amp;'Trial Rows'!B97&amp;"|"&amp;'Trial Rows'!C97&amp;"|"&amp;'Trial Rows'!I97)</x:f>
      </x:c>
      <x:c r="B97" s="2" t="n">
        <x:f>IF(AND('Trial Rows'!A97&lt;&gt;"",'Trial Rows'!Y97=Summary!$B$4,'Trial Rows'!F97=Summary!$B$5),1,0)</x:f>
        <x:v>0</x:v>
      </x:c>
      <x:c r="C97" s="2" t="n">
        <x:f>IF(B97=1,COUNTIFS('Trial Rows'!$B$2:$B$201,'Trial Rows'!B97,'Trial Rows'!$C$2:$C$201,'Trial Rows'!C97,'Trial Rows'!$F$2:$F$201,'Trial Rows'!F97,'Trial Rows'!$I$2:$I$201,'Trial Rows'!I97,'Trial Rows'!$Y$2:$Y$201,'Trial Rows'!Y97,'Trial Rows'!$G$2:$G$201,"A"),0)</x:f>
        <x:v>0</x:v>
      </x:c>
      <x:c r="D97" s="2" t="n">
        <x:f>IF(B97=1,COUNTIFS('Trial Rows'!$B$2:$B$201,'Trial Rows'!B97,'Trial Rows'!$C$2:$C$201,'Trial Rows'!C97,'Trial Rows'!$F$2:$F$201,'Trial Rows'!F97,'Trial Rows'!$I$2:$I$201,'Trial Rows'!I97,'Trial Rows'!$Y$2:$Y$201,'Trial Rows'!Y97,'Trial Rows'!$G$2:$G$201,"B"),0)</x:f>
        <x:v>0</x:v>
      </x:c>
      <x:c r="E97" s="2" t="str">
        <x:f>IF(AND(C97=1,COUNTIFS('Trial Rows'!$B$2:$B$201,'Trial Rows'!B97,'Trial Rows'!$C$2:$C$201,'Trial Rows'!C97,'Trial Rows'!$F$2:$F$201,'Trial Rows'!F97,'Trial Rows'!$I$2:$I$201,'Trial Rows'!I97,'Trial Rows'!$Y$2:$Y$201,'Trial Rows'!Y97,'Trial Rows'!$G$2:$G$201,"A",'Trial Rows'!$K$2:$K$201,"&gt;=0",'Trial Rows'!$K$2:$K$201,"&lt;=4",'Trial Rows'!$K$2:$K$201,"&lt;&gt;")=1),SUMIFS('Trial Rows'!$K$2:$K$201,'Trial Rows'!$B$2:$B$201,'Trial Rows'!B97,'Trial Rows'!$C$2:$C$201,'Trial Rows'!C97,'Trial Rows'!$F$2:$F$201,'Trial Rows'!F97,'Trial Rows'!$I$2:$I$201,'Trial Rows'!I97,'Trial Rows'!$Y$2:$Y$201,'Trial Rows'!Y97,'Trial Rows'!$G$2:$G$201,"A"),"")</x:f>
      </x:c>
      <x:c r="F97" s="2" t="n">
        <x:f>IF(AND(B97=1,'Trial Rows'!G97="B",C97=1,D97=1,ISNUMBER(E97),ISNUMBER('Trial Rows'!M97),'Trial Rows'!M97&gt;=0,'Trial Rows'!M97&lt;=4,'Trial Rows'!Q97=0,'Trial Rows'!S97=0),1,0)</x:f>
        <x:v>0</x:v>
      </x:c>
      <x:c r="G97" s="2" t="n">
        <x:f>IF(F97=1,IF(E97='Trial Rows'!M97,1,0),0)</x:f>
        <x:v>0</x:v>
      </x:c>
      <x:c r="H97" s="2" t="n">
        <x:f>IF(AND(B97=1,'Trial Rows'!G97="B",C97=1,D97=1,ISNUMBER(E97),'Trial Rows'!R97=1,'Trial Rows'!Q97=0,'Trial Rows'!S97=0,ISNUMBER('Trial Rows'!L97),'Trial Rows'!L97&gt;=0,'Trial Rows'!L97&lt;=4),1,0)</x:f>
        <x:v>0</x:v>
      </x:c>
      <x:c r="I97" s="2" t="n">
        <x:f>IF(H97=1,IF(E97='Trial Rows'!L97,1,0),0)</x:f>
        <x:v>0</x:v>
      </x:c>
      <x:c r="J97" s="2" t="n">
        <x:f>IF(AND(B97=1,'Trial Rows'!G97="B",'Trial Rows'!P97&gt;0),1,0)</x:f>
        <x:v>0</x:v>
      </x:c>
      <x:c r="K97" s="2" t="n">
        <x:f>IF(AND(B97=1,'Trial Rows'!G97="B",'Trial Rows'!Q97=1),1,0)</x:f>
        <x:v>0</x:v>
      </x:c>
      <x:c r="L97" s="2" t="n">
        <x:f>IF(AND(B97=1,'Trial Rows'!G97="B",'Trial Rows'!R97=1,'Trial Rows'!Q97=0,'Trial Rows'!S97=0),1,0)</x:f>
        <x:v>0</x:v>
      </x:c>
      <x:c r="M97" s="2" t="n">
        <x:f>IF(AND(B97=1,'Trial Rows'!G97="B"),1,0)</x:f>
        <x:v>0</x:v>
      </x:c>
      <x:c r="N97" s="2" t="n">
        <x:f>IF(AND(B97=1,'Trial Rows'!I97=1,COUNTIFS('Trial Rows'!$B$2:$B$201,'Trial Rows'!B97,'Trial Rows'!$C$2:$C$201,'Trial Rows'!C97,'Trial Rows'!$F$2:$F$201,'Trial Rows'!F97,'Trial Rows'!$G$2:$G$201,'Trial Rows'!G97,'Trial Rows'!$Y$2:$Y$201,'Trial Rows'!Y97)=4,COUNTIFS('Trial Rows'!$B$2:$B$201,'Trial Rows'!B97,'Trial Rows'!$C$2:$C$201,'Trial Rows'!C97,'Trial Rows'!$F$2:$F$201,'Trial Rows'!F97,'Trial Rows'!$G$2:$G$201,'Trial Rows'!G97,'Trial Rows'!$Y$2:$Y$201,'Trial Rows'!Y97,'Trial Rows'!$I$2:$I$201,1)=1,COUNTIFS('Trial Rows'!$B$2:$B$201,'Trial Rows'!B97,'Trial Rows'!$C$2:$C$201,'Trial Rows'!C97,'Trial Rows'!$F$2:$F$201,'Trial Rows'!F97,'Trial Rows'!$G$2:$G$201,'Trial Rows'!G97,'Trial Rows'!$Y$2:$Y$201,'Trial Rows'!Y97,'Trial Rows'!$I$2:$I$201,2)=1,COUNTIFS('Trial Rows'!$B$2:$B$201,'Trial Rows'!B97,'Trial Rows'!$C$2:$C$201,'Trial Rows'!C97,'Trial Rows'!$F$2:$F$201,'Trial Rows'!F97,'Trial Rows'!$G$2:$G$201,'Trial Rows'!G97,'Trial Rows'!$Y$2:$Y$201,'Trial Rows'!Y97,'Trial Rows'!$I$2:$I$201,3)=1,COUNTIFS('Trial Rows'!$B$2:$B$201,'Trial Rows'!B97,'Trial Rows'!$C$2:$C$201,'Trial Rows'!C97,'Trial Rows'!$F$2:$F$201,'Trial Rows'!F97,'Trial Rows'!$G$2:$G$201,'Trial Rows'!G97,'Trial Rows'!$Y$2:$Y$201,'Trial Rows'!Y97,'Trial Rows'!$I$2:$I$201,4)=1,COUNTIFS('Trial Rows'!$B$2:$B$201,'Trial Rows'!B97,'Trial Rows'!$C$2:$C$201,'Trial Rows'!C97,'Trial Rows'!$F$2:$F$201,'Trial Rows'!F97,'Trial Rows'!$G$2:$G$201,'Trial Rows'!G97,'Trial Rows'!$Y$2:$Y$201,'Trial Rows'!Y97,'Trial Rows'!$W$2:$W$201,"&lt;&gt;")=4,ISNUMBER('Trial Rows'!U97),COUNTIFS('Trial Rows'!$B$2:$B$201,'Trial Rows'!B97,'Trial Rows'!$C$2:$C$201,'Trial Rows'!C97,'Trial Rows'!$F$2:$F$201,'Trial Rows'!F97,'Trial Rows'!$G$2:$G$201,'Trial Rows'!G97,'Trial Rows'!$Y$2:$Y$201,'Trial Rows'!Y97,'Trial Rows'!$U$2:$U$201,'Trial Rows'!U97)=4,'Trial Rows'!U97&gt;=0),1,0)</x:f>
        <x:v>0</x:v>
      </x:c>
      <x:c r="O97" s="2" t="str">
        <x:f>IF(N97=1,'Trial Rows'!U97/1000,"")</x:f>
      </x:c>
      <x:c r="P97" s="2" t="str">
        <x:f>IF(AND(N97=1,'Trial Rows'!G97="A"),O97,"")</x:f>
      </x:c>
      <x:c r="Q97" s="2" t="str">
        <x:f>IF(AND(N97=1,'Trial Rows'!G97="B"),O97,"")</x:f>
      </x:c>
      <x:c r="R97" s="2" t="str">
        <x:f>IF(AND(N97=1,COUNTIFS('Trial Rows'!$B$2:$B$201,'Trial Rows'!B97,'Trial Rows'!$C$2:$C$201,'Trial Rows'!C97,'Trial Rows'!$F$2:$F$201,'Trial Rows'!F97,'Trial Rows'!$G$2:$G$201,'Trial Rows'!G97,'Trial Rows'!$Y$2:$Y$201,'Trial Rows'!Y97,'Trial Rows'!$N$2:$N$201,"&gt;=0",'Trial Rows'!$N$2:$N$201,"&lt;=4",'Trial Rows'!$N$2:$N$201,"&lt;&gt;")=4),SUMIFS('Trial Rows'!$N$2:$N$201,'Trial Rows'!$B$2:$B$201,'Trial Rows'!B97,'Trial Rows'!$C$2:$C$201,'Trial Rows'!C97,'Trial Rows'!$F$2:$F$201,'Trial Rows'!F97,'Trial Rows'!$G$2:$G$201,'Trial Rows'!G97,'Trial Rows'!$Y$2:$Y$201,'Trial Rows'!Y97,'Trial Rows'!$I$2:$I$201,1)+4-SUMIFS('Trial Rows'!$N$2:$N$201,'Trial Rows'!$B$2:$B$201,'Trial Rows'!B97,'Trial Rows'!$C$2:$C$201,'Trial Rows'!C97,'Trial Rows'!$F$2:$F$201,'Trial Rows'!F97,'Trial Rows'!$G$2:$G$201,'Trial Rows'!G97,'Trial Rows'!$Y$2:$Y$201,'Trial Rows'!Y97,'Trial Rows'!$I$2:$I$201,2)+4-SUMIFS('Trial Rows'!$N$2:$N$201,'Trial Rows'!$B$2:$B$201,'Trial Rows'!B97,'Trial Rows'!$C$2:$C$201,'Trial Rows'!C97,'Trial Rows'!$F$2:$F$201,'Trial Rows'!F97,'Trial Rows'!$G$2:$G$201,'Trial Rows'!G97,'Trial Rows'!$Y$2:$Y$201,'Trial Rows'!Y97,'Trial Rows'!$I$2:$I$201,3)+SUMIFS('Trial Rows'!$N$2:$N$201,'Trial Rows'!$B$2:$B$201,'Trial Rows'!B97,'Trial Rows'!$C$2:$C$201,'Trial Rows'!C97,'Trial Rows'!$F$2:$F$201,'Trial Rows'!F97,'Trial Rows'!$G$2:$G$201,'Trial Rows'!G97,'Trial Rows'!$Y$2:$Y$201,'Trial Rows'!Y97,'Trial Rows'!$I$2:$I$201,4),"")</x:f>
      </x:c>
      <x:c r="S97" s="2" t="n">
        <x:f>IF(AND(B97=1,COUNTIFS('Trial Rows'!$C$2:C97,'Trial Rows'!C97,'Trial Rows'!$F$2:F97,Summary!$B$5,'Trial Rows'!$Y$2:Y97,Summary!$B$4)=1),1,0)</x:f>
        <x:v>0</x:v>
      </x:c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 t="str">
        <x:f>IF('Trial Rows'!A98="","",'Trial Rows'!F98&amp;"|"&amp;'Trial Rows'!B98&amp;"|"&amp;'Trial Rows'!C98&amp;"|"&amp;'Trial Rows'!I98)</x:f>
      </x:c>
      <x:c r="B98" s="2" t="n">
        <x:f>IF(AND('Trial Rows'!A98&lt;&gt;"",'Trial Rows'!Y98=Summary!$B$4,'Trial Rows'!F98=Summary!$B$5),1,0)</x:f>
        <x:v>0</x:v>
      </x:c>
      <x:c r="C98" s="2" t="n">
        <x:f>IF(B98=1,COUNTIFS('Trial Rows'!$B$2:$B$201,'Trial Rows'!B98,'Trial Rows'!$C$2:$C$201,'Trial Rows'!C98,'Trial Rows'!$F$2:$F$201,'Trial Rows'!F98,'Trial Rows'!$I$2:$I$201,'Trial Rows'!I98,'Trial Rows'!$Y$2:$Y$201,'Trial Rows'!Y98,'Trial Rows'!$G$2:$G$201,"A"),0)</x:f>
        <x:v>0</x:v>
      </x:c>
      <x:c r="D98" s="2" t="n">
        <x:f>IF(B98=1,COUNTIFS('Trial Rows'!$B$2:$B$201,'Trial Rows'!B98,'Trial Rows'!$C$2:$C$201,'Trial Rows'!C98,'Trial Rows'!$F$2:$F$201,'Trial Rows'!F98,'Trial Rows'!$I$2:$I$201,'Trial Rows'!I98,'Trial Rows'!$Y$2:$Y$201,'Trial Rows'!Y98,'Trial Rows'!$G$2:$G$201,"B"),0)</x:f>
        <x:v>0</x:v>
      </x:c>
      <x:c r="E98" s="2" t="str">
        <x:f>IF(AND(C98=1,COUNTIFS('Trial Rows'!$B$2:$B$201,'Trial Rows'!B98,'Trial Rows'!$C$2:$C$201,'Trial Rows'!C98,'Trial Rows'!$F$2:$F$201,'Trial Rows'!F98,'Trial Rows'!$I$2:$I$201,'Trial Rows'!I98,'Trial Rows'!$Y$2:$Y$201,'Trial Rows'!Y98,'Trial Rows'!$G$2:$G$201,"A",'Trial Rows'!$K$2:$K$201,"&gt;=0",'Trial Rows'!$K$2:$K$201,"&lt;=4",'Trial Rows'!$K$2:$K$201,"&lt;&gt;")=1),SUMIFS('Trial Rows'!$K$2:$K$201,'Trial Rows'!$B$2:$B$201,'Trial Rows'!B98,'Trial Rows'!$C$2:$C$201,'Trial Rows'!C98,'Trial Rows'!$F$2:$F$201,'Trial Rows'!F98,'Trial Rows'!$I$2:$I$201,'Trial Rows'!I98,'Trial Rows'!$Y$2:$Y$201,'Trial Rows'!Y98,'Trial Rows'!$G$2:$G$201,"A"),"")</x:f>
      </x:c>
      <x:c r="F98" s="2" t="n">
        <x:f>IF(AND(B98=1,'Trial Rows'!G98="B",C98=1,D98=1,ISNUMBER(E98),ISNUMBER('Trial Rows'!M98),'Trial Rows'!M98&gt;=0,'Trial Rows'!M98&lt;=4,'Trial Rows'!Q98=0,'Trial Rows'!S98=0),1,0)</x:f>
        <x:v>0</x:v>
      </x:c>
      <x:c r="G98" s="2" t="n">
        <x:f>IF(F98=1,IF(E98='Trial Rows'!M98,1,0),0)</x:f>
        <x:v>0</x:v>
      </x:c>
      <x:c r="H98" s="2" t="n">
        <x:f>IF(AND(B98=1,'Trial Rows'!G98="B",C98=1,D98=1,ISNUMBER(E98),'Trial Rows'!R98=1,'Trial Rows'!Q98=0,'Trial Rows'!S98=0,ISNUMBER('Trial Rows'!L98),'Trial Rows'!L98&gt;=0,'Trial Rows'!L98&lt;=4),1,0)</x:f>
        <x:v>0</x:v>
      </x:c>
      <x:c r="I98" s="2" t="n">
        <x:f>IF(H98=1,IF(E98='Trial Rows'!L98,1,0),0)</x:f>
        <x:v>0</x:v>
      </x:c>
      <x:c r="J98" s="2" t="n">
        <x:f>IF(AND(B98=1,'Trial Rows'!G98="B",'Trial Rows'!P98&gt;0),1,0)</x:f>
        <x:v>0</x:v>
      </x:c>
      <x:c r="K98" s="2" t="n">
        <x:f>IF(AND(B98=1,'Trial Rows'!G98="B",'Trial Rows'!Q98=1),1,0)</x:f>
        <x:v>0</x:v>
      </x:c>
      <x:c r="L98" s="2" t="n">
        <x:f>IF(AND(B98=1,'Trial Rows'!G98="B",'Trial Rows'!R98=1,'Trial Rows'!Q98=0,'Trial Rows'!S98=0),1,0)</x:f>
        <x:v>0</x:v>
      </x:c>
      <x:c r="M98" s="2" t="n">
        <x:f>IF(AND(B98=1,'Trial Rows'!G98="B"),1,0)</x:f>
        <x:v>0</x:v>
      </x:c>
      <x:c r="N98" s="2" t="n">
        <x:f>IF(AND(B98=1,'Trial Rows'!I98=1,COUNTIFS('Trial Rows'!$B$2:$B$201,'Trial Rows'!B98,'Trial Rows'!$C$2:$C$201,'Trial Rows'!C98,'Trial Rows'!$F$2:$F$201,'Trial Rows'!F98,'Trial Rows'!$G$2:$G$201,'Trial Rows'!G98,'Trial Rows'!$Y$2:$Y$201,'Trial Rows'!Y98)=4,COUNTIFS('Trial Rows'!$B$2:$B$201,'Trial Rows'!B98,'Trial Rows'!$C$2:$C$201,'Trial Rows'!C98,'Trial Rows'!$F$2:$F$201,'Trial Rows'!F98,'Trial Rows'!$G$2:$G$201,'Trial Rows'!G98,'Trial Rows'!$Y$2:$Y$201,'Trial Rows'!Y98,'Trial Rows'!$I$2:$I$201,1)=1,COUNTIFS('Trial Rows'!$B$2:$B$201,'Trial Rows'!B98,'Trial Rows'!$C$2:$C$201,'Trial Rows'!C98,'Trial Rows'!$F$2:$F$201,'Trial Rows'!F98,'Trial Rows'!$G$2:$G$201,'Trial Rows'!G98,'Trial Rows'!$Y$2:$Y$201,'Trial Rows'!Y98,'Trial Rows'!$I$2:$I$201,2)=1,COUNTIFS('Trial Rows'!$B$2:$B$201,'Trial Rows'!B98,'Trial Rows'!$C$2:$C$201,'Trial Rows'!C98,'Trial Rows'!$F$2:$F$201,'Trial Rows'!F98,'Trial Rows'!$G$2:$G$201,'Trial Rows'!G98,'Trial Rows'!$Y$2:$Y$201,'Trial Rows'!Y98,'Trial Rows'!$I$2:$I$201,3)=1,COUNTIFS('Trial Rows'!$B$2:$B$201,'Trial Rows'!B98,'Trial Rows'!$C$2:$C$201,'Trial Rows'!C98,'Trial Rows'!$F$2:$F$201,'Trial Rows'!F98,'Trial Rows'!$G$2:$G$201,'Trial Rows'!G98,'Trial Rows'!$Y$2:$Y$201,'Trial Rows'!Y98,'Trial Rows'!$I$2:$I$201,4)=1,COUNTIFS('Trial Rows'!$B$2:$B$201,'Trial Rows'!B98,'Trial Rows'!$C$2:$C$201,'Trial Rows'!C98,'Trial Rows'!$F$2:$F$201,'Trial Rows'!F98,'Trial Rows'!$G$2:$G$201,'Trial Rows'!G98,'Trial Rows'!$Y$2:$Y$201,'Trial Rows'!Y98,'Trial Rows'!$W$2:$W$201,"&lt;&gt;")=4,ISNUMBER('Trial Rows'!U98),COUNTIFS('Trial Rows'!$B$2:$B$201,'Trial Rows'!B98,'Trial Rows'!$C$2:$C$201,'Trial Rows'!C98,'Trial Rows'!$F$2:$F$201,'Trial Rows'!F98,'Trial Rows'!$G$2:$G$201,'Trial Rows'!G98,'Trial Rows'!$Y$2:$Y$201,'Trial Rows'!Y98,'Trial Rows'!$U$2:$U$201,'Trial Rows'!U98)=4,'Trial Rows'!U98&gt;=0),1,0)</x:f>
        <x:v>0</x:v>
      </x:c>
      <x:c r="O98" s="2" t="str">
        <x:f>IF(N98=1,'Trial Rows'!U98/1000,"")</x:f>
      </x:c>
      <x:c r="P98" s="2" t="str">
        <x:f>IF(AND(N98=1,'Trial Rows'!G98="A"),O98,"")</x:f>
      </x:c>
      <x:c r="Q98" s="2" t="str">
        <x:f>IF(AND(N98=1,'Trial Rows'!G98="B"),O98,"")</x:f>
      </x:c>
      <x:c r="R98" s="2" t="str">
        <x:f>IF(AND(N98=1,COUNTIFS('Trial Rows'!$B$2:$B$201,'Trial Rows'!B98,'Trial Rows'!$C$2:$C$201,'Trial Rows'!C98,'Trial Rows'!$F$2:$F$201,'Trial Rows'!F98,'Trial Rows'!$G$2:$G$201,'Trial Rows'!G98,'Trial Rows'!$Y$2:$Y$201,'Trial Rows'!Y98,'Trial Rows'!$N$2:$N$201,"&gt;=0",'Trial Rows'!$N$2:$N$201,"&lt;=4",'Trial Rows'!$N$2:$N$201,"&lt;&gt;")=4),SUMIFS('Trial Rows'!$N$2:$N$201,'Trial Rows'!$B$2:$B$201,'Trial Rows'!B98,'Trial Rows'!$C$2:$C$201,'Trial Rows'!C98,'Trial Rows'!$F$2:$F$201,'Trial Rows'!F98,'Trial Rows'!$G$2:$G$201,'Trial Rows'!G98,'Trial Rows'!$Y$2:$Y$201,'Trial Rows'!Y98,'Trial Rows'!$I$2:$I$201,1)+4-SUMIFS('Trial Rows'!$N$2:$N$201,'Trial Rows'!$B$2:$B$201,'Trial Rows'!B98,'Trial Rows'!$C$2:$C$201,'Trial Rows'!C98,'Trial Rows'!$F$2:$F$201,'Trial Rows'!F98,'Trial Rows'!$G$2:$G$201,'Trial Rows'!G98,'Trial Rows'!$Y$2:$Y$201,'Trial Rows'!Y98,'Trial Rows'!$I$2:$I$201,2)+4-SUMIFS('Trial Rows'!$N$2:$N$201,'Trial Rows'!$B$2:$B$201,'Trial Rows'!B98,'Trial Rows'!$C$2:$C$201,'Trial Rows'!C98,'Trial Rows'!$F$2:$F$201,'Trial Rows'!F98,'Trial Rows'!$G$2:$G$201,'Trial Rows'!G98,'Trial Rows'!$Y$2:$Y$201,'Trial Rows'!Y98,'Trial Rows'!$I$2:$I$201,3)+SUMIFS('Trial Rows'!$N$2:$N$201,'Trial Rows'!$B$2:$B$201,'Trial Rows'!B98,'Trial Rows'!$C$2:$C$201,'Trial Rows'!C98,'Trial Rows'!$F$2:$F$201,'Trial Rows'!F98,'Trial Rows'!$G$2:$G$201,'Trial Rows'!G98,'Trial Rows'!$Y$2:$Y$201,'Trial Rows'!Y98,'Trial Rows'!$I$2:$I$201,4),"")</x:f>
      </x:c>
      <x:c r="S98" s="2" t="n">
        <x:f>IF(AND(B98=1,COUNTIFS('Trial Rows'!$C$2:C98,'Trial Rows'!C98,'Trial Rows'!$F$2:F98,Summary!$B$5,'Trial Rows'!$Y$2:Y98,Summary!$B$4)=1),1,0)</x:f>
        <x:v>0</x:v>
      </x:c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 t="str">
        <x:f>IF('Trial Rows'!A99="","",'Trial Rows'!F99&amp;"|"&amp;'Trial Rows'!B99&amp;"|"&amp;'Trial Rows'!C99&amp;"|"&amp;'Trial Rows'!I99)</x:f>
      </x:c>
      <x:c r="B99" s="2" t="n">
        <x:f>IF(AND('Trial Rows'!A99&lt;&gt;"",'Trial Rows'!Y99=Summary!$B$4,'Trial Rows'!F99=Summary!$B$5),1,0)</x:f>
        <x:v>0</x:v>
      </x:c>
      <x:c r="C99" s="2" t="n">
        <x:f>IF(B99=1,COUNTIFS('Trial Rows'!$B$2:$B$201,'Trial Rows'!B99,'Trial Rows'!$C$2:$C$201,'Trial Rows'!C99,'Trial Rows'!$F$2:$F$201,'Trial Rows'!F99,'Trial Rows'!$I$2:$I$201,'Trial Rows'!I99,'Trial Rows'!$Y$2:$Y$201,'Trial Rows'!Y99,'Trial Rows'!$G$2:$G$201,"A"),0)</x:f>
        <x:v>0</x:v>
      </x:c>
      <x:c r="D99" s="2" t="n">
        <x:f>IF(B99=1,COUNTIFS('Trial Rows'!$B$2:$B$201,'Trial Rows'!B99,'Trial Rows'!$C$2:$C$201,'Trial Rows'!C99,'Trial Rows'!$F$2:$F$201,'Trial Rows'!F99,'Trial Rows'!$I$2:$I$201,'Trial Rows'!I99,'Trial Rows'!$Y$2:$Y$201,'Trial Rows'!Y99,'Trial Rows'!$G$2:$G$201,"B"),0)</x:f>
        <x:v>0</x:v>
      </x:c>
      <x:c r="E99" s="2" t="str">
        <x:f>IF(AND(C99=1,COUNTIFS('Trial Rows'!$B$2:$B$201,'Trial Rows'!B99,'Trial Rows'!$C$2:$C$201,'Trial Rows'!C99,'Trial Rows'!$F$2:$F$201,'Trial Rows'!F99,'Trial Rows'!$I$2:$I$201,'Trial Rows'!I99,'Trial Rows'!$Y$2:$Y$201,'Trial Rows'!Y99,'Trial Rows'!$G$2:$G$201,"A",'Trial Rows'!$K$2:$K$201,"&gt;=0",'Trial Rows'!$K$2:$K$201,"&lt;=4",'Trial Rows'!$K$2:$K$201,"&lt;&gt;")=1),SUMIFS('Trial Rows'!$K$2:$K$201,'Trial Rows'!$B$2:$B$201,'Trial Rows'!B99,'Trial Rows'!$C$2:$C$201,'Trial Rows'!C99,'Trial Rows'!$F$2:$F$201,'Trial Rows'!F99,'Trial Rows'!$I$2:$I$201,'Trial Rows'!I99,'Trial Rows'!$Y$2:$Y$201,'Trial Rows'!Y99,'Trial Rows'!$G$2:$G$201,"A"),"")</x:f>
      </x:c>
      <x:c r="F99" s="2" t="n">
        <x:f>IF(AND(B99=1,'Trial Rows'!G99="B",C99=1,D99=1,ISNUMBER(E99),ISNUMBER('Trial Rows'!M99),'Trial Rows'!M99&gt;=0,'Trial Rows'!M99&lt;=4,'Trial Rows'!Q99=0,'Trial Rows'!S99=0),1,0)</x:f>
        <x:v>0</x:v>
      </x:c>
      <x:c r="G99" s="2" t="n">
        <x:f>IF(F99=1,IF(E99='Trial Rows'!M99,1,0),0)</x:f>
        <x:v>0</x:v>
      </x:c>
      <x:c r="H99" s="2" t="n">
        <x:f>IF(AND(B99=1,'Trial Rows'!G99="B",C99=1,D99=1,ISNUMBER(E99),'Trial Rows'!R99=1,'Trial Rows'!Q99=0,'Trial Rows'!S99=0,ISNUMBER('Trial Rows'!L99),'Trial Rows'!L99&gt;=0,'Trial Rows'!L99&lt;=4),1,0)</x:f>
        <x:v>0</x:v>
      </x:c>
      <x:c r="I99" s="2" t="n">
        <x:f>IF(H99=1,IF(E99='Trial Rows'!L99,1,0),0)</x:f>
        <x:v>0</x:v>
      </x:c>
      <x:c r="J99" s="2" t="n">
        <x:f>IF(AND(B99=1,'Trial Rows'!G99="B",'Trial Rows'!P99&gt;0),1,0)</x:f>
        <x:v>0</x:v>
      </x:c>
      <x:c r="K99" s="2" t="n">
        <x:f>IF(AND(B99=1,'Trial Rows'!G99="B",'Trial Rows'!Q99=1),1,0)</x:f>
        <x:v>0</x:v>
      </x:c>
      <x:c r="L99" s="2" t="n">
        <x:f>IF(AND(B99=1,'Trial Rows'!G99="B",'Trial Rows'!R99=1,'Trial Rows'!Q99=0,'Trial Rows'!S99=0),1,0)</x:f>
        <x:v>0</x:v>
      </x:c>
      <x:c r="M99" s="2" t="n">
        <x:f>IF(AND(B99=1,'Trial Rows'!G99="B"),1,0)</x:f>
        <x:v>0</x:v>
      </x:c>
      <x:c r="N99" s="2" t="n">
        <x:f>IF(AND(B99=1,'Trial Rows'!I99=1,COUNTIFS('Trial Rows'!$B$2:$B$201,'Trial Rows'!B99,'Trial Rows'!$C$2:$C$201,'Trial Rows'!C99,'Trial Rows'!$F$2:$F$201,'Trial Rows'!F99,'Trial Rows'!$G$2:$G$201,'Trial Rows'!G99,'Trial Rows'!$Y$2:$Y$201,'Trial Rows'!Y99)=4,COUNTIFS('Trial Rows'!$B$2:$B$201,'Trial Rows'!B99,'Trial Rows'!$C$2:$C$201,'Trial Rows'!C99,'Trial Rows'!$F$2:$F$201,'Trial Rows'!F99,'Trial Rows'!$G$2:$G$201,'Trial Rows'!G99,'Trial Rows'!$Y$2:$Y$201,'Trial Rows'!Y99,'Trial Rows'!$I$2:$I$201,1)=1,COUNTIFS('Trial Rows'!$B$2:$B$201,'Trial Rows'!B99,'Trial Rows'!$C$2:$C$201,'Trial Rows'!C99,'Trial Rows'!$F$2:$F$201,'Trial Rows'!F99,'Trial Rows'!$G$2:$G$201,'Trial Rows'!G99,'Trial Rows'!$Y$2:$Y$201,'Trial Rows'!Y99,'Trial Rows'!$I$2:$I$201,2)=1,COUNTIFS('Trial Rows'!$B$2:$B$201,'Trial Rows'!B99,'Trial Rows'!$C$2:$C$201,'Trial Rows'!C99,'Trial Rows'!$F$2:$F$201,'Trial Rows'!F99,'Trial Rows'!$G$2:$G$201,'Trial Rows'!G99,'Trial Rows'!$Y$2:$Y$201,'Trial Rows'!Y99,'Trial Rows'!$I$2:$I$201,3)=1,COUNTIFS('Trial Rows'!$B$2:$B$201,'Trial Rows'!B99,'Trial Rows'!$C$2:$C$201,'Trial Rows'!C99,'Trial Rows'!$F$2:$F$201,'Trial Rows'!F99,'Trial Rows'!$G$2:$G$201,'Trial Rows'!G99,'Trial Rows'!$Y$2:$Y$201,'Trial Rows'!Y99,'Trial Rows'!$I$2:$I$201,4)=1,COUNTIFS('Trial Rows'!$B$2:$B$201,'Trial Rows'!B99,'Trial Rows'!$C$2:$C$201,'Trial Rows'!C99,'Trial Rows'!$F$2:$F$201,'Trial Rows'!F99,'Trial Rows'!$G$2:$G$201,'Trial Rows'!G99,'Trial Rows'!$Y$2:$Y$201,'Trial Rows'!Y99,'Trial Rows'!$W$2:$W$201,"&lt;&gt;")=4,ISNUMBER('Trial Rows'!U99),COUNTIFS('Trial Rows'!$B$2:$B$201,'Trial Rows'!B99,'Trial Rows'!$C$2:$C$201,'Trial Rows'!C99,'Trial Rows'!$F$2:$F$201,'Trial Rows'!F99,'Trial Rows'!$G$2:$G$201,'Trial Rows'!G99,'Trial Rows'!$Y$2:$Y$201,'Trial Rows'!Y99,'Trial Rows'!$U$2:$U$201,'Trial Rows'!U99)=4,'Trial Rows'!U99&gt;=0),1,0)</x:f>
        <x:v>0</x:v>
      </x:c>
      <x:c r="O99" s="2" t="str">
        <x:f>IF(N99=1,'Trial Rows'!U99/1000,"")</x:f>
      </x:c>
      <x:c r="P99" s="2" t="str">
        <x:f>IF(AND(N99=1,'Trial Rows'!G99="A"),O99,"")</x:f>
      </x:c>
      <x:c r="Q99" s="2" t="str">
        <x:f>IF(AND(N99=1,'Trial Rows'!G99="B"),O99,"")</x:f>
      </x:c>
      <x:c r="R99" s="2" t="str">
        <x:f>IF(AND(N99=1,COUNTIFS('Trial Rows'!$B$2:$B$201,'Trial Rows'!B99,'Trial Rows'!$C$2:$C$201,'Trial Rows'!C99,'Trial Rows'!$F$2:$F$201,'Trial Rows'!F99,'Trial Rows'!$G$2:$G$201,'Trial Rows'!G99,'Trial Rows'!$Y$2:$Y$201,'Trial Rows'!Y99,'Trial Rows'!$N$2:$N$201,"&gt;=0",'Trial Rows'!$N$2:$N$201,"&lt;=4",'Trial Rows'!$N$2:$N$201,"&lt;&gt;")=4),SUMIFS('Trial Rows'!$N$2:$N$201,'Trial Rows'!$B$2:$B$201,'Trial Rows'!B99,'Trial Rows'!$C$2:$C$201,'Trial Rows'!C99,'Trial Rows'!$F$2:$F$201,'Trial Rows'!F99,'Trial Rows'!$G$2:$G$201,'Trial Rows'!G99,'Trial Rows'!$Y$2:$Y$201,'Trial Rows'!Y99,'Trial Rows'!$I$2:$I$201,1)+4-SUMIFS('Trial Rows'!$N$2:$N$201,'Trial Rows'!$B$2:$B$201,'Trial Rows'!B99,'Trial Rows'!$C$2:$C$201,'Trial Rows'!C99,'Trial Rows'!$F$2:$F$201,'Trial Rows'!F99,'Trial Rows'!$G$2:$G$201,'Trial Rows'!G99,'Trial Rows'!$Y$2:$Y$201,'Trial Rows'!Y99,'Trial Rows'!$I$2:$I$201,2)+4-SUMIFS('Trial Rows'!$N$2:$N$201,'Trial Rows'!$B$2:$B$201,'Trial Rows'!B99,'Trial Rows'!$C$2:$C$201,'Trial Rows'!C99,'Trial Rows'!$F$2:$F$201,'Trial Rows'!F99,'Trial Rows'!$G$2:$G$201,'Trial Rows'!G99,'Trial Rows'!$Y$2:$Y$201,'Trial Rows'!Y99,'Trial Rows'!$I$2:$I$201,3)+SUMIFS('Trial Rows'!$N$2:$N$201,'Trial Rows'!$B$2:$B$201,'Trial Rows'!B99,'Trial Rows'!$C$2:$C$201,'Trial Rows'!C99,'Trial Rows'!$F$2:$F$201,'Trial Rows'!F99,'Trial Rows'!$G$2:$G$201,'Trial Rows'!G99,'Trial Rows'!$Y$2:$Y$201,'Trial Rows'!Y99,'Trial Rows'!$I$2:$I$201,4),"")</x:f>
      </x:c>
      <x:c r="S99" s="2" t="n">
        <x:f>IF(AND(B99=1,COUNTIFS('Trial Rows'!$C$2:C99,'Trial Rows'!C99,'Trial Rows'!$F$2:F99,Summary!$B$5,'Trial Rows'!$Y$2:Y99,Summary!$B$4)=1),1,0)</x:f>
        <x:v>0</x:v>
      </x:c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 t="str">
        <x:f>IF('Trial Rows'!A100="","",'Trial Rows'!F100&amp;"|"&amp;'Trial Rows'!B100&amp;"|"&amp;'Trial Rows'!C100&amp;"|"&amp;'Trial Rows'!I100)</x:f>
      </x:c>
      <x:c r="B100" s="2" t="n">
        <x:f>IF(AND('Trial Rows'!A100&lt;&gt;"",'Trial Rows'!Y100=Summary!$B$4,'Trial Rows'!F100=Summary!$B$5),1,0)</x:f>
        <x:v>0</x:v>
      </x:c>
      <x:c r="C100" s="2" t="n">
        <x:f>IF(B100=1,COUNTIFS('Trial Rows'!$B$2:$B$201,'Trial Rows'!B100,'Trial Rows'!$C$2:$C$201,'Trial Rows'!C100,'Trial Rows'!$F$2:$F$201,'Trial Rows'!F100,'Trial Rows'!$I$2:$I$201,'Trial Rows'!I100,'Trial Rows'!$Y$2:$Y$201,'Trial Rows'!Y100,'Trial Rows'!$G$2:$G$201,"A"),0)</x:f>
        <x:v>0</x:v>
      </x:c>
      <x:c r="D100" s="2" t="n">
        <x:f>IF(B100=1,COUNTIFS('Trial Rows'!$B$2:$B$201,'Trial Rows'!B100,'Trial Rows'!$C$2:$C$201,'Trial Rows'!C100,'Trial Rows'!$F$2:$F$201,'Trial Rows'!F100,'Trial Rows'!$I$2:$I$201,'Trial Rows'!I100,'Trial Rows'!$Y$2:$Y$201,'Trial Rows'!Y100,'Trial Rows'!$G$2:$G$201,"B"),0)</x:f>
        <x:v>0</x:v>
      </x:c>
      <x:c r="E100" s="2" t="str">
        <x:f>IF(AND(C100=1,COUNTIFS('Trial Rows'!$B$2:$B$201,'Trial Rows'!B100,'Trial Rows'!$C$2:$C$201,'Trial Rows'!C100,'Trial Rows'!$F$2:$F$201,'Trial Rows'!F100,'Trial Rows'!$I$2:$I$201,'Trial Rows'!I100,'Trial Rows'!$Y$2:$Y$201,'Trial Rows'!Y100,'Trial Rows'!$G$2:$G$201,"A",'Trial Rows'!$K$2:$K$201,"&gt;=0",'Trial Rows'!$K$2:$K$201,"&lt;=4",'Trial Rows'!$K$2:$K$201,"&lt;&gt;")=1),SUMIFS('Trial Rows'!$K$2:$K$201,'Trial Rows'!$B$2:$B$201,'Trial Rows'!B100,'Trial Rows'!$C$2:$C$201,'Trial Rows'!C100,'Trial Rows'!$F$2:$F$201,'Trial Rows'!F100,'Trial Rows'!$I$2:$I$201,'Trial Rows'!I100,'Trial Rows'!$Y$2:$Y$201,'Trial Rows'!Y100,'Trial Rows'!$G$2:$G$201,"A"),"")</x:f>
      </x:c>
      <x:c r="F100" s="2" t="n">
        <x:f>IF(AND(B100=1,'Trial Rows'!G100="B",C100=1,D100=1,ISNUMBER(E100),ISNUMBER('Trial Rows'!M100),'Trial Rows'!M100&gt;=0,'Trial Rows'!M100&lt;=4,'Trial Rows'!Q100=0,'Trial Rows'!S100=0),1,0)</x:f>
        <x:v>0</x:v>
      </x:c>
      <x:c r="G100" s="2" t="n">
        <x:f>IF(F100=1,IF(E100='Trial Rows'!M100,1,0),0)</x:f>
        <x:v>0</x:v>
      </x:c>
      <x:c r="H100" s="2" t="n">
        <x:f>IF(AND(B100=1,'Trial Rows'!G100="B",C100=1,D100=1,ISNUMBER(E100),'Trial Rows'!R100=1,'Trial Rows'!Q100=0,'Trial Rows'!S100=0,ISNUMBER('Trial Rows'!L100),'Trial Rows'!L100&gt;=0,'Trial Rows'!L100&lt;=4),1,0)</x:f>
        <x:v>0</x:v>
      </x:c>
      <x:c r="I100" s="2" t="n">
        <x:f>IF(H100=1,IF(E100='Trial Rows'!L100,1,0),0)</x:f>
        <x:v>0</x:v>
      </x:c>
      <x:c r="J100" s="2" t="n">
        <x:f>IF(AND(B100=1,'Trial Rows'!G100="B",'Trial Rows'!P100&gt;0),1,0)</x:f>
        <x:v>0</x:v>
      </x:c>
      <x:c r="K100" s="2" t="n">
        <x:f>IF(AND(B100=1,'Trial Rows'!G100="B",'Trial Rows'!Q100=1),1,0)</x:f>
        <x:v>0</x:v>
      </x:c>
      <x:c r="L100" s="2" t="n">
        <x:f>IF(AND(B100=1,'Trial Rows'!G100="B",'Trial Rows'!R100=1,'Trial Rows'!Q100=0,'Trial Rows'!S100=0),1,0)</x:f>
        <x:v>0</x:v>
      </x:c>
      <x:c r="M100" s="2" t="n">
        <x:f>IF(AND(B100=1,'Trial Rows'!G100="B"),1,0)</x:f>
        <x:v>0</x:v>
      </x:c>
      <x:c r="N100" s="2" t="n">
        <x:f>IF(AND(B100=1,'Trial Rows'!I100=1,COUNTIFS('Trial Rows'!$B$2:$B$201,'Trial Rows'!B100,'Trial Rows'!$C$2:$C$201,'Trial Rows'!C100,'Trial Rows'!$F$2:$F$201,'Trial Rows'!F100,'Trial Rows'!$G$2:$G$201,'Trial Rows'!G100,'Trial Rows'!$Y$2:$Y$201,'Trial Rows'!Y100)=4,COUNTIFS('Trial Rows'!$B$2:$B$201,'Trial Rows'!B100,'Trial Rows'!$C$2:$C$201,'Trial Rows'!C100,'Trial Rows'!$F$2:$F$201,'Trial Rows'!F100,'Trial Rows'!$G$2:$G$201,'Trial Rows'!G100,'Trial Rows'!$Y$2:$Y$201,'Trial Rows'!Y100,'Trial Rows'!$I$2:$I$201,1)=1,COUNTIFS('Trial Rows'!$B$2:$B$201,'Trial Rows'!B100,'Trial Rows'!$C$2:$C$201,'Trial Rows'!C100,'Trial Rows'!$F$2:$F$201,'Trial Rows'!F100,'Trial Rows'!$G$2:$G$201,'Trial Rows'!G100,'Trial Rows'!$Y$2:$Y$201,'Trial Rows'!Y100,'Trial Rows'!$I$2:$I$201,2)=1,COUNTIFS('Trial Rows'!$B$2:$B$201,'Trial Rows'!B100,'Trial Rows'!$C$2:$C$201,'Trial Rows'!C100,'Trial Rows'!$F$2:$F$201,'Trial Rows'!F100,'Trial Rows'!$G$2:$G$201,'Trial Rows'!G100,'Trial Rows'!$Y$2:$Y$201,'Trial Rows'!Y100,'Trial Rows'!$I$2:$I$201,3)=1,COUNTIFS('Trial Rows'!$B$2:$B$201,'Trial Rows'!B100,'Trial Rows'!$C$2:$C$201,'Trial Rows'!C100,'Trial Rows'!$F$2:$F$201,'Trial Rows'!F100,'Trial Rows'!$G$2:$G$201,'Trial Rows'!G100,'Trial Rows'!$Y$2:$Y$201,'Trial Rows'!Y100,'Trial Rows'!$I$2:$I$201,4)=1,COUNTIFS('Trial Rows'!$B$2:$B$201,'Trial Rows'!B100,'Trial Rows'!$C$2:$C$201,'Trial Rows'!C100,'Trial Rows'!$F$2:$F$201,'Trial Rows'!F100,'Trial Rows'!$G$2:$G$201,'Trial Rows'!G100,'Trial Rows'!$Y$2:$Y$201,'Trial Rows'!Y100,'Trial Rows'!$W$2:$W$201,"&lt;&gt;")=4,ISNUMBER('Trial Rows'!U100),COUNTIFS('Trial Rows'!$B$2:$B$201,'Trial Rows'!B100,'Trial Rows'!$C$2:$C$201,'Trial Rows'!C100,'Trial Rows'!$F$2:$F$201,'Trial Rows'!F100,'Trial Rows'!$G$2:$G$201,'Trial Rows'!G100,'Trial Rows'!$Y$2:$Y$201,'Trial Rows'!Y100,'Trial Rows'!$U$2:$U$201,'Trial Rows'!U100)=4,'Trial Rows'!U100&gt;=0),1,0)</x:f>
        <x:v>0</x:v>
      </x:c>
      <x:c r="O100" s="2" t="str">
        <x:f>IF(N100=1,'Trial Rows'!U100/1000,"")</x:f>
      </x:c>
      <x:c r="P100" s="2" t="str">
        <x:f>IF(AND(N100=1,'Trial Rows'!G100="A"),O100,"")</x:f>
      </x:c>
      <x:c r="Q100" s="2" t="str">
        <x:f>IF(AND(N100=1,'Trial Rows'!G100="B"),O100,"")</x:f>
      </x:c>
      <x:c r="R100" s="2" t="str">
        <x:f>IF(AND(N100=1,COUNTIFS('Trial Rows'!$B$2:$B$201,'Trial Rows'!B100,'Trial Rows'!$C$2:$C$201,'Trial Rows'!C100,'Trial Rows'!$F$2:$F$201,'Trial Rows'!F100,'Trial Rows'!$G$2:$G$201,'Trial Rows'!G100,'Trial Rows'!$Y$2:$Y$201,'Trial Rows'!Y100,'Trial Rows'!$N$2:$N$201,"&gt;=0",'Trial Rows'!$N$2:$N$201,"&lt;=4",'Trial Rows'!$N$2:$N$201,"&lt;&gt;")=4),SUMIFS('Trial Rows'!$N$2:$N$201,'Trial Rows'!$B$2:$B$201,'Trial Rows'!B100,'Trial Rows'!$C$2:$C$201,'Trial Rows'!C100,'Trial Rows'!$F$2:$F$201,'Trial Rows'!F100,'Trial Rows'!$G$2:$G$201,'Trial Rows'!G100,'Trial Rows'!$Y$2:$Y$201,'Trial Rows'!Y100,'Trial Rows'!$I$2:$I$201,1)+4-SUMIFS('Trial Rows'!$N$2:$N$201,'Trial Rows'!$B$2:$B$201,'Trial Rows'!B100,'Trial Rows'!$C$2:$C$201,'Trial Rows'!C100,'Trial Rows'!$F$2:$F$201,'Trial Rows'!F100,'Trial Rows'!$G$2:$G$201,'Trial Rows'!G100,'Trial Rows'!$Y$2:$Y$201,'Trial Rows'!Y100,'Trial Rows'!$I$2:$I$201,2)+4-SUMIFS('Trial Rows'!$N$2:$N$201,'Trial Rows'!$B$2:$B$201,'Trial Rows'!B100,'Trial Rows'!$C$2:$C$201,'Trial Rows'!C100,'Trial Rows'!$F$2:$F$201,'Trial Rows'!F100,'Trial Rows'!$G$2:$G$201,'Trial Rows'!G100,'Trial Rows'!$Y$2:$Y$201,'Trial Rows'!Y100,'Trial Rows'!$I$2:$I$201,3)+SUMIFS('Trial Rows'!$N$2:$N$201,'Trial Rows'!$B$2:$B$201,'Trial Rows'!B100,'Trial Rows'!$C$2:$C$201,'Trial Rows'!C100,'Trial Rows'!$F$2:$F$201,'Trial Rows'!F100,'Trial Rows'!$G$2:$G$201,'Trial Rows'!G100,'Trial Rows'!$Y$2:$Y$201,'Trial Rows'!Y100,'Trial Rows'!$I$2:$I$201,4),"")</x:f>
      </x:c>
      <x:c r="S100" s="2" t="n">
        <x:f>IF(AND(B100=1,COUNTIFS('Trial Rows'!$C$2:C100,'Trial Rows'!C100,'Trial Rows'!$F$2:F100,Summary!$B$5,'Trial Rows'!$Y$2:Y100,Summary!$B$4)=1),1,0)</x:f>
        <x:v>0</x:v>
      </x:c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 t="str">
        <x:f>IF('Trial Rows'!A101="","",'Trial Rows'!F101&amp;"|"&amp;'Trial Rows'!B101&amp;"|"&amp;'Trial Rows'!C101&amp;"|"&amp;'Trial Rows'!I101)</x:f>
      </x:c>
      <x:c r="B101" s="2" t="n">
        <x:f>IF(AND('Trial Rows'!A101&lt;&gt;"",'Trial Rows'!Y101=Summary!$B$4,'Trial Rows'!F101=Summary!$B$5),1,0)</x:f>
        <x:v>0</x:v>
      </x:c>
      <x:c r="C101" s="2" t="n">
        <x:f>IF(B101=1,COUNTIFS('Trial Rows'!$B$2:$B$201,'Trial Rows'!B101,'Trial Rows'!$C$2:$C$201,'Trial Rows'!C101,'Trial Rows'!$F$2:$F$201,'Trial Rows'!F101,'Trial Rows'!$I$2:$I$201,'Trial Rows'!I101,'Trial Rows'!$Y$2:$Y$201,'Trial Rows'!Y101,'Trial Rows'!$G$2:$G$201,"A"),0)</x:f>
        <x:v>0</x:v>
      </x:c>
      <x:c r="D101" s="2" t="n">
        <x:f>IF(B101=1,COUNTIFS('Trial Rows'!$B$2:$B$201,'Trial Rows'!B101,'Trial Rows'!$C$2:$C$201,'Trial Rows'!C101,'Trial Rows'!$F$2:$F$201,'Trial Rows'!F101,'Trial Rows'!$I$2:$I$201,'Trial Rows'!I101,'Trial Rows'!$Y$2:$Y$201,'Trial Rows'!Y101,'Trial Rows'!$G$2:$G$201,"B"),0)</x:f>
        <x:v>0</x:v>
      </x:c>
      <x:c r="E101" s="2" t="str">
        <x:f>IF(AND(C101=1,COUNTIFS('Trial Rows'!$B$2:$B$201,'Trial Rows'!B101,'Trial Rows'!$C$2:$C$201,'Trial Rows'!C101,'Trial Rows'!$F$2:$F$201,'Trial Rows'!F101,'Trial Rows'!$I$2:$I$201,'Trial Rows'!I101,'Trial Rows'!$Y$2:$Y$201,'Trial Rows'!Y101,'Trial Rows'!$G$2:$G$201,"A",'Trial Rows'!$K$2:$K$201,"&gt;=0",'Trial Rows'!$K$2:$K$201,"&lt;=4",'Trial Rows'!$K$2:$K$201,"&lt;&gt;")=1),SUMIFS('Trial Rows'!$K$2:$K$201,'Trial Rows'!$B$2:$B$201,'Trial Rows'!B101,'Trial Rows'!$C$2:$C$201,'Trial Rows'!C101,'Trial Rows'!$F$2:$F$201,'Trial Rows'!F101,'Trial Rows'!$I$2:$I$201,'Trial Rows'!I101,'Trial Rows'!$Y$2:$Y$201,'Trial Rows'!Y101,'Trial Rows'!$G$2:$G$201,"A"),"")</x:f>
      </x:c>
      <x:c r="F101" s="2" t="n">
        <x:f>IF(AND(B101=1,'Trial Rows'!G101="B",C101=1,D101=1,ISNUMBER(E101),ISNUMBER('Trial Rows'!M101),'Trial Rows'!M101&gt;=0,'Trial Rows'!M101&lt;=4,'Trial Rows'!Q101=0,'Trial Rows'!S101=0),1,0)</x:f>
        <x:v>0</x:v>
      </x:c>
      <x:c r="G101" s="2" t="n">
        <x:f>IF(F101=1,IF(E101='Trial Rows'!M101,1,0),0)</x:f>
        <x:v>0</x:v>
      </x:c>
      <x:c r="H101" s="2" t="n">
        <x:f>IF(AND(B101=1,'Trial Rows'!G101="B",C101=1,D101=1,ISNUMBER(E101),'Trial Rows'!R101=1,'Trial Rows'!Q101=0,'Trial Rows'!S101=0,ISNUMBER('Trial Rows'!L101),'Trial Rows'!L101&gt;=0,'Trial Rows'!L101&lt;=4),1,0)</x:f>
        <x:v>0</x:v>
      </x:c>
      <x:c r="I101" s="2" t="n">
        <x:f>IF(H101=1,IF(E101='Trial Rows'!L101,1,0),0)</x:f>
        <x:v>0</x:v>
      </x:c>
      <x:c r="J101" s="2" t="n">
        <x:f>IF(AND(B101=1,'Trial Rows'!G101="B",'Trial Rows'!P101&gt;0),1,0)</x:f>
        <x:v>0</x:v>
      </x:c>
      <x:c r="K101" s="2" t="n">
        <x:f>IF(AND(B101=1,'Trial Rows'!G101="B",'Trial Rows'!Q101=1),1,0)</x:f>
        <x:v>0</x:v>
      </x:c>
      <x:c r="L101" s="2" t="n">
        <x:f>IF(AND(B101=1,'Trial Rows'!G101="B",'Trial Rows'!R101=1,'Trial Rows'!Q101=0,'Trial Rows'!S101=0),1,0)</x:f>
        <x:v>0</x:v>
      </x:c>
      <x:c r="M101" s="2" t="n">
        <x:f>IF(AND(B101=1,'Trial Rows'!G101="B"),1,0)</x:f>
        <x:v>0</x:v>
      </x:c>
      <x:c r="N101" s="2" t="n">
        <x:f>IF(AND(B101=1,'Trial Rows'!I101=1,COUNTIFS('Trial Rows'!$B$2:$B$201,'Trial Rows'!B101,'Trial Rows'!$C$2:$C$201,'Trial Rows'!C101,'Trial Rows'!$F$2:$F$201,'Trial Rows'!F101,'Trial Rows'!$G$2:$G$201,'Trial Rows'!G101,'Trial Rows'!$Y$2:$Y$201,'Trial Rows'!Y101)=4,COUNTIFS('Trial Rows'!$B$2:$B$201,'Trial Rows'!B101,'Trial Rows'!$C$2:$C$201,'Trial Rows'!C101,'Trial Rows'!$F$2:$F$201,'Trial Rows'!F101,'Trial Rows'!$G$2:$G$201,'Trial Rows'!G101,'Trial Rows'!$Y$2:$Y$201,'Trial Rows'!Y101,'Trial Rows'!$I$2:$I$201,1)=1,COUNTIFS('Trial Rows'!$B$2:$B$201,'Trial Rows'!B101,'Trial Rows'!$C$2:$C$201,'Trial Rows'!C101,'Trial Rows'!$F$2:$F$201,'Trial Rows'!F101,'Trial Rows'!$G$2:$G$201,'Trial Rows'!G101,'Trial Rows'!$Y$2:$Y$201,'Trial Rows'!Y101,'Trial Rows'!$I$2:$I$201,2)=1,COUNTIFS('Trial Rows'!$B$2:$B$201,'Trial Rows'!B101,'Trial Rows'!$C$2:$C$201,'Trial Rows'!C101,'Trial Rows'!$F$2:$F$201,'Trial Rows'!F101,'Trial Rows'!$G$2:$G$201,'Trial Rows'!G101,'Trial Rows'!$Y$2:$Y$201,'Trial Rows'!Y101,'Trial Rows'!$I$2:$I$201,3)=1,COUNTIFS('Trial Rows'!$B$2:$B$201,'Trial Rows'!B101,'Trial Rows'!$C$2:$C$201,'Trial Rows'!C101,'Trial Rows'!$F$2:$F$201,'Trial Rows'!F101,'Trial Rows'!$G$2:$G$201,'Trial Rows'!G101,'Trial Rows'!$Y$2:$Y$201,'Trial Rows'!Y101,'Trial Rows'!$I$2:$I$201,4)=1,COUNTIFS('Trial Rows'!$B$2:$B$201,'Trial Rows'!B101,'Trial Rows'!$C$2:$C$201,'Trial Rows'!C101,'Trial Rows'!$F$2:$F$201,'Trial Rows'!F101,'Trial Rows'!$G$2:$G$201,'Trial Rows'!G101,'Trial Rows'!$Y$2:$Y$201,'Trial Rows'!Y101,'Trial Rows'!$W$2:$W$201,"&lt;&gt;")=4,ISNUMBER('Trial Rows'!U101),COUNTIFS('Trial Rows'!$B$2:$B$201,'Trial Rows'!B101,'Trial Rows'!$C$2:$C$201,'Trial Rows'!C101,'Trial Rows'!$F$2:$F$201,'Trial Rows'!F101,'Trial Rows'!$G$2:$G$201,'Trial Rows'!G101,'Trial Rows'!$Y$2:$Y$201,'Trial Rows'!Y101,'Trial Rows'!$U$2:$U$201,'Trial Rows'!U101)=4,'Trial Rows'!U101&gt;=0),1,0)</x:f>
        <x:v>0</x:v>
      </x:c>
      <x:c r="O101" s="2" t="str">
        <x:f>IF(N101=1,'Trial Rows'!U101/1000,"")</x:f>
      </x:c>
      <x:c r="P101" s="2" t="str">
        <x:f>IF(AND(N101=1,'Trial Rows'!G101="A"),O101,"")</x:f>
      </x:c>
      <x:c r="Q101" s="2" t="str">
        <x:f>IF(AND(N101=1,'Trial Rows'!G101="B"),O101,"")</x:f>
      </x:c>
      <x:c r="R101" s="2" t="str">
        <x:f>IF(AND(N101=1,COUNTIFS('Trial Rows'!$B$2:$B$201,'Trial Rows'!B101,'Trial Rows'!$C$2:$C$201,'Trial Rows'!C101,'Trial Rows'!$F$2:$F$201,'Trial Rows'!F101,'Trial Rows'!$G$2:$G$201,'Trial Rows'!G101,'Trial Rows'!$Y$2:$Y$201,'Trial Rows'!Y101,'Trial Rows'!$N$2:$N$201,"&gt;=0",'Trial Rows'!$N$2:$N$201,"&lt;=4",'Trial Rows'!$N$2:$N$201,"&lt;&gt;")=4),SUMIFS('Trial Rows'!$N$2:$N$201,'Trial Rows'!$B$2:$B$201,'Trial Rows'!B101,'Trial Rows'!$C$2:$C$201,'Trial Rows'!C101,'Trial Rows'!$F$2:$F$201,'Trial Rows'!F101,'Trial Rows'!$G$2:$G$201,'Trial Rows'!G101,'Trial Rows'!$Y$2:$Y$201,'Trial Rows'!Y101,'Trial Rows'!$I$2:$I$201,1)+4-SUMIFS('Trial Rows'!$N$2:$N$201,'Trial Rows'!$B$2:$B$201,'Trial Rows'!B101,'Trial Rows'!$C$2:$C$201,'Trial Rows'!C101,'Trial Rows'!$F$2:$F$201,'Trial Rows'!F101,'Trial Rows'!$G$2:$G$201,'Trial Rows'!G101,'Trial Rows'!$Y$2:$Y$201,'Trial Rows'!Y101,'Trial Rows'!$I$2:$I$201,2)+4-SUMIFS('Trial Rows'!$N$2:$N$201,'Trial Rows'!$B$2:$B$201,'Trial Rows'!B101,'Trial Rows'!$C$2:$C$201,'Trial Rows'!C101,'Trial Rows'!$F$2:$F$201,'Trial Rows'!F101,'Trial Rows'!$G$2:$G$201,'Trial Rows'!G101,'Trial Rows'!$Y$2:$Y$201,'Trial Rows'!Y101,'Trial Rows'!$I$2:$I$201,3)+SUMIFS('Trial Rows'!$N$2:$N$201,'Trial Rows'!$B$2:$B$201,'Trial Rows'!B101,'Trial Rows'!$C$2:$C$201,'Trial Rows'!C101,'Trial Rows'!$F$2:$F$201,'Trial Rows'!F101,'Trial Rows'!$G$2:$G$201,'Trial Rows'!G101,'Trial Rows'!$Y$2:$Y$201,'Trial Rows'!Y101,'Trial Rows'!$I$2:$I$201,4),"")</x:f>
      </x:c>
      <x:c r="S101" s="2" t="n">
        <x:f>IF(AND(B101=1,COUNTIFS('Trial Rows'!$C$2:C101,'Trial Rows'!C101,'Trial Rows'!$F$2:F101,Summary!$B$5,'Trial Rows'!$Y$2:Y101,Summary!$B$4)=1),1,0)</x:f>
        <x:v>0</x:v>
      </x:c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 t="str">
        <x:f>IF('Trial Rows'!A102="","",'Trial Rows'!F102&amp;"|"&amp;'Trial Rows'!B102&amp;"|"&amp;'Trial Rows'!C102&amp;"|"&amp;'Trial Rows'!I102)</x:f>
      </x:c>
      <x:c r="B102" s="2" t="n">
        <x:f>IF(AND('Trial Rows'!A102&lt;&gt;"",'Trial Rows'!Y102=Summary!$B$4,'Trial Rows'!F102=Summary!$B$5),1,0)</x:f>
        <x:v>0</x:v>
      </x:c>
      <x:c r="C102" s="2" t="n">
        <x:f>IF(B102=1,COUNTIFS('Trial Rows'!$B$2:$B$201,'Trial Rows'!B102,'Trial Rows'!$C$2:$C$201,'Trial Rows'!C102,'Trial Rows'!$F$2:$F$201,'Trial Rows'!F102,'Trial Rows'!$I$2:$I$201,'Trial Rows'!I102,'Trial Rows'!$Y$2:$Y$201,'Trial Rows'!Y102,'Trial Rows'!$G$2:$G$201,"A"),0)</x:f>
        <x:v>0</x:v>
      </x:c>
      <x:c r="D102" s="2" t="n">
        <x:f>IF(B102=1,COUNTIFS('Trial Rows'!$B$2:$B$201,'Trial Rows'!B102,'Trial Rows'!$C$2:$C$201,'Trial Rows'!C102,'Trial Rows'!$F$2:$F$201,'Trial Rows'!F102,'Trial Rows'!$I$2:$I$201,'Trial Rows'!I102,'Trial Rows'!$Y$2:$Y$201,'Trial Rows'!Y102,'Trial Rows'!$G$2:$G$201,"B"),0)</x:f>
        <x:v>0</x:v>
      </x:c>
      <x:c r="E102" s="2" t="str">
        <x:f>IF(AND(C102=1,COUNTIFS('Trial Rows'!$B$2:$B$201,'Trial Rows'!B102,'Trial Rows'!$C$2:$C$201,'Trial Rows'!C102,'Trial Rows'!$F$2:$F$201,'Trial Rows'!F102,'Trial Rows'!$I$2:$I$201,'Trial Rows'!I102,'Trial Rows'!$Y$2:$Y$201,'Trial Rows'!Y102,'Trial Rows'!$G$2:$G$201,"A",'Trial Rows'!$K$2:$K$201,"&gt;=0",'Trial Rows'!$K$2:$K$201,"&lt;=4",'Trial Rows'!$K$2:$K$201,"&lt;&gt;")=1),SUMIFS('Trial Rows'!$K$2:$K$201,'Trial Rows'!$B$2:$B$201,'Trial Rows'!B102,'Trial Rows'!$C$2:$C$201,'Trial Rows'!C102,'Trial Rows'!$F$2:$F$201,'Trial Rows'!F102,'Trial Rows'!$I$2:$I$201,'Trial Rows'!I102,'Trial Rows'!$Y$2:$Y$201,'Trial Rows'!Y102,'Trial Rows'!$G$2:$G$201,"A"),"")</x:f>
      </x:c>
      <x:c r="F102" s="2" t="n">
        <x:f>IF(AND(B102=1,'Trial Rows'!G102="B",C102=1,D102=1,ISNUMBER(E102),ISNUMBER('Trial Rows'!M102),'Trial Rows'!M102&gt;=0,'Trial Rows'!M102&lt;=4,'Trial Rows'!Q102=0,'Trial Rows'!S102=0),1,0)</x:f>
        <x:v>0</x:v>
      </x:c>
      <x:c r="G102" s="2" t="n">
        <x:f>IF(F102=1,IF(E102='Trial Rows'!M102,1,0),0)</x:f>
        <x:v>0</x:v>
      </x:c>
      <x:c r="H102" s="2" t="n">
        <x:f>IF(AND(B102=1,'Trial Rows'!G102="B",C102=1,D102=1,ISNUMBER(E102),'Trial Rows'!R102=1,'Trial Rows'!Q102=0,'Trial Rows'!S102=0,ISNUMBER('Trial Rows'!L102),'Trial Rows'!L102&gt;=0,'Trial Rows'!L102&lt;=4),1,0)</x:f>
        <x:v>0</x:v>
      </x:c>
      <x:c r="I102" s="2" t="n">
        <x:f>IF(H102=1,IF(E102='Trial Rows'!L102,1,0),0)</x:f>
        <x:v>0</x:v>
      </x:c>
      <x:c r="J102" s="2" t="n">
        <x:f>IF(AND(B102=1,'Trial Rows'!G102="B",'Trial Rows'!P102&gt;0),1,0)</x:f>
        <x:v>0</x:v>
      </x:c>
      <x:c r="K102" s="2" t="n">
        <x:f>IF(AND(B102=1,'Trial Rows'!G102="B",'Trial Rows'!Q102=1),1,0)</x:f>
        <x:v>0</x:v>
      </x:c>
      <x:c r="L102" s="2" t="n">
        <x:f>IF(AND(B102=1,'Trial Rows'!G102="B",'Trial Rows'!R102=1,'Trial Rows'!Q102=0,'Trial Rows'!S102=0),1,0)</x:f>
        <x:v>0</x:v>
      </x:c>
      <x:c r="M102" s="2" t="n">
        <x:f>IF(AND(B102=1,'Trial Rows'!G102="B"),1,0)</x:f>
        <x:v>0</x:v>
      </x:c>
      <x:c r="N102" s="2" t="n">
        <x:f>IF(AND(B102=1,'Trial Rows'!I102=1,COUNTIFS('Trial Rows'!$B$2:$B$201,'Trial Rows'!B102,'Trial Rows'!$C$2:$C$201,'Trial Rows'!C102,'Trial Rows'!$F$2:$F$201,'Trial Rows'!F102,'Trial Rows'!$G$2:$G$201,'Trial Rows'!G102,'Trial Rows'!$Y$2:$Y$201,'Trial Rows'!Y102)=4,COUNTIFS('Trial Rows'!$B$2:$B$201,'Trial Rows'!B102,'Trial Rows'!$C$2:$C$201,'Trial Rows'!C102,'Trial Rows'!$F$2:$F$201,'Trial Rows'!F102,'Trial Rows'!$G$2:$G$201,'Trial Rows'!G102,'Trial Rows'!$Y$2:$Y$201,'Trial Rows'!Y102,'Trial Rows'!$I$2:$I$201,1)=1,COUNTIFS('Trial Rows'!$B$2:$B$201,'Trial Rows'!B102,'Trial Rows'!$C$2:$C$201,'Trial Rows'!C102,'Trial Rows'!$F$2:$F$201,'Trial Rows'!F102,'Trial Rows'!$G$2:$G$201,'Trial Rows'!G102,'Trial Rows'!$Y$2:$Y$201,'Trial Rows'!Y102,'Trial Rows'!$I$2:$I$201,2)=1,COUNTIFS('Trial Rows'!$B$2:$B$201,'Trial Rows'!B102,'Trial Rows'!$C$2:$C$201,'Trial Rows'!C102,'Trial Rows'!$F$2:$F$201,'Trial Rows'!F102,'Trial Rows'!$G$2:$G$201,'Trial Rows'!G102,'Trial Rows'!$Y$2:$Y$201,'Trial Rows'!Y102,'Trial Rows'!$I$2:$I$201,3)=1,COUNTIFS('Trial Rows'!$B$2:$B$201,'Trial Rows'!B102,'Trial Rows'!$C$2:$C$201,'Trial Rows'!C102,'Trial Rows'!$F$2:$F$201,'Trial Rows'!F102,'Trial Rows'!$G$2:$G$201,'Trial Rows'!G102,'Trial Rows'!$Y$2:$Y$201,'Trial Rows'!Y102,'Trial Rows'!$I$2:$I$201,4)=1,COUNTIFS('Trial Rows'!$B$2:$B$201,'Trial Rows'!B102,'Trial Rows'!$C$2:$C$201,'Trial Rows'!C102,'Trial Rows'!$F$2:$F$201,'Trial Rows'!F102,'Trial Rows'!$G$2:$G$201,'Trial Rows'!G102,'Trial Rows'!$Y$2:$Y$201,'Trial Rows'!Y102,'Trial Rows'!$W$2:$W$201,"&lt;&gt;")=4,ISNUMBER('Trial Rows'!U102),COUNTIFS('Trial Rows'!$B$2:$B$201,'Trial Rows'!B102,'Trial Rows'!$C$2:$C$201,'Trial Rows'!C102,'Trial Rows'!$F$2:$F$201,'Trial Rows'!F102,'Trial Rows'!$G$2:$G$201,'Trial Rows'!G102,'Trial Rows'!$Y$2:$Y$201,'Trial Rows'!Y102,'Trial Rows'!$U$2:$U$201,'Trial Rows'!U102)=4,'Trial Rows'!U102&gt;=0),1,0)</x:f>
        <x:v>0</x:v>
      </x:c>
      <x:c r="O102" s="2" t="str">
        <x:f>IF(N102=1,'Trial Rows'!U102/1000,"")</x:f>
      </x:c>
      <x:c r="P102" s="2" t="str">
        <x:f>IF(AND(N102=1,'Trial Rows'!G102="A"),O102,"")</x:f>
      </x:c>
      <x:c r="Q102" s="2" t="str">
        <x:f>IF(AND(N102=1,'Trial Rows'!G102="B"),O102,"")</x:f>
      </x:c>
      <x:c r="R102" s="2" t="str">
        <x:f>IF(AND(N102=1,COUNTIFS('Trial Rows'!$B$2:$B$201,'Trial Rows'!B102,'Trial Rows'!$C$2:$C$201,'Trial Rows'!C102,'Trial Rows'!$F$2:$F$201,'Trial Rows'!F102,'Trial Rows'!$G$2:$G$201,'Trial Rows'!G102,'Trial Rows'!$Y$2:$Y$201,'Trial Rows'!Y102,'Trial Rows'!$N$2:$N$201,"&gt;=0",'Trial Rows'!$N$2:$N$201,"&lt;=4",'Trial Rows'!$N$2:$N$201,"&lt;&gt;")=4),SUMIFS('Trial Rows'!$N$2:$N$201,'Trial Rows'!$B$2:$B$201,'Trial Rows'!B102,'Trial Rows'!$C$2:$C$201,'Trial Rows'!C102,'Trial Rows'!$F$2:$F$201,'Trial Rows'!F102,'Trial Rows'!$G$2:$G$201,'Trial Rows'!G102,'Trial Rows'!$Y$2:$Y$201,'Trial Rows'!Y102,'Trial Rows'!$I$2:$I$201,1)+4-SUMIFS('Trial Rows'!$N$2:$N$201,'Trial Rows'!$B$2:$B$201,'Trial Rows'!B102,'Trial Rows'!$C$2:$C$201,'Trial Rows'!C102,'Trial Rows'!$F$2:$F$201,'Trial Rows'!F102,'Trial Rows'!$G$2:$G$201,'Trial Rows'!G102,'Trial Rows'!$Y$2:$Y$201,'Trial Rows'!Y102,'Trial Rows'!$I$2:$I$201,2)+4-SUMIFS('Trial Rows'!$N$2:$N$201,'Trial Rows'!$B$2:$B$201,'Trial Rows'!B102,'Trial Rows'!$C$2:$C$201,'Trial Rows'!C102,'Trial Rows'!$F$2:$F$201,'Trial Rows'!F102,'Trial Rows'!$G$2:$G$201,'Trial Rows'!G102,'Trial Rows'!$Y$2:$Y$201,'Trial Rows'!Y102,'Trial Rows'!$I$2:$I$201,3)+SUMIFS('Trial Rows'!$N$2:$N$201,'Trial Rows'!$B$2:$B$201,'Trial Rows'!B102,'Trial Rows'!$C$2:$C$201,'Trial Rows'!C102,'Trial Rows'!$F$2:$F$201,'Trial Rows'!F102,'Trial Rows'!$G$2:$G$201,'Trial Rows'!G102,'Trial Rows'!$Y$2:$Y$201,'Trial Rows'!Y102,'Trial Rows'!$I$2:$I$201,4),"")</x:f>
      </x:c>
      <x:c r="S102" s="2" t="n">
        <x:f>IF(AND(B102=1,COUNTIFS('Trial Rows'!$C$2:C102,'Trial Rows'!C102,'Trial Rows'!$F$2:F102,Summary!$B$5,'Trial Rows'!$Y$2:Y102,Summary!$B$4)=1),1,0)</x:f>
        <x:v>0</x:v>
      </x:c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 t="str">
        <x:f>IF('Trial Rows'!A103="","",'Trial Rows'!F103&amp;"|"&amp;'Trial Rows'!B103&amp;"|"&amp;'Trial Rows'!C103&amp;"|"&amp;'Trial Rows'!I103)</x:f>
      </x:c>
      <x:c r="B103" s="2" t="n">
        <x:f>IF(AND('Trial Rows'!A103&lt;&gt;"",'Trial Rows'!Y103=Summary!$B$4,'Trial Rows'!F103=Summary!$B$5),1,0)</x:f>
        <x:v>0</x:v>
      </x:c>
      <x:c r="C103" s="2" t="n">
        <x:f>IF(B103=1,COUNTIFS('Trial Rows'!$B$2:$B$201,'Trial Rows'!B103,'Trial Rows'!$C$2:$C$201,'Trial Rows'!C103,'Trial Rows'!$F$2:$F$201,'Trial Rows'!F103,'Trial Rows'!$I$2:$I$201,'Trial Rows'!I103,'Trial Rows'!$Y$2:$Y$201,'Trial Rows'!Y103,'Trial Rows'!$G$2:$G$201,"A"),0)</x:f>
        <x:v>0</x:v>
      </x:c>
      <x:c r="D103" s="2" t="n">
        <x:f>IF(B103=1,COUNTIFS('Trial Rows'!$B$2:$B$201,'Trial Rows'!B103,'Trial Rows'!$C$2:$C$201,'Trial Rows'!C103,'Trial Rows'!$F$2:$F$201,'Trial Rows'!F103,'Trial Rows'!$I$2:$I$201,'Trial Rows'!I103,'Trial Rows'!$Y$2:$Y$201,'Trial Rows'!Y103,'Trial Rows'!$G$2:$G$201,"B"),0)</x:f>
        <x:v>0</x:v>
      </x:c>
      <x:c r="E103" s="2" t="str">
        <x:f>IF(AND(C103=1,COUNTIFS('Trial Rows'!$B$2:$B$201,'Trial Rows'!B103,'Trial Rows'!$C$2:$C$201,'Trial Rows'!C103,'Trial Rows'!$F$2:$F$201,'Trial Rows'!F103,'Trial Rows'!$I$2:$I$201,'Trial Rows'!I103,'Trial Rows'!$Y$2:$Y$201,'Trial Rows'!Y103,'Trial Rows'!$G$2:$G$201,"A",'Trial Rows'!$K$2:$K$201,"&gt;=0",'Trial Rows'!$K$2:$K$201,"&lt;=4",'Trial Rows'!$K$2:$K$201,"&lt;&gt;")=1),SUMIFS('Trial Rows'!$K$2:$K$201,'Trial Rows'!$B$2:$B$201,'Trial Rows'!B103,'Trial Rows'!$C$2:$C$201,'Trial Rows'!C103,'Trial Rows'!$F$2:$F$201,'Trial Rows'!F103,'Trial Rows'!$I$2:$I$201,'Trial Rows'!I103,'Trial Rows'!$Y$2:$Y$201,'Trial Rows'!Y103,'Trial Rows'!$G$2:$G$201,"A"),"")</x:f>
      </x:c>
      <x:c r="F103" s="2" t="n">
        <x:f>IF(AND(B103=1,'Trial Rows'!G103="B",C103=1,D103=1,ISNUMBER(E103),ISNUMBER('Trial Rows'!M103),'Trial Rows'!M103&gt;=0,'Trial Rows'!M103&lt;=4,'Trial Rows'!Q103=0,'Trial Rows'!S103=0),1,0)</x:f>
        <x:v>0</x:v>
      </x:c>
      <x:c r="G103" s="2" t="n">
        <x:f>IF(F103=1,IF(E103='Trial Rows'!M103,1,0),0)</x:f>
        <x:v>0</x:v>
      </x:c>
      <x:c r="H103" s="2" t="n">
        <x:f>IF(AND(B103=1,'Trial Rows'!G103="B",C103=1,D103=1,ISNUMBER(E103),'Trial Rows'!R103=1,'Trial Rows'!Q103=0,'Trial Rows'!S103=0,ISNUMBER('Trial Rows'!L103),'Trial Rows'!L103&gt;=0,'Trial Rows'!L103&lt;=4),1,0)</x:f>
        <x:v>0</x:v>
      </x:c>
      <x:c r="I103" s="2" t="n">
        <x:f>IF(H103=1,IF(E103='Trial Rows'!L103,1,0),0)</x:f>
        <x:v>0</x:v>
      </x:c>
      <x:c r="J103" s="2" t="n">
        <x:f>IF(AND(B103=1,'Trial Rows'!G103="B",'Trial Rows'!P103&gt;0),1,0)</x:f>
        <x:v>0</x:v>
      </x:c>
      <x:c r="K103" s="2" t="n">
        <x:f>IF(AND(B103=1,'Trial Rows'!G103="B",'Trial Rows'!Q103=1),1,0)</x:f>
        <x:v>0</x:v>
      </x:c>
      <x:c r="L103" s="2" t="n">
        <x:f>IF(AND(B103=1,'Trial Rows'!G103="B",'Trial Rows'!R103=1,'Trial Rows'!Q103=0,'Trial Rows'!S103=0),1,0)</x:f>
        <x:v>0</x:v>
      </x:c>
      <x:c r="M103" s="2" t="n">
        <x:f>IF(AND(B103=1,'Trial Rows'!G103="B"),1,0)</x:f>
        <x:v>0</x:v>
      </x:c>
      <x:c r="N103" s="2" t="n">
        <x:f>IF(AND(B103=1,'Trial Rows'!I103=1,COUNTIFS('Trial Rows'!$B$2:$B$201,'Trial Rows'!B103,'Trial Rows'!$C$2:$C$201,'Trial Rows'!C103,'Trial Rows'!$F$2:$F$201,'Trial Rows'!F103,'Trial Rows'!$G$2:$G$201,'Trial Rows'!G103,'Trial Rows'!$Y$2:$Y$201,'Trial Rows'!Y103)=4,COUNTIFS('Trial Rows'!$B$2:$B$201,'Trial Rows'!B103,'Trial Rows'!$C$2:$C$201,'Trial Rows'!C103,'Trial Rows'!$F$2:$F$201,'Trial Rows'!F103,'Trial Rows'!$G$2:$G$201,'Trial Rows'!G103,'Trial Rows'!$Y$2:$Y$201,'Trial Rows'!Y103,'Trial Rows'!$I$2:$I$201,1)=1,COUNTIFS('Trial Rows'!$B$2:$B$201,'Trial Rows'!B103,'Trial Rows'!$C$2:$C$201,'Trial Rows'!C103,'Trial Rows'!$F$2:$F$201,'Trial Rows'!F103,'Trial Rows'!$G$2:$G$201,'Trial Rows'!G103,'Trial Rows'!$Y$2:$Y$201,'Trial Rows'!Y103,'Trial Rows'!$I$2:$I$201,2)=1,COUNTIFS('Trial Rows'!$B$2:$B$201,'Trial Rows'!B103,'Trial Rows'!$C$2:$C$201,'Trial Rows'!C103,'Trial Rows'!$F$2:$F$201,'Trial Rows'!F103,'Trial Rows'!$G$2:$G$201,'Trial Rows'!G103,'Trial Rows'!$Y$2:$Y$201,'Trial Rows'!Y103,'Trial Rows'!$I$2:$I$201,3)=1,COUNTIFS('Trial Rows'!$B$2:$B$201,'Trial Rows'!B103,'Trial Rows'!$C$2:$C$201,'Trial Rows'!C103,'Trial Rows'!$F$2:$F$201,'Trial Rows'!F103,'Trial Rows'!$G$2:$G$201,'Trial Rows'!G103,'Trial Rows'!$Y$2:$Y$201,'Trial Rows'!Y103,'Trial Rows'!$I$2:$I$201,4)=1,COUNTIFS('Trial Rows'!$B$2:$B$201,'Trial Rows'!B103,'Trial Rows'!$C$2:$C$201,'Trial Rows'!C103,'Trial Rows'!$F$2:$F$201,'Trial Rows'!F103,'Trial Rows'!$G$2:$G$201,'Trial Rows'!G103,'Trial Rows'!$Y$2:$Y$201,'Trial Rows'!Y103,'Trial Rows'!$W$2:$W$201,"&lt;&gt;")=4,ISNUMBER('Trial Rows'!U103),COUNTIFS('Trial Rows'!$B$2:$B$201,'Trial Rows'!B103,'Trial Rows'!$C$2:$C$201,'Trial Rows'!C103,'Trial Rows'!$F$2:$F$201,'Trial Rows'!F103,'Trial Rows'!$G$2:$G$201,'Trial Rows'!G103,'Trial Rows'!$Y$2:$Y$201,'Trial Rows'!Y103,'Trial Rows'!$U$2:$U$201,'Trial Rows'!U103)=4,'Trial Rows'!U103&gt;=0),1,0)</x:f>
        <x:v>0</x:v>
      </x:c>
      <x:c r="O103" s="2" t="str">
        <x:f>IF(N103=1,'Trial Rows'!U103/1000,"")</x:f>
      </x:c>
      <x:c r="P103" s="2" t="str">
        <x:f>IF(AND(N103=1,'Trial Rows'!G103="A"),O103,"")</x:f>
      </x:c>
      <x:c r="Q103" s="2" t="str">
        <x:f>IF(AND(N103=1,'Trial Rows'!G103="B"),O103,"")</x:f>
      </x:c>
      <x:c r="R103" s="2" t="str">
        <x:f>IF(AND(N103=1,COUNTIFS('Trial Rows'!$B$2:$B$201,'Trial Rows'!B103,'Trial Rows'!$C$2:$C$201,'Trial Rows'!C103,'Trial Rows'!$F$2:$F$201,'Trial Rows'!F103,'Trial Rows'!$G$2:$G$201,'Trial Rows'!G103,'Trial Rows'!$Y$2:$Y$201,'Trial Rows'!Y103,'Trial Rows'!$N$2:$N$201,"&gt;=0",'Trial Rows'!$N$2:$N$201,"&lt;=4",'Trial Rows'!$N$2:$N$201,"&lt;&gt;")=4),SUMIFS('Trial Rows'!$N$2:$N$201,'Trial Rows'!$B$2:$B$201,'Trial Rows'!B103,'Trial Rows'!$C$2:$C$201,'Trial Rows'!C103,'Trial Rows'!$F$2:$F$201,'Trial Rows'!F103,'Trial Rows'!$G$2:$G$201,'Trial Rows'!G103,'Trial Rows'!$Y$2:$Y$201,'Trial Rows'!Y103,'Trial Rows'!$I$2:$I$201,1)+4-SUMIFS('Trial Rows'!$N$2:$N$201,'Trial Rows'!$B$2:$B$201,'Trial Rows'!B103,'Trial Rows'!$C$2:$C$201,'Trial Rows'!C103,'Trial Rows'!$F$2:$F$201,'Trial Rows'!F103,'Trial Rows'!$G$2:$G$201,'Trial Rows'!G103,'Trial Rows'!$Y$2:$Y$201,'Trial Rows'!Y103,'Trial Rows'!$I$2:$I$201,2)+4-SUMIFS('Trial Rows'!$N$2:$N$201,'Trial Rows'!$B$2:$B$201,'Trial Rows'!B103,'Trial Rows'!$C$2:$C$201,'Trial Rows'!C103,'Trial Rows'!$F$2:$F$201,'Trial Rows'!F103,'Trial Rows'!$G$2:$G$201,'Trial Rows'!G103,'Trial Rows'!$Y$2:$Y$201,'Trial Rows'!Y103,'Trial Rows'!$I$2:$I$201,3)+SUMIFS('Trial Rows'!$N$2:$N$201,'Trial Rows'!$B$2:$B$201,'Trial Rows'!B103,'Trial Rows'!$C$2:$C$201,'Trial Rows'!C103,'Trial Rows'!$F$2:$F$201,'Trial Rows'!F103,'Trial Rows'!$G$2:$G$201,'Trial Rows'!G103,'Trial Rows'!$Y$2:$Y$201,'Trial Rows'!Y103,'Trial Rows'!$I$2:$I$201,4),"")</x:f>
      </x:c>
      <x:c r="S103" s="2" t="n">
        <x:f>IF(AND(B103=1,COUNTIFS('Trial Rows'!$C$2:C103,'Trial Rows'!C103,'Trial Rows'!$F$2:F103,Summary!$B$5,'Trial Rows'!$Y$2:Y103,Summary!$B$4)=1),1,0)</x:f>
        <x:v>0</x:v>
      </x:c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 t="str">
        <x:f>IF('Trial Rows'!A104="","",'Trial Rows'!F104&amp;"|"&amp;'Trial Rows'!B104&amp;"|"&amp;'Trial Rows'!C104&amp;"|"&amp;'Trial Rows'!I104)</x:f>
      </x:c>
      <x:c r="B104" s="2" t="n">
        <x:f>IF(AND('Trial Rows'!A104&lt;&gt;"",'Trial Rows'!Y104=Summary!$B$4,'Trial Rows'!F104=Summary!$B$5),1,0)</x:f>
        <x:v>0</x:v>
      </x:c>
      <x:c r="C104" s="2" t="n">
        <x:f>IF(B104=1,COUNTIFS('Trial Rows'!$B$2:$B$201,'Trial Rows'!B104,'Trial Rows'!$C$2:$C$201,'Trial Rows'!C104,'Trial Rows'!$F$2:$F$201,'Trial Rows'!F104,'Trial Rows'!$I$2:$I$201,'Trial Rows'!I104,'Trial Rows'!$Y$2:$Y$201,'Trial Rows'!Y104,'Trial Rows'!$G$2:$G$201,"A"),0)</x:f>
        <x:v>0</x:v>
      </x:c>
      <x:c r="D104" s="2" t="n">
        <x:f>IF(B104=1,COUNTIFS('Trial Rows'!$B$2:$B$201,'Trial Rows'!B104,'Trial Rows'!$C$2:$C$201,'Trial Rows'!C104,'Trial Rows'!$F$2:$F$201,'Trial Rows'!F104,'Trial Rows'!$I$2:$I$201,'Trial Rows'!I104,'Trial Rows'!$Y$2:$Y$201,'Trial Rows'!Y104,'Trial Rows'!$G$2:$G$201,"B"),0)</x:f>
        <x:v>0</x:v>
      </x:c>
      <x:c r="E104" s="2" t="str">
        <x:f>IF(AND(C104=1,COUNTIFS('Trial Rows'!$B$2:$B$201,'Trial Rows'!B104,'Trial Rows'!$C$2:$C$201,'Trial Rows'!C104,'Trial Rows'!$F$2:$F$201,'Trial Rows'!F104,'Trial Rows'!$I$2:$I$201,'Trial Rows'!I104,'Trial Rows'!$Y$2:$Y$201,'Trial Rows'!Y104,'Trial Rows'!$G$2:$G$201,"A",'Trial Rows'!$K$2:$K$201,"&gt;=0",'Trial Rows'!$K$2:$K$201,"&lt;=4",'Trial Rows'!$K$2:$K$201,"&lt;&gt;")=1),SUMIFS('Trial Rows'!$K$2:$K$201,'Trial Rows'!$B$2:$B$201,'Trial Rows'!B104,'Trial Rows'!$C$2:$C$201,'Trial Rows'!C104,'Trial Rows'!$F$2:$F$201,'Trial Rows'!F104,'Trial Rows'!$I$2:$I$201,'Trial Rows'!I104,'Trial Rows'!$Y$2:$Y$201,'Trial Rows'!Y104,'Trial Rows'!$G$2:$G$201,"A"),"")</x:f>
      </x:c>
      <x:c r="F104" s="2" t="n">
        <x:f>IF(AND(B104=1,'Trial Rows'!G104="B",C104=1,D104=1,ISNUMBER(E104),ISNUMBER('Trial Rows'!M104),'Trial Rows'!M104&gt;=0,'Trial Rows'!M104&lt;=4,'Trial Rows'!Q104=0,'Trial Rows'!S104=0),1,0)</x:f>
        <x:v>0</x:v>
      </x:c>
      <x:c r="G104" s="2" t="n">
        <x:f>IF(F104=1,IF(E104='Trial Rows'!M104,1,0),0)</x:f>
        <x:v>0</x:v>
      </x:c>
      <x:c r="H104" s="2" t="n">
        <x:f>IF(AND(B104=1,'Trial Rows'!G104="B",C104=1,D104=1,ISNUMBER(E104),'Trial Rows'!R104=1,'Trial Rows'!Q104=0,'Trial Rows'!S104=0,ISNUMBER('Trial Rows'!L104),'Trial Rows'!L104&gt;=0,'Trial Rows'!L104&lt;=4),1,0)</x:f>
        <x:v>0</x:v>
      </x:c>
      <x:c r="I104" s="2" t="n">
        <x:f>IF(H104=1,IF(E104='Trial Rows'!L104,1,0),0)</x:f>
        <x:v>0</x:v>
      </x:c>
      <x:c r="J104" s="2" t="n">
        <x:f>IF(AND(B104=1,'Trial Rows'!G104="B",'Trial Rows'!P104&gt;0),1,0)</x:f>
        <x:v>0</x:v>
      </x:c>
      <x:c r="K104" s="2" t="n">
        <x:f>IF(AND(B104=1,'Trial Rows'!G104="B",'Trial Rows'!Q104=1),1,0)</x:f>
        <x:v>0</x:v>
      </x:c>
      <x:c r="L104" s="2" t="n">
        <x:f>IF(AND(B104=1,'Trial Rows'!G104="B",'Trial Rows'!R104=1,'Trial Rows'!Q104=0,'Trial Rows'!S104=0),1,0)</x:f>
        <x:v>0</x:v>
      </x:c>
      <x:c r="M104" s="2" t="n">
        <x:f>IF(AND(B104=1,'Trial Rows'!G104="B"),1,0)</x:f>
        <x:v>0</x:v>
      </x:c>
      <x:c r="N104" s="2" t="n">
        <x:f>IF(AND(B104=1,'Trial Rows'!I104=1,COUNTIFS('Trial Rows'!$B$2:$B$201,'Trial Rows'!B104,'Trial Rows'!$C$2:$C$201,'Trial Rows'!C104,'Trial Rows'!$F$2:$F$201,'Trial Rows'!F104,'Trial Rows'!$G$2:$G$201,'Trial Rows'!G104,'Trial Rows'!$Y$2:$Y$201,'Trial Rows'!Y104)=4,COUNTIFS('Trial Rows'!$B$2:$B$201,'Trial Rows'!B104,'Trial Rows'!$C$2:$C$201,'Trial Rows'!C104,'Trial Rows'!$F$2:$F$201,'Trial Rows'!F104,'Trial Rows'!$G$2:$G$201,'Trial Rows'!G104,'Trial Rows'!$Y$2:$Y$201,'Trial Rows'!Y104,'Trial Rows'!$I$2:$I$201,1)=1,COUNTIFS('Trial Rows'!$B$2:$B$201,'Trial Rows'!B104,'Trial Rows'!$C$2:$C$201,'Trial Rows'!C104,'Trial Rows'!$F$2:$F$201,'Trial Rows'!F104,'Trial Rows'!$G$2:$G$201,'Trial Rows'!G104,'Trial Rows'!$Y$2:$Y$201,'Trial Rows'!Y104,'Trial Rows'!$I$2:$I$201,2)=1,COUNTIFS('Trial Rows'!$B$2:$B$201,'Trial Rows'!B104,'Trial Rows'!$C$2:$C$201,'Trial Rows'!C104,'Trial Rows'!$F$2:$F$201,'Trial Rows'!F104,'Trial Rows'!$G$2:$G$201,'Trial Rows'!G104,'Trial Rows'!$Y$2:$Y$201,'Trial Rows'!Y104,'Trial Rows'!$I$2:$I$201,3)=1,COUNTIFS('Trial Rows'!$B$2:$B$201,'Trial Rows'!B104,'Trial Rows'!$C$2:$C$201,'Trial Rows'!C104,'Trial Rows'!$F$2:$F$201,'Trial Rows'!F104,'Trial Rows'!$G$2:$G$201,'Trial Rows'!G104,'Trial Rows'!$Y$2:$Y$201,'Trial Rows'!Y104,'Trial Rows'!$I$2:$I$201,4)=1,COUNTIFS('Trial Rows'!$B$2:$B$201,'Trial Rows'!B104,'Trial Rows'!$C$2:$C$201,'Trial Rows'!C104,'Trial Rows'!$F$2:$F$201,'Trial Rows'!F104,'Trial Rows'!$G$2:$G$201,'Trial Rows'!G104,'Trial Rows'!$Y$2:$Y$201,'Trial Rows'!Y104,'Trial Rows'!$W$2:$W$201,"&lt;&gt;")=4,ISNUMBER('Trial Rows'!U104),COUNTIFS('Trial Rows'!$B$2:$B$201,'Trial Rows'!B104,'Trial Rows'!$C$2:$C$201,'Trial Rows'!C104,'Trial Rows'!$F$2:$F$201,'Trial Rows'!F104,'Trial Rows'!$G$2:$G$201,'Trial Rows'!G104,'Trial Rows'!$Y$2:$Y$201,'Trial Rows'!Y104,'Trial Rows'!$U$2:$U$201,'Trial Rows'!U104)=4,'Trial Rows'!U104&gt;=0),1,0)</x:f>
        <x:v>0</x:v>
      </x:c>
      <x:c r="O104" s="2" t="str">
        <x:f>IF(N104=1,'Trial Rows'!U104/1000,"")</x:f>
      </x:c>
      <x:c r="P104" s="2" t="str">
        <x:f>IF(AND(N104=1,'Trial Rows'!G104="A"),O104,"")</x:f>
      </x:c>
      <x:c r="Q104" s="2" t="str">
        <x:f>IF(AND(N104=1,'Trial Rows'!G104="B"),O104,"")</x:f>
      </x:c>
      <x:c r="R104" s="2" t="str">
        <x:f>IF(AND(N104=1,COUNTIFS('Trial Rows'!$B$2:$B$201,'Trial Rows'!B104,'Trial Rows'!$C$2:$C$201,'Trial Rows'!C104,'Trial Rows'!$F$2:$F$201,'Trial Rows'!F104,'Trial Rows'!$G$2:$G$201,'Trial Rows'!G104,'Trial Rows'!$Y$2:$Y$201,'Trial Rows'!Y104,'Trial Rows'!$N$2:$N$201,"&gt;=0",'Trial Rows'!$N$2:$N$201,"&lt;=4",'Trial Rows'!$N$2:$N$201,"&lt;&gt;")=4),SUMIFS('Trial Rows'!$N$2:$N$201,'Trial Rows'!$B$2:$B$201,'Trial Rows'!B104,'Trial Rows'!$C$2:$C$201,'Trial Rows'!C104,'Trial Rows'!$F$2:$F$201,'Trial Rows'!F104,'Trial Rows'!$G$2:$G$201,'Trial Rows'!G104,'Trial Rows'!$Y$2:$Y$201,'Trial Rows'!Y104,'Trial Rows'!$I$2:$I$201,1)+4-SUMIFS('Trial Rows'!$N$2:$N$201,'Trial Rows'!$B$2:$B$201,'Trial Rows'!B104,'Trial Rows'!$C$2:$C$201,'Trial Rows'!C104,'Trial Rows'!$F$2:$F$201,'Trial Rows'!F104,'Trial Rows'!$G$2:$G$201,'Trial Rows'!G104,'Trial Rows'!$Y$2:$Y$201,'Trial Rows'!Y104,'Trial Rows'!$I$2:$I$201,2)+4-SUMIFS('Trial Rows'!$N$2:$N$201,'Trial Rows'!$B$2:$B$201,'Trial Rows'!B104,'Trial Rows'!$C$2:$C$201,'Trial Rows'!C104,'Trial Rows'!$F$2:$F$201,'Trial Rows'!F104,'Trial Rows'!$G$2:$G$201,'Trial Rows'!G104,'Trial Rows'!$Y$2:$Y$201,'Trial Rows'!Y104,'Trial Rows'!$I$2:$I$201,3)+SUMIFS('Trial Rows'!$N$2:$N$201,'Trial Rows'!$B$2:$B$201,'Trial Rows'!B104,'Trial Rows'!$C$2:$C$201,'Trial Rows'!C104,'Trial Rows'!$F$2:$F$201,'Trial Rows'!F104,'Trial Rows'!$G$2:$G$201,'Trial Rows'!G104,'Trial Rows'!$Y$2:$Y$201,'Trial Rows'!Y104,'Trial Rows'!$I$2:$I$201,4),"")</x:f>
      </x:c>
      <x:c r="S104" s="2" t="n">
        <x:f>IF(AND(B104=1,COUNTIFS('Trial Rows'!$C$2:C104,'Trial Rows'!C104,'Trial Rows'!$F$2:F104,Summary!$B$5,'Trial Rows'!$Y$2:Y104,Summary!$B$4)=1),1,0)</x:f>
        <x:v>0</x:v>
      </x:c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 t="str">
        <x:f>IF('Trial Rows'!A105="","",'Trial Rows'!F105&amp;"|"&amp;'Trial Rows'!B105&amp;"|"&amp;'Trial Rows'!C105&amp;"|"&amp;'Trial Rows'!I105)</x:f>
      </x:c>
      <x:c r="B105" s="2" t="n">
        <x:f>IF(AND('Trial Rows'!A105&lt;&gt;"",'Trial Rows'!Y105=Summary!$B$4,'Trial Rows'!F105=Summary!$B$5),1,0)</x:f>
        <x:v>0</x:v>
      </x:c>
      <x:c r="C105" s="2" t="n">
        <x:f>IF(B105=1,COUNTIFS('Trial Rows'!$B$2:$B$201,'Trial Rows'!B105,'Trial Rows'!$C$2:$C$201,'Trial Rows'!C105,'Trial Rows'!$F$2:$F$201,'Trial Rows'!F105,'Trial Rows'!$I$2:$I$201,'Trial Rows'!I105,'Trial Rows'!$Y$2:$Y$201,'Trial Rows'!Y105,'Trial Rows'!$G$2:$G$201,"A"),0)</x:f>
        <x:v>0</x:v>
      </x:c>
      <x:c r="D105" s="2" t="n">
        <x:f>IF(B105=1,COUNTIFS('Trial Rows'!$B$2:$B$201,'Trial Rows'!B105,'Trial Rows'!$C$2:$C$201,'Trial Rows'!C105,'Trial Rows'!$F$2:$F$201,'Trial Rows'!F105,'Trial Rows'!$I$2:$I$201,'Trial Rows'!I105,'Trial Rows'!$Y$2:$Y$201,'Trial Rows'!Y105,'Trial Rows'!$G$2:$G$201,"B"),0)</x:f>
        <x:v>0</x:v>
      </x:c>
      <x:c r="E105" s="2" t="str">
        <x:f>IF(AND(C105=1,COUNTIFS('Trial Rows'!$B$2:$B$201,'Trial Rows'!B105,'Trial Rows'!$C$2:$C$201,'Trial Rows'!C105,'Trial Rows'!$F$2:$F$201,'Trial Rows'!F105,'Trial Rows'!$I$2:$I$201,'Trial Rows'!I105,'Trial Rows'!$Y$2:$Y$201,'Trial Rows'!Y105,'Trial Rows'!$G$2:$G$201,"A",'Trial Rows'!$K$2:$K$201,"&gt;=0",'Trial Rows'!$K$2:$K$201,"&lt;=4",'Trial Rows'!$K$2:$K$201,"&lt;&gt;")=1),SUMIFS('Trial Rows'!$K$2:$K$201,'Trial Rows'!$B$2:$B$201,'Trial Rows'!B105,'Trial Rows'!$C$2:$C$201,'Trial Rows'!C105,'Trial Rows'!$F$2:$F$201,'Trial Rows'!F105,'Trial Rows'!$I$2:$I$201,'Trial Rows'!I105,'Trial Rows'!$Y$2:$Y$201,'Trial Rows'!Y105,'Trial Rows'!$G$2:$G$201,"A"),"")</x:f>
      </x:c>
      <x:c r="F105" s="2" t="n">
        <x:f>IF(AND(B105=1,'Trial Rows'!G105="B",C105=1,D105=1,ISNUMBER(E105),ISNUMBER('Trial Rows'!M105),'Trial Rows'!M105&gt;=0,'Trial Rows'!M105&lt;=4,'Trial Rows'!Q105=0,'Trial Rows'!S105=0),1,0)</x:f>
        <x:v>0</x:v>
      </x:c>
      <x:c r="G105" s="2" t="n">
        <x:f>IF(F105=1,IF(E105='Trial Rows'!M105,1,0),0)</x:f>
        <x:v>0</x:v>
      </x:c>
      <x:c r="H105" s="2" t="n">
        <x:f>IF(AND(B105=1,'Trial Rows'!G105="B",C105=1,D105=1,ISNUMBER(E105),'Trial Rows'!R105=1,'Trial Rows'!Q105=0,'Trial Rows'!S105=0,ISNUMBER('Trial Rows'!L105),'Trial Rows'!L105&gt;=0,'Trial Rows'!L105&lt;=4),1,0)</x:f>
        <x:v>0</x:v>
      </x:c>
      <x:c r="I105" s="2" t="n">
        <x:f>IF(H105=1,IF(E105='Trial Rows'!L105,1,0),0)</x:f>
        <x:v>0</x:v>
      </x:c>
      <x:c r="J105" s="2" t="n">
        <x:f>IF(AND(B105=1,'Trial Rows'!G105="B",'Trial Rows'!P105&gt;0),1,0)</x:f>
        <x:v>0</x:v>
      </x:c>
      <x:c r="K105" s="2" t="n">
        <x:f>IF(AND(B105=1,'Trial Rows'!G105="B",'Trial Rows'!Q105=1),1,0)</x:f>
        <x:v>0</x:v>
      </x:c>
      <x:c r="L105" s="2" t="n">
        <x:f>IF(AND(B105=1,'Trial Rows'!G105="B",'Trial Rows'!R105=1,'Trial Rows'!Q105=0,'Trial Rows'!S105=0),1,0)</x:f>
        <x:v>0</x:v>
      </x:c>
      <x:c r="M105" s="2" t="n">
        <x:f>IF(AND(B105=1,'Trial Rows'!G105="B"),1,0)</x:f>
        <x:v>0</x:v>
      </x:c>
      <x:c r="N105" s="2" t="n">
        <x:f>IF(AND(B105=1,'Trial Rows'!I105=1,COUNTIFS('Trial Rows'!$B$2:$B$201,'Trial Rows'!B105,'Trial Rows'!$C$2:$C$201,'Trial Rows'!C105,'Trial Rows'!$F$2:$F$201,'Trial Rows'!F105,'Trial Rows'!$G$2:$G$201,'Trial Rows'!G105,'Trial Rows'!$Y$2:$Y$201,'Trial Rows'!Y105)=4,COUNTIFS('Trial Rows'!$B$2:$B$201,'Trial Rows'!B105,'Trial Rows'!$C$2:$C$201,'Trial Rows'!C105,'Trial Rows'!$F$2:$F$201,'Trial Rows'!F105,'Trial Rows'!$G$2:$G$201,'Trial Rows'!G105,'Trial Rows'!$Y$2:$Y$201,'Trial Rows'!Y105,'Trial Rows'!$I$2:$I$201,1)=1,COUNTIFS('Trial Rows'!$B$2:$B$201,'Trial Rows'!B105,'Trial Rows'!$C$2:$C$201,'Trial Rows'!C105,'Trial Rows'!$F$2:$F$201,'Trial Rows'!F105,'Trial Rows'!$G$2:$G$201,'Trial Rows'!G105,'Trial Rows'!$Y$2:$Y$201,'Trial Rows'!Y105,'Trial Rows'!$I$2:$I$201,2)=1,COUNTIFS('Trial Rows'!$B$2:$B$201,'Trial Rows'!B105,'Trial Rows'!$C$2:$C$201,'Trial Rows'!C105,'Trial Rows'!$F$2:$F$201,'Trial Rows'!F105,'Trial Rows'!$G$2:$G$201,'Trial Rows'!G105,'Trial Rows'!$Y$2:$Y$201,'Trial Rows'!Y105,'Trial Rows'!$I$2:$I$201,3)=1,COUNTIFS('Trial Rows'!$B$2:$B$201,'Trial Rows'!B105,'Trial Rows'!$C$2:$C$201,'Trial Rows'!C105,'Trial Rows'!$F$2:$F$201,'Trial Rows'!F105,'Trial Rows'!$G$2:$G$201,'Trial Rows'!G105,'Trial Rows'!$Y$2:$Y$201,'Trial Rows'!Y105,'Trial Rows'!$I$2:$I$201,4)=1,COUNTIFS('Trial Rows'!$B$2:$B$201,'Trial Rows'!B105,'Trial Rows'!$C$2:$C$201,'Trial Rows'!C105,'Trial Rows'!$F$2:$F$201,'Trial Rows'!F105,'Trial Rows'!$G$2:$G$201,'Trial Rows'!G105,'Trial Rows'!$Y$2:$Y$201,'Trial Rows'!Y105,'Trial Rows'!$W$2:$W$201,"&lt;&gt;")=4,ISNUMBER('Trial Rows'!U105),COUNTIFS('Trial Rows'!$B$2:$B$201,'Trial Rows'!B105,'Trial Rows'!$C$2:$C$201,'Trial Rows'!C105,'Trial Rows'!$F$2:$F$201,'Trial Rows'!F105,'Trial Rows'!$G$2:$G$201,'Trial Rows'!G105,'Trial Rows'!$Y$2:$Y$201,'Trial Rows'!Y105,'Trial Rows'!$U$2:$U$201,'Trial Rows'!U105)=4,'Trial Rows'!U105&gt;=0),1,0)</x:f>
        <x:v>0</x:v>
      </x:c>
      <x:c r="O105" s="2" t="str">
        <x:f>IF(N105=1,'Trial Rows'!U105/1000,"")</x:f>
      </x:c>
      <x:c r="P105" s="2" t="str">
        <x:f>IF(AND(N105=1,'Trial Rows'!G105="A"),O105,"")</x:f>
      </x:c>
      <x:c r="Q105" s="2" t="str">
        <x:f>IF(AND(N105=1,'Trial Rows'!G105="B"),O105,"")</x:f>
      </x:c>
      <x:c r="R105" s="2" t="str">
        <x:f>IF(AND(N105=1,COUNTIFS('Trial Rows'!$B$2:$B$201,'Trial Rows'!B105,'Trial Rows'!$C$2:$C$201,'Trial Rows'!C105,'Trial Rows'!$F$2:$F$201,'Trial Rows'!F105,'Trial Rows'!$G$2:$G$201,'Trial Rows'!G105,'Trial Rows'!$Y$2:$Y$201,'Trial Rows'!Y105,'Trial Rows'!$N$2:$N$201,"&gt;=0",'Trial Rows'!$N$2:$N$201,"&lt;=4",'Trial Rows'!$N$2:$N$201,"&lt;&gt;")=4),SUMIFS('Trial Rows'!$N$2:$N$201,'Trial Rows'!$B$2:$B$201,'Trial Rows'!B105,'Trial Rows'!$C$2:$C$201,'Trial Rows'!C105,'Trial Rows'!$F$2:$F$201,'Trial Rows'!F105,'Trial Rows'!$G$2:$G$201,'Trial Rows'!G105,'Trial Rows'!$Y$2:$Y$201,'Trial Rows'!Y105,'Trial Rows'!$I$2:$I$201,1)+4-SUMIFS('Trial Rows'!$N$2:$N$201,'Trial Rows'!$B$2:$B$201,'Trial Rows'!B105,'Trial Rows'!$C$2:$C$201,'Trial Rows'!C105,'Trial Rows'!$F$2:$F$201,'Trial Rows'!F105,'Trial Rows'!$G$2:$G$201,'Trial Rows'!G105,'Trial Rows'!$Y$2:$Y$201,'Trial Rows'!Y105,'Trial Rows'!$I$2:$I$201,2)+4-SUMIFS('Trial Rows'!$N$2:$N$201,'Trial Rows'!$B$2:$B$201,'Trial Rows'!B105,'Trial Rows'!$C$2:$C$201,'Trial Rows'!C105,'Trial Rows'!$F$2:$F$201,'Trial Rows'!F105,'Trial Rows'!$G$2:$G$201,'Trial Rows'!G105,'Trial Rows'!$Y$2:$Y$201,'Trial Rows'!Y105,'Trial Rows'!$I$2:$I$201,3)+SUMIFS('Trial Rows'!$N$2:$N$201,'Trial Rows'!$B$2:$B$201,'Trial Rows'!B105,'Trial Rows'!$C$2:$C$201,'Trial Rows'!C105,'Trial Rows'!$F$2:$F$201,'Trial Rows'!F105,'Trial Rows'!$G$2:$G$201,'Trial Rows'!G105,'Trial Rows'!$Y$2:$Y$201,'Trial Rows'!Y105,'Trial Rows'!$I$2:$I$201,4),"")</x:f>
      </x:c>
      <x:c r="S105" s="2" t="n">
        <x:f>IF(AND(B105=1,COUNTIFS('Trial Rows'!$C$2:C105,'Trial Rows'!C105,'Trial Rows'!$F$2:F105,Summary!$B$5,'Trial Rows'!$Y$2:Y105,Summary!$B$4)=1),1,0)</x:f>
        <x:v>0</x:v>
      </x:c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 t="str">
        <x:f>IF('Trial Rows'!A106="","",'Trial Rows'!F106&amp;"|"&amp;'Trial Rows'!B106&amp;"|"&amp;'Trial Rows'!C106&amp;"|"&amp;'Trial Rows'!I106)</x:f>
      </x:c>
      <x:c r="B106" s="2" t="n">
        <x:f>IF(AND('Trial Rows'!A106&lt;&gt;"",'Trial Rows'!Y106=Summary!$B$4,'Trial Rows'!F106=Summary!$B$5),1,0)</x:f>
        <x:v>0</x:v>
      </x:c>
      <x:c r="C106" s="2" t="n">
        <x:f>IF(B106=1,COUNTIFS('Trial Rows'!$B$2:$B$201,'Trial Rows'!B106,'Trial Rows'!$C$2:$C$201,'Trial Rows'!C106,'Trial Rows'!$F$2:$F$201,'Trial Rows'!F106,'Trial Rows'!$I$2:$I$201,'Trial Rows'!I106,'Trial Rows'!$Y$2:$Y$201,'Trial Rows'!Y106,'Trial Rows'!$G$2:$G$201,"A"),0)</x:f>
        <x:v>0</x:v>
      </x:c>
      <x:c r="D106" s="2" t="n">
        <x:f>IF(B106=1,COUNTIFS('Trial Rows'!$B$2:$B$201,'Trial Rows'!B106,'Trial Rows'!$C$2:$C$201,'Trial Rows'!C106,'Trial Rows'!$F$2:$F$201,'Trial Rows'!F106,'Trial Rows'!$I$2:$I$201,'Trial Rows'!I106,'Trial Rows'!$Y$2:$Y$201,'Trial Rows'!Y106,'Trial Rows'!$G$2:$G$201,"B"),0)</x:f>
        <x:v>0</x:v>
      </x:c>
      <x:c r="E106" s="2" t="str">
        <x:f>IF(AND(C106=1,COUNTIFS('Trial Rows'!$B$2:$B$201,'Trial Rows'!B106,'Trial Rows'!$C$2:$C$201,'Trial Rows'!C106,'Trial Rows'!$F$2:$F$201,'Trial Rows'!F106,'Trial Rows'!$I$2:$I$201,'Trial Rows'!I106,'Trial Rows'!$Y$2:$Y$201,'Trial Rows'!Y106,'Trial Rows'!$G$2:$G$201,"A",'Trial Rows'!$K$2:$K$201,"&gt;=0",'Trial Rows'!$K$2:$K$201,"&lt;=4",'Trial Rows'!$K$2:$K$201,"&lt;&gt;")=1),SUMIFS('Trial Rows'!$K$2:$K$201,'Trial Rows'!$B$2:$B$201,'Trial Rows'!B106,'Trial Rows'!$C$2:$C$201,'Trial Rows'!C106,'Trial Rows'!$F$2:$F$201,'Trial Rows'!F106,'Trial Rows'!$I$2:$I$201,'Trial Rows'!I106,'Trial Rows'!$Y$2:$Y$201,'Trial Rows'!Y106,'Trial Rows'!$G$2:$G$201,"A"),"")</x:f>
      </x:c>
      <x:c r="F106" s="2" t="n">
        <x:f>IF(AND(B106=1,'Trial Rows'!G106="B",C106=1,D106=1,ISNUMBER(E106),ISNUMBER('Trial Rows'!M106),'Trial Rows'!M106&gt;=0,'Trial Rows'!M106&lt;=4,'Trial Rows'!Q106=0,'Trial Rows'!S106=0),1,0)</x:f>
        <x:v>0</x:v>
      </x:c>
      <x:c r="G106" s="2" t="n">
        <x:f>IF(F106=1,IF(E106='Trial Rows'!M106,1,0),0)</x:f>
        <x:v>0</x:v>
      </x:c>
      <x:c r="H106" s="2" t="n">
        <x:f>IF(AND(B106=1,'Trial Rows'!G106="B",C106=1,D106=1,ISNUMBER(E106),'Trial Rows'!R106=1,'Trial Rows'!Q106=0,'Trial Rows'!S106=0,ISNUMBER('Trial Rows'!L106),'Trial Rows'!L106&gt;=0,'Trial Rows'!L106&lt;=4),1,0)</x:f>
        <x:v>0</x:v>
      </x:c>
      <x:c r="I106" s="2" t="n">
        <x:f>IF(H106=1,IF(E106='Trial Rows'!L106,1,0),0)</x:f>
        <x:v>0</x:v>
      </x:c>
      <x:c r="J106" s="2" t="n">
        <x:f>IF(AND(B106=1,'Trial Rows'!G106="B",'Trial Rows'!P106&gt;0),1,0)</x:f>
        <x:v>0</x:v>
      </x:c>
      <x:c r="K106" s="2" t="n">
        <x:f>IF(AND(B106=1,'Trial Rows'!G106="B",'Trial Rows'!Q106=1),1,0)</x:f>
        <x:v>0</x:v>
      </x:c>
      <x:c r="L106" s="2" t="n">
        <x:f>IF(AND(B106=1,'Trial Rows'!G106="B",'Trial Rows'!R106=1,'Trial Rows'!Q106=0,'Trial Rows'!S106=0),1,0)</x:f>
        <x:v>0</x:v>
      </x:c>
      <x:c r="M106" s="2" t="n">
        <x:f>IF(AND(B106=1,'Trial Rows'!G106="B"),1,0)</x:f>
        <x:v>0</x:v>
      </x:c>
      <x:c r="N106" s="2" t="n">
        <x:f>IF(AND(B106=1,'Trial Rows'!I106=1,COUNTIFS('Trial Rows'!$B$2:$B$201,'Trial Rows'!B106,'Trial Rows'!$C$2:$C$201,'Trial Rows'!C106,'Trial Rows'!$F$2:$F$201,'Trial Rows'!F106,'Trial Rows'!$G$2:$G$201,'Trial Rows'!G106,'Trial Rows'!$Y$2:$Y$201,'Trial Rows'!Y106)=4,COUNTIFS('Trial Rows'!$B$2:$B$201,'Trial Rows'!B106,'Trial Rows'!$C$2:$C$201,'Trial Rows'!C106,'Trial Rows'!$F$2:$F$201,'Trial Rows'!F106,'Trial Rows'!$G$2:$G$201,'Trial Rows'!G106,'Trial Rows'!$Y$2:$Y$201,'Trial Rows'!Y106,'Trial Rows'!$I$2:$I$201,1)=1,COUNTIFS('Trial Rows'!$B$2:$B$201,'Trial Rows'!B106,'Trial Rows'!$C$2:$C$201,'Trial Rows'!C106,'Trial Rows'!$F$2:$F$201,'Trial Rows'!F106,'Trial Rows'!$G$2:$G$201,'Trial Rows'!G106,'Trial Rows'!$Y$2:$Y$201,'Trial Rows'!Y106,'Trial Rows'!$I$2:$I$201,2)=1,COUNTIFS('Trial Rows'!$B$2:$B$201,'Trial Rows'!B106,'Trial Rows'!$C$2:$C$201,'Trial Rows'!C106,'Trial Rows'!$F$2:$F$201,'Trial Rows'!F106,'Trial Rows'!$G$2:$G$201,'Trial Rows'!G106,'Trial Rows'!$Y$2:$Y$201,'Trial Rows'!Y106,'Trial Rows'!$I$2:$I$201,3)=1,COUNTIFS('Trial Rows'!$B$2:$B$201,'Trial Rows'!B106,'Trial Rows'!$C$2:$C$201,'Trial Rows'!C106,'Trial Rows'!$F$2:$F$201,'Trial Rows'!F106,'Trial Rows'!$G$2:$G$201,'Trial Rows'!G106,'Trial Rows'!$Y$2:$Y$201,'Trial Rows'!Y106,'Trial Rows'!$I$2:$I$201,4)=1,COUNTIFS('Trial Rows'!$B$2:$B$201,'Trial Rows'!B106,'Trial Rows'!$C$2:$C$201,'Trial Rows'!C106,'Trial Rows'!$F$2:$F$201,'Trial Rows'!F106,'Trial Rows'!$G$2:$G$201,'Trial Rows'!G106,'Trial Rows'!$Y$2:$Y$201,'Trial Rows'!Y106,'Trial Rows'!$W$2:$W$201,"&lt;&gt;")=4,ISNUMBER('Trial Rows'!U106),COUNTIFS('Trial Rows'!$B$2:$B$201,'Trial Rows'!B106,'Trial Rows'!$C$2:$C$201,'Trial Rows'!C106,'Trial Rows'!$F$2:$F$201,'Trial Rows'!F106,'Trial Rows'!$G$2:$G$201,'Trial Rows'!G106,'Trial Rows'!$Y$2:$Y$201,'Trial Rows'!Y106,'Trial Rows'!$U$2:$U$201,'Trial Rows'!U106)=4,'Trial Rows'!U106&gt;=0),1,0)</x:f>
        <x:v>0</x:v>
      </x:c>
      <x:c r="O106" s="2" t="str">
        <x:f>IF(N106=1,'Trial Rows'!U106/1000,"")</x:f>
      </x:c>
      <x:c r="P106" s="2" t="str">
        <x:f>IF(AND(N106=1,'Trial Rows'!G106="A"),O106,"")</x:f>
      </x:c>
      <x:c r="Q106" s="2" t="str">
        <x:f>IF(AND(N106=1,'Trial Rows'!G106="B"),O106,"")</x:f>
      </x:c>
      <x:c r="R106" s="2" t="str">
        <x:f>IF(AND(N106=1,COUNTIFS('Trial Rows'!$B$2:$B$201,'Trial Rows'!B106,'Trial Rows'!$C$2:$C$201,'Trial Rows'!C106,'Trial Rows'!$F$2:$F$201,'Trial Rows'!F106,'Trial Rows'!$G$2:$G$201,'Trial Rows'!G106,'Trial Rows'!$Y$2:$Y$201,'Trial Rows'!Y106,'Trial Rows'!$N$2:$N$201,"&gt;=0",'Trial Rows'!$N$2:$N$201,"&lt;=4",'Trial Rows'!$N$2:$N$201,"&lt;&gt;")=4),SUMIFS('Trial Rows'!$N$2:$N$201,'Trial Rows'!$B$2:$B$201,'Trial Rows'!B106,'Trial Rows'!$C$2:$C$201,'Trial Rows'!C106,'Trial Rows'!$F$2:$F$201,'Trial Rows'!F106,'Trial Rows'!$G$2:$G$201,'Trial Rows'!G106,'Trial Rows'!$Y$2:$Y$201,'Trial Rows'!Y106,'Trial Rows'!$I$2:$I$201,1)+4-SUMIFS('Trial Rows'!$N$2:$N$201,'Trial Rows'!$B$2:$B$201,'Trial Rows'!B106,'Trial Rows'!$C$2:$C$201,'Trial Rows'!C106,'Trial Rows'!$F$2:$F$201,'Trial Rows'!F106,'Trial Rows'!$G$2:$G$201,'Trial Rows'!G106,'Trial Rows'!$Y$2:$Y$201,'Trial Rows'!Y106,'Trial Rows'!$I$2:$I$201,2)+4-SUMIFS('Trial Rows'!$N$2:$N$201,'Trial Rows'!$B$2:$B$201,'Trial Rows'!B106,'Trial Rows'!$C$2:$C$201,'Trial Rows'!C106,'Trial Rows'!$F$2:$F$201,'Trial Rows'!F106,'Trial Rows'!$G$2:$G$201,'Trial Rows'!G106,'Trial Rows'!$Y$2:$Y$201,'Trial Rows'!Y106,'Trial Rows'!$I$2:$I$201,3)+SUMIFS('Trial Rows'!$N$2:$N$201,'Trial Rows'!$B$2:$B$201,'Trial Rows'!B106,'Trial Rows'!$C$2:$C$201,'Trial Rows'!C106,'Trial Rows'!$F$2:$F$201,'Trial Rows'!F106,'Trial Rows'!$G$2:$G$201,'Trial Rows'!G106,'Trial Rows'!$Y$2:$Y$201,'Trial Rows'!Y106,'Trial Rows'!$I$2:$I$201,4),"")</x:f>
      </x:c>
      <x:c r="S106" s="2" t="n">
        <x:f>IF(AND(B106=1,COUNTIFS('Trial Rows'!$C$2:C106,'Trial Rows'!C106,'Trial Rows'!$F$2:F106,Summary!$B$5,'Trial Rows'!$Y$2:Y106,Summary!$B$4)=1),1,0)</x:f>
        <x:v>0</x:v>
      </x:c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 t="str">
        <x:f>IF('Trial Rows'!A107="","",'Trial Rows'!F107&amp;"|"&amp;'Trial Rows'!B107&amp;"|"&amp;'Trial Rows'!C107&amp;"|"&amp;'Trial Rows'!I107)</x:f>
      </x:c>
      <x:c r="B107" s="2" t="n">
        <x:f>IF(AND('Trial Rows'!A107&lt;&gt;"",'Trial Rows'!Y107=Summary!$B$4,'Trial Rows'!F107=Summary!$B$5),1,0)</x:f>
        <x:v>0</x:v>
      </x:c>
      <x:c r="C107" s="2" t="n">
        <x:f>IF(B107=1,COUNTIFS('Trial Rows'!$B$2:$B$201,'Trial Rows'!B107,'Trial Rows'!$C$2:$C$201,'Trial Rows'!C107,'Trial Rows'!$F$2:$F$201,'Trial Rows'!F107,'Trial Rows'!$I$2:$I$201,'Trial Rows'!I107,'Trial Rows'!$Y$2:$Y$201,'Trial Rows'!Y107,'Trial Rows'!$G$2:$G$201,"A"),0)</x:f>
        <x:v>0</x:v>
      </x:c>
      <x:c r="D107" s="2" t="n">
        <x:f>IF(B107=1,COUNTIFS('Trial Rows'!$B$2:$B$201,'Trial Rows'!B107,'Trial Rows'!$C$2:$C$201,'Trial Rows'!C107,'Trial Rows'!$F$2:$F$201,'Trial Rows'!F107,'Trial Rows'!$I$2:$I$201,'Trial Rows'!I107,'Trial Rows'!$Y$2:$Y$201,'Trial Rows'!Y107,'Trial Rows'!$G$2:$G$201,"B"),0)</x:f>
        <x:v>0</x:v>
      </x:c>
      <x:c r="E107" s="2" t="str">
        <x:f>IF(AND(C107=1,COUNTIFS('Trial Rows'!$B$2:$B$201,'Trial Rows'!B107,'Trial Rows'!$C$2:$C$201,'Trial Rows'!C107,'Trial Rows'!$F$2:$F$201,'Trial Rows'!F107,'Trial Rows'!$I$2:$I$201,'Trial Rows'!I107,'Trial Rows'!$Y$2:$Y$201,'Trial Rows'!Y107,'Trial Rows'!$G$2:$G$201,"A",'Trial Rows'!$K$2:$K$201,"&gt;=0",'Trial Rows'!$K$2:$K$201,"&lt;=4",'Trial Rows'!$K$2:$K$201,"&lt;&gt;")=1),SUMIFS('Trial Rows'!$K$2:$K$201,'Trial Rows'!$B$2:$B$201,'Trial Rows'!B107,'Trial Rows'!$C$2:$C$201,'Trial Rows'!C107,'Trial Rows'!$F$2:$F$201,'Trial Rows'!F107,'Trial Rows'!$I$2:$I$201,'Trial Rows'!I107,'Trial Rows'!$Y$2:$Y$201,'Trial Rows'!Y107,'Trial Rows'!$G$2:$G$201,"A"),"")</x:f>
      </x:c>
      <x:c r="F107" s="2" t="n">
        <x:f>IF(AND(B107=1,'Trial Rows'!G107="B",C107=1,D107=1,ISNUMBER(E107),ISNUMBER('Trial Rows'!M107),'Trial Rows'!M107&gt;=0,'Trial Rows'!M107&lt;=4,'Trial Rows'!Q107=0,'Trial Rows'!S107=0),1,0)</x:f>
        <x:v>0</x:v>
      </x:c>
      <x:c r="G107" s="2" t="n">
        <x:f>IF(F107=1,IF(E107='Trial Rows'!M107,1,0),0)</x:f>
        <x:v>0</x:v>
      </x:c>
      <x:c r="H107" s="2" t="n">
        <x:f>IF(AND(B107=1,'Trial Rows'!G107="B",C107=1,D107=1,ISNUMBER(E107),'Trial Rows'!R107=1,'Trial Rows'!Q107=0,'Trial Rows'!S107=0,ISNUMBER('Trial Rows'!L107),'Trial Rows'!L107&gt;=0,'Trial Rows'!L107&lt;=4),1,0)</x:f>
        <x:v>0</x:v>
      </x:c>
      <x:c r="I107" s="2" t="n">
        <x:f>IF(H107=1,IF(E107='Trial Rows'!L107,1,0),0)</x:f>
        <x:v>0</x:v>
      </x:c>
      <x:c r="J107" s="2" t="n">
        <x:f>IF(AND(B107=1,'Trial Rows'!G107="B",'Trial Rows'!P107&gt;0),1,0)</x:f>
        <x:v>0</x:v>
      </x:c>
      <x:c r="K107" s="2" t="n">
        <x:f>IF(AND(B107=1,'Trial Rows'!G107="B",'Trial Rows'!Q107=1),1,0)</x:f>
        <x:v>0</x:v>
      </x:c>
      <x:c r="L107" s="2" t="n">
        <x:f>IF(AND(B107=1,'Trial Rows'!G107="B",'Trial Rows'!R107=1,'Trial Rows'!Q107=0,'Trial Rows'!S107=0),1,0)</x:f>
        <x:v>0</x:v>
      </x:c>
      <x:c r="M107" s="2" t="n">
        <x:f>IF(AND(B107=1,'Trial Rows'!G107="B"),1,0)</x:f>
        <x:v>0</x:v>
      </x:c>
      <x:c r="N107" s="2" t="n">
        <x:f>IF(AND(B107=1,'Trial Rows'!I107=1,COUNTIFS('Trial Rows'!$B$2:$B$201,'Trial Rows'!B107,'Trial Rows'!$C$2:$C$201,'Trial Rows'!C107,'Trial Rows'!$F$2:$F$201,'Trial Rows'!F107,'Trial Rows'!$G$2:$G$201,'Trial Rows'!G107,'Trial Rows'!$Y$2:$Y$201,'Trial Rows'!Y107)=4,COUNTIFS('Trial Rows'!$B$2:$B$201,'Trial Rows'!B107,'Trial Rows'!$C$2:$C$201,'Trial Rows'!C107,'Trial Rows'!$F$2:$F$201,'Trial Rows'!F107,'Trial Rows'!$G$2:$G$201,'Trial Rows'!G107,'Trial Rows'!$Y$2:$Y$201,'Trial Rows'!Y107,'Trial Rows'!$I$2:$I$201,1)=1,COUNTIFS('Trial Rows'!$B$2:$B$201,'Trial Rows'!B107,'Trial Rows'!$C$2:$C$201,'Trial Rows'!C107,'Trial Rows'!$F$2:$F$201,'Trial Rows'!F107,'Trial Rows'!$G$2:$G$201,'Trial Rows'!G107,'Trial Rows'!$Y$2:$Y$201,'Trial Rows'!Y107,'Trial Rows'!$I$2:$I$201,2)=1,COUNTIFS('Trial Rows'!$B$2:$B$201,'Trial Rows'!B107,'Trial Rows'!$C$2:$C$201,'Trial Rows'!C107,'Trial Rows'!$F$2:$F$201,'Trial Rows'!F107,'Trial Rows'!$G$2:$G$201,'Trial Rows'!G107,'Trial Rows'!$Y$2:$Y$201,'Trial Rows'!Y107,'Trial Rows'!$I$2:$I$201,3)=1,COUNTIFS('Trial Rows'!$B$2:$B$201,'Trial Rows'!B107,'Trial Rows'!$C$2:$C$201,'Trial Rows'!C107,'Trial Rows'!$F$2:$F$201,'Trial Rows'!F107,'Trial Rows'!$G$2:$G$201,'Trial Rows'!G107,'Trial Rows'!$Y$2:$Y$201,'Trial Rows'!Y107,'Trial Rows'!$I$2:$I$201,4)=1,COUNTIFS('Trial Rows'!$B$2:$B$201,'Trial Rows'!B107,'Trial Rows'!$C$2:$C$201,'Trial Rows'!C107,'Trial Rows'!$F$2:$F$201,'Trial Rows'!F107,'Trial Rows'!$G$2:$G$201,'Trial Rows'!G107,'Trial Rows'!$Y$2:$Y$201,'Trial Rows'!Y107,'Trial Rows'!$W$2:$W$201,"&lt;&gt;")=4,ISNUMBER('Trial Rows'!U107),COUNTIFS('Trial Rows'!$B$2:$B$201,'Trial Rows'!B107,'Trial Rows'!$C$2:$C$201,'Trial Rows'!C107,'Trial Rows'!$F$2:$F$201,'Trial Rows'!F107,'Trial Rows'!$G$2:$G$201,'Trial Rows'!G107,'Trial Rows'!$Y$2:$Y$201,'Trial Rows'!Y107,'Trial Rows'!$U$2:$U$201,'Trial Rows'!U107)=4,'Trial Rows'!U107&gt;=0),1,0)</x:f>
        <x:v>0</x:v>
      </x:c>
      <x:c r="O107" s="2" t="str">
        <x:f>IF(N107=1,'Trial Rows'!U107/1000,"")</x:f>
      </x:c>
      <x:c r="P107" s="2" t="str">
        <x:f>IF(AND(N107=1,'Trial Rows'!G107="A"),O107,"")</x:f>
      </x:c>
      <x:c r="Q107" s="2" t="str">
        <x:f>IF(AND(N107=1,'Trial Rows'!G107="B"),O107,"")</x:f>
      </x:c>
      <x:c r="R107" s="2" t="str">
        <x:f>IF(AND(N107=1,COUNTIFS('Trial Rows'!$B$2:$B$201,'Trial Rows'!B107,'Trial Rows'!$C$2:$C$201,'Trial Rows'!C107,'Trial Rows'!$F$2:$F$201,'Trial Rows'!F107,'Trial Rows'!$G$2:$G$201,'Trial Rows'!G107,'Trial Rows'!$Y$2:$Y$201,'Trial Rows'!Y107,'Trial Rows'!$N$2:$N$201,"&gt;=0",'Trial Rows'!$N$2:$N$201,"&lt;=4",'Trial Rows'!$N$2:$N$201,"&lt;&gt;")=4),SUMIFS('Trial Rows'!$N$2:$N$201,'Trial Rows'!$B$2:$B$201,'Trial Rows'!B107,'Trial Rows'!$C$2:$C$201,'Trial Rows'!C107,'Trial Rows'!$F$2:$F$201,'Trial Rows'!F107,'Trial Rows'!$G$2:$G$201,'Trial Rows'!G107,'Trial Rows'!$Y$2:$Y$201,'Trial Rows'!Y107,'Trial Rows'!$I$2:$I$201,1)+4-SUMIFS('Trial Rows'!$N$2:$N$201,'Trial Rows'!$B$2:$B$201,'Trial Rows'!B107,'Trial Rows'!$C$2:$C$201,'Trial Rows'!C107,'Trial Rows'!$F$2:$F$201,'Trial Rows'!F107,'Trial Rows'!$G$2:$G$201,'Trial Rows'!G107,'Trial Rows'!$Y$2:$Y$201,'Trial Rows'!Y107,'Trial Rows'!$I$2:$I$201,2)+4-SUMIFS('Trial Rows'!$N$2:$N$201,'Trial Rows'!$B$2:$B$201,'Trial Rows'!B107,'Trial Rows'!$C$2:$C$201,'Trial Rows'!C107,'Trial Rows'!$F$2:$F$201,'Trial Rows'!F107,'Trial Rows'!$G$2:$G$201,'Trial Rows'!G107,'Trial Rows'!$Y$2:$Y$201,'Trial Rows'!Y107,'Trial Rows'!$I$2:$I$201,3)+SUMIFS('Trial Rows'!$N$2:$N$201,'Trial Rows'!$B$2:$B$201,'Trial Rows'!B107,'Trial Rows'!$C$2:$C$201,'Trial Rows'!C107,'Trial Rows'!$F$2:$F$201,'Trial Rows'!F107,'Trial Rows'!$G$2:$G$201,'Trial Rows'!G107,'Trial Rows'!$Y$2:$Y$201,'Trial Rows'!Y107,'Trial Rows'!$I$2:$I$201,4),"")</x:f>
      </x:c>
      <x:c r="S107" s="2" t="n">
        <x:f>IF(AND(B107=1,COUNTIFS('Trial Rows'!$C$2:C107,'Trial Rows'!C107,'Trial Rows'!$F$2:F107,Summary!$B$5,'Trial Rows'!$Y$2:Y107,Summary!$B$4)=1),1,0)</x:f>
        <x:v>0</x:v>
      </x:c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 t="str">
        <x:f>IF('Trial Rows'!A108="","",'Trial Rows'!F108&amp;"|"&amp;'Trial Rows'!B108&amp;"|"&amp;'Trial Rows'!C108&amp;"|"&amp;'Trial Rows'!I108)</x:f>
      </x:c>
      <x:c r="B108" s="2" t="n">
        <x:f>IF(AND('Trial Rows'!A108&lt;&gt;"",'Trial Rows'!Y108=Summary!$B$4,'Trial Rows'!F108=Summary!$B$5),1,0)</x:f>
        <x:v>0</x:v>
      </x:c>
      <x:c r="C108" s="2" t="n">
        <x:f>IF(B108=1,COUNTIFS('Trial Rows'!$B$2:$B$201,'Trial Rows'!B108,'Trial Rows'!$C$2:$C$201,'Trial Rows'!C108,'Trial Rows'!$F$2:$F$201,'Trial Rows'!F108,'Trial Rows'!$I$2:$I$201,'Trial Rows'!I108,'Trial Rows'!$Y$2:$Y$201,'Trial Rows'!Y108,'Trial Rows'!$G$2:$G$201,"A"),0)</x:f>
        <x:v>0</x:v>
      </x:c>
      <x:c r="D108" s="2" t="n">
        <x:f>IF(B108=1,COUNTIFS('Trial Rows'!$B$2:$B$201,'Trial Rows'!B108,'Trial Rows'!$C$2:$C$201,'Trial Rows'!C108,'Trial Rows'!$F$2:$F$201,'Trial Rows'!F108,'Trial Rows'!$I$2:$I$201,'Trial Rows'!I108,'Trial Rows'!$Y$2:$Y$201,'Trial Rows'!Y108,'Trial Rows'!$G$2:$G$201,"B"),0)</x:f>
        <x:v>0</x:v>
      </x:c>
      <x:c r="E108" s="2" t="str">
        <x:f>IF(AND(C108=1,COUNTIFS('Trial Rows'!$B$2:$B$201,'Trial Rows'!B108,'Trial Rows'!$C$2:$C$201,'Trial Rows'!C108,'Trial Rows'!$F$2:$F$201,'Trial Rows'!F108,'Trial Rows'!$I$2:$I$201,'Trial Rows'!I108,'Trial Rows'!$Y$2:$Y$201,'Trial Rows'!Y108,'Trial Rows'!$G$2:$G$201,"A",'Trial Rows'!$K$2:$K$201,"&gt;=0",'Trial Rows'!$K$2:$K$201,"&lt;=4",'Trial Rows'!$K$2:$K$201,"&lt;&gt;")=1),SUMIFS('Trial Rows'!$K$2:$K$201,'Trial Rows'!$B$2:$B$201,'Trial Rows'!B108,'Trial Rows'!$C$2:$C$201,'Trial Rows'!C108,'Trial Rows'!$F$2:$F$201,'Trial Rows'!F108,'Trial Rows'!$I$2:$I$201,'Trial Rows'!I108,'Trial Rows'!$Y$2:$Y$201,'Trial Rows'!Y108,'Trial Rows'!$G$2:$G$201,"A"),"")</x:f>
      </x:c>
      <x:c r="F108" s="2" t="n">
        <x:f>IF(AND(B108=1,'Trial Rows'!G108="B",C108=1,D108=1,ISNUMBER(E108),ISNUMBER('Trial Rows'!M108),'Trial Rows'!M108&gt;=0,'Trial Rows'!M108&lt;=4,'Trial Rows'!Q108=0,'Trial Rows'!S108=0),1,0)</x:f>
        <x:v>0</x:v>
      </x:c>
      <x:c r="G108" s="2" t="n">
        <x:f>IF(F108=1,IF(E108='Trial Rows'!M108,1,0),0)</x:f>
        <x:v>0</x:v>
      </x:c>
      <x:c r="H108" s="2" t="n">
        <x:f>IF(AND(B108=1,'Trial Rows'!G108="B",C108=1,D108=1,ISNUMBER(E108),'Trial Rows'!R108=1,'Trial Rows'!Q108=0,'Trial Rows'!S108=0,ISNUMBER('Trial Rows'!L108),'Trial Rows'!L108&gt;=0,'Trial Rows'!L108&lt;=4),1,0)</x:f>
        <x:v>0</x:v>
      </x:c>
      <x:c r="I108" s="2" t="n">
        <x:f>IF(H108=1,IF(E108='Trial Rows'!L108,1,0),0)</x:f>
        <x:v>0</x:v>
      </x:c>
      <x:c r="J108" s="2" t="n">
        <x:f>IF(AND(B108=1,'Trial Rows'!G108="B",'Trial Rows'!P108&gt;0),1,0)</x:f>
        <x:v>0</x:v>
      </x:c>
      <x:c r="K108" s="2" t="n">
        <x:f>IF(AND(B108=1,'Trial Rows'!G108="B",'Trial Rows'!Q108=1),1,0)</x:f>
        <x:v>0</x:v>
      </x:c>
      <x:c r="L108" s="2" t="n">
        <x:f>IF(AND(B108=1,'Trial Rows'!G108="B",'Trial Rows'!R108=1,'Trial Rows'!Q108=0,'Trial Rows'!S108=0),1,0)</x:f>
        <x:v>0</x:v>
      </x:c>
      <x:c r="M108" s="2" t="n">
        <x:f>IF(AND(B108=1,'Trial Rows'!G108="B"),1,0)</x:f>
        <x:v>0</x:v>
      </x:c>
      <x:c r="N108" s="2" t="n">
        <x:f>IF(AND(B108=1,'Trial Rows'!I108=1,COUNTIFS('Trial Rows'!$B$2:$B$201,'Trial Rows'!B108,'Trial Rows'!$C$2:$C$201,'Trial Rows'!C108,'Trial Rows'!$F$2:$F$201,'Trial Rows'!F108,'Trial Rows'!$G$2:$G$201,'Trial Rows'!G108,'Trial Rows'!$Y$2:$Y$201,'Trial Rows'!Y108)=4,COUNTIFS('Trial Rows'!$B$2:$B$201,'Trial Rows'!B108,'Trial Rows'!$C$2:$C$201,'Trial Rows'!C108,'Trial Rows'!$F$2:$F$201,'Trial Rows'!F108,'Trial Rows'!$G$2:$G$201,'Trial Rows'!G108,'Trial Rows'!$Y$2:$Y$201,'Trial Rows'!Y108,'Trial Rows'!$I$2:$I$201,1)=1,COUNTIFS('Trial Rows'!$B$2:$B$201,'Trial Rows'!B108,'Trial Rows'!$C$2:$C$201,'Trial Rows'!C108,'Trial Rows'!$F$2:$F$201,'Trial Rows'!F108,'Trial Rows'!$G$2:$G$201,'Trial Rows'!G108,'Trial Rows'!$Y$2:$Y$201,'Trial Rows'!Y108,'Trial Rows'!$I$2:$I$201,2)=1,COUNTIFS('Trial Rows'!$B$2:$B$201,'Trial Rows'!B108,'Trial Rows'!$C$2:$C$201,'Trial Rows'!C108,'Trial Rows'!$F$2:$F$201,'Trial Rows'!F108,'Trial Rows'!$G$2:$G$201,'Trial Rows'!G108,'Trial Rows'!$Y$2:$Y$201,'Trial Rows'!Y108,'Trial Rows'!$I$2:$I$201,3)=1,COUNTIFS('Trial Rows'!$B$2:$B$201,'Trial Rows'!B108,'Trial Rows'!$C$2:$C$201,'Trial Rows'!C108,'Trial Rows'!$F$2:$F$201,'Trial Rows'!F108,'Trial Rows'!$G$2:$G$201,'Trial Rows'!G108,'Trial Rows'!$Y$2:$Y$201,'Trial Rows'!Y108,'Trial Rows'!$I$2:$I$201,4)=1,COUNTIFS('Trial Rows'!$B$2:$B$201,'Trial Rows'!B108,'Trial Rows'!$C$2:$C$201,'Trial Rows'!C108,'Trial Rows'!$F$2:$F$201,'Trial Rows'!F108,'Trial Rows'!$G$2:$G$201,'Trial Rows'!G108,'Trial Rows'!$Y$2:$Y$201,'Trial Rows'!Y108,'Trial Rows'!$W$2:$W$201,"&lt;&gt;")=4,ISNUMBER('Trial Rows'!U108),COUNTIFS('Trial Rows'!$B$2:$B$201,'Trial Rows'!B108,'Trial Rows'!$C$2:$C$201,'Trial Rows'!C108,'Trial Rows'!$F$2:$F$201,'Trial Rows'!F108,'Trial Rows'!$G$2:$G$201,'Trial Rows'!G108,'Trial Rows'!$Y$2:$Y$201,'Trial Rows'!Y108,'Trial Rows'!$U$2:$U$201,'Trial Rows'!U108)=4,'Trial Rows'!U108&gt;=0),1,0)</x:f>
        <x:v>0</x:v>
      </x:c>
      <x:c r="O108" s="2" t="str">
        <x:f>IF(N108=1,'Trial Rows'!U108/1000,"")</x:f>
      </x:c>
      <x:c r="P108" s="2" t="str">
        <x:f>IF(AND(N108=1,'Trial Rows'!G108="A"),O108,"")</x:f>
      </x:c>
      <x:c r="Q108" s="2" t="str">
        <x:f>IF(AND(N108=1,'Trial Rows'!G108="B"),O108,"")</x:f>
      </x:c>
      <x:c r="R108" s="2" t="str">
        <x:f>IF(AND(N108=1,COUNTIFS('Trial Rows'!$B$2:$B$201,'Trial Rows'!B108,'Trial Rows'!$C$2:$C$201,'Trial Rows'!C108,'Trial Rows'!$F$2:$F$201,'Trial Rows'!F108,'Trial Rows'!$G$2:$G$201,'Trial Rows'!G108,'Trial Rows'!$Y$2:$Y$201,'Trial Rows'!Y108,'Trial Rows'!$N$2:$N$201,"&gt;=0",'Trial Rows'!$N$2:$N$201,"&lt;=4",'Trial Rows'!$N$2:$N$201,"&lt;&gt;")=4),SUMIFS('Trial Rows'!$N$2:$N$201,'Trial Rows'!$B$2:$B$201,'Trial Rows'!B108,'Trial Rows'!$C$2:$C$201,'Trial Rows'!C108,'Trial Rows'!$F$2:$F$201,'Trial Rows'!F108,'Trial Rows'!$G$2:$G$201,'Trial Rows'!G108,'Trial Rows'!$Y$2:$Y$201,'Trial Rows'!Y108,'Trial Rows'!$I$2:$I$201,1)+4-SUMIFS('Trial Rows'!$N$2:$N$201,'Trial Rows'!$B$2:$B$201,'Trial Rows'!B108,'Trial Rows'!$C$2:$C$201,'Trial Rows'!C108,'Trial Rows'!$F$2:$F$201,'Trial Rows'!F108,'Trial Rows'!$G$2:$G$201,'Trial Rows'!G108,'Trial Rows'!$Y$2:$Y$201,'Trial Rows'!Y108,'Trial Rows'!$I$2:$I$201,2)+4-SUMIFS('Trial Rows'!$N$2:$N$201,'Trial Rows'!$B$2:$B$201,'Trial Rows'!B108,'Trial Rows'!$C$2:$C$201,'Trial Rows'!C108,'Trial Rows'!$F$2:$F$201,'Trial Rows'!F108,'Trial Rows'!$G$2:$G$201,'Trial Rows'!G108,'Trial Rows'!$Y$2:$Y$201,'Trial Rows'!Y108,'Trial Rows'!$I$2:$I$201,3)+SUMIFS('Trial Rows'!$N$2:$N$201,'Trial Rows'!$B$2:$B$201,'Trial Rows'!B108,'Trial Rows'!$C$2:$C$201,'Trial Rows'!C108,'Trial Rows'!$F$2:$F$201,'Trial Rows'!F108,'Trial Rows'!$G$2:$G$201,'Trial Rows'!G108,'Trial Rows'!$Y$2:$Y$201,'Trial Rows'!Y108,'Trial Rows'!$I$2:$I$201,4),"")</x:f>
      </x:c>
      <x:c r="S108" s="2" t="n">
        <x:f>IF(AND(B108=1,COUNTIFS('Trial Rows'!$C$2:C108,'Trial Rows'!C108,'Trial Rows'!$F$2:F108,Summary!$B$5,'Trial Rows'!$Y$2:Y108,Summary!$B$4)=1),1,0)</x:f>
        <x:v>0</x:v>
      </x:c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 t="str">
        <x:f>IF('Trial Rows'!A109="","",'Trial Rows'!F109&amp;"|"&amp;'Trial Rows'!B109&amp;"|"&amp;'Trial Rows'!C109&amp;"|"&amp;'Trial Rows'!I109)</x:f>
      </x:c>
      <x:c r="B109" s="2" t="n">
        <x:f>IF(AND('Trial Rows'!A109&lt;&gt;"",'Trial Rows'!Y109=Summary!$B$4,'Trial Rows'!F109=Summary!$B$5),1,0)</x:f>
        <x:v>0</x:v>
      </x:c>
      <x:c r="C109" s="2" t="n">
        <x:f>IF(B109=1,COUNTIFS('Trial Rows'!$B$2:$B$201,'Trial Rows'!B109,'Trial Rows'!$C$2:$C$201,'Trial Rows'!C109,'Trial Rows'!$F$2:$F$201,'Trial Rows'!F109,'Trial Rows'!$I$2:$I$201,'Trial Rows'!I109,'Trial Rows'!$Y$2:$Y$201,'Trial Rows'!Y109,'Trial Rows'!$G$2:$G$201,"A"),0)</x:f>
        <x:v>0</x:v>
      </x:c>
      <x:c r="D109" s="2" t="n">
        <x:f>IF(B109=1,COUNTIFS('Trial Rows'!$B$2:$B$201,'Trial Rows'!B109,'Trial Rows'!$C$2:$C$201,'Trial Rows'!C109,'Trial Rows'!$F$2:$F$201,'Trial Rows'!F109,'Trial Rows'!$I$2:$I$201,'Trial Rows'!I109,'Trial Rows'!$Y$2:$Y$201,'Trial Rows'!Y109,'Trial Rows'!$G$2:$G$201,"B"),0)</x:f>
        <x:v>0</x:v>
      </x:c>
      <x:c r="E109" s="2" t="str">
        <x:f>IF(AND(C109=1,COUNTIFS('Trial Rows'!$B$2:$B$201,'Trial Rows'!B109,'Trial Rows'!$C$2:$C$201,'Trial Rows'!C109,'Trial Rows'!$F$2:$F$201,'Trial Rows'!F109,'Trial Rows'!$I$2:$I$201,'Trial Rows'!I109,'Trial Rows'!$Y$2:$Y$201,'Trial Rows'!Y109,'Trial Rows'!$G$2:$G$201,"A",'Trial Rows'!$K$2:$K$201,"&gt;=0",'Trial Rows'!$K$2:$K$201,"&lt;=4",'Trial Rows'!$K$2:$K$201,"&lt;&gt;")=1),SUMIFS('Trial Rows'!$K$2:$K$201,'Trial Rows'!$B$2:$B$201,'Trial Rows'!B109,'Trial Rows'!$C$2:$C$201,'Trial Rows'!C109,'Trial Rows'!$F$2:$F$201,'Trial Rows'!F109,'Trial Rows'!$I$2:$I$201,'Trial Rows'!I109,'Trial Rows'!$Y$2:$Y$201,'Trial Rows'!Y109,'Trial Rows'!$G$2:$G$201,"A"),"")</x:f>
      </x:c>
      <x:c r="F109" s="2" t="n">
        <x:f>IF(AND(B109=1,'Trial Rows'!G109="B",C109=1,D109=1,ISNUMBER(E109),ISNUMBER('Trial Rows'!M109),'Trial Rows'!M109&gt;=0,'Trial Rows'!M109&lt;=4,'Trial Rows'!Q109=0,'Trial Rows'!S109=0),1,0)</x:f>
        <x:v>0</x:v>
      </x:c>
      <x:c r="G109" s="2" t="n">
        <x:f>IF(F109=1,IF(E109='Trial Rows'!M109,1,0),0)</x:f>
        <x:v>0</x:v>
      </x:c>
      <x:c r="H109" s="2" t="n">
        <x:f>IF(AND(B109=1,'Trial Rows'!G109="B",C109=1,D109=1,ISNUMBER(E109),'Trial Rows'!R109=1,'Trial Rows'!Q109=0,'Trial Rows'!S109=0,ISNUMBER('Trial Rows'!L109),'Trial Rows'!L109&gt;=0,'Trial Rows'!L109&lt;=4),1,0)</x:f>
        <x:v>0</x:v>
      </x:c>
      <x:c r="I109" s="2" t="n">
        <x:f>IF(H109=1,IF(E109='Trial Rows'!L109,1,0),0)</x:f>
        <x:v>0</x:v>
      </x:c>
      <x:c r="J109" s="2" t="n">
        <x:f>IF(AND(B109=1,'Trial Rows'!G109="B",'Trial Rows'!P109&gt;0),1,0)</x:f>
        <x:v>0</x:v>
      </x:c>
      <x:c r="K109" s="2" t="n">
        <x:f>IF(AND(B109=1,'Trial Rows'!G109="B",'Trial Rows'!Q109=1),1,0)</x:f>
        <x:v>0</x:v>
      </x:c>
      <x:c r="L109" s="2" t="n">
        <x:f>IF(AND(B109=1,'Trial Rows'!G109="B",'Trial Rows'!R109=1,'Trial Rows'!Q109=0,'Trial Rows'!S109=0),1,0)</x:f>
        <x:v>0</x:v>
      </x:c>
      <x:c r="M109" s="2" t="n">
        <x:f>IF(AND(B109=1,'Trial Rows'!G109="B"),1,0)</x:f>
        <x:v>0</x:v>
      </x:c>
      <x:c r="N109" s="2" t="n">
        <x:f>IF(AND(B109=1,'Trial Rows'!I109=1,COUNTIFS('Trial Rows'!$B$2:$B$201,'Trial Rows'!B109,'Trial Rows'!$C$2:$C$201,'Trial Rows'!C109,'Trial Rows'!$F$2:$F$201,'Trial Rows'!F109,'Trial Rows'!$G$2:$G$201,'Trial Rows'!G109,'Trial Rows'!$Y$2:$Y$201,'Trial Rows'!Y109)=4,COUNTIFS('Trial Rows'!$B$2:$B$201,'Trial Rows'!B109,'Trial Rows'!$C$2:$C$201,'Trial Rows'!C109,'Trial Rows'!$F$2:$F$201,'Trial Rows'!F109,'Trial Rows'!$G$2:$G$201,'Trial Rows'!G109,'Trial Rows'!$Y$2:$Y$201,'Trial Rows'!Y109,'Trial Rows'!$I$2:$I$201,1)=1,COUNTIFS('Trial Rows'!$B$2:$B$201,'Trial Rows'!B109,'Trial Rows'!$C$2:$C$201,'Trial Rows'!C109,'Trial Rows'!$F$2:$F$201,'Trial Rows'!F109,'Trial Rows'!$G$2:$G$201,'Trial Rows'!G109,'Trial Rows'!$Y$2:$Y$201,'Trial Rows'!Y109,'Trial Rows'!$I$2:$I$201,2)=1,COUNTIFS('Trial Rows'!$B$2:$B$201,'Trial Rows'!B109,'Trial Rows'!$C$2:$C$201,'Trial Rows'!C109,'Trial Rows'!$F$2:$F$201,'Trial Rows'!F109,'Trial Rows'!$G$2:$G$201,'Trial Rows'!G109,'Trial Rows'!$Y$2:$Y$201,'Trial Rows'!Y109,'Trial Rows'!$I$2:$I$201,3)=1,COUNTIFS('Trial Rows'!$B$2:$B$201,'Trial Rows'!B109,'Trial Rows'!$C$2:$C$201,'Trial Rows'!C109,'Trial Rows'!$F$2:$F$201,'Trial Rows'!F109,'Trial Rows'!$G$2:$G$201,'Trial Rows'!G109,'Trial Rows'!$Y$2:$Y$201,'Trial Rows'!Y109,'Trial Rows'!$I$2:$I$201,4)=1,COUNTIFS('Trial Rows'!$B$2:$B$201,'Trial Rows'!B109,'Trial Rows'!$C$2:$C$201,'Trial Rows'!C109,'Trial Rows'!$F$2:$F$201,'Trial Rows'!F109,'Trial Rows'!$G$2:$G$201,'Trial Rows'!G109,'Trial Rows'!$Y$2:$Y$201,'Trial Rows'!Y109,'Trial Rows'!$W$2:$W$201,"&lt;&gt;")=4,ISNUMBER('Trial Rows'!U109),COUNTIFS('Trial Rows'!$B$2:$B$201,'Trial Rows'!B109,'Trial Rows'!$C$2:$C$201,'Trial Rows'!C109,'Trial Rows'!$F$2:$F$201,'Trial Rows'!F109,'Trial Rows'!$G$2:$G$201,'Trial Rows'!G109,'Trial Rows'!$Y$2:$Y$201,'Trial Rows'!Y109,'Trial Rows'!$U$2:$U$201,'Trial Rows'!U109)=4,'Trial Rows'!U109&gt;=0),1,0)</x:f>
        <x:v>0</x:v>
      </x:c>
      <x:c r="O109" s="2" t="str">
        <x:f>IF(N109=1,'Trial Rows'!U109/1000,"")</x:f>
      </x:c>
      <x:c r="P109" s="2" t="str">
        <x:f>IF(AND(N109=1,'Trial Rows'!G109="A"),O109,"")</x:f>
      </x:c>
      <x:c r="Q109" s="2" t="str">
        <x:f>IF(AND(N109=1,'Trial Rows'!G109="B"),O109,"")</x:f>
      </x:c>
      <x:c r="R109" s="2" t="str">
        <x:f>IF(AND(N109=1,COUNTIFS('Trial Rows'!$B$2:$B$201,'Trial Rows'!B109,'Trial Rows'!$C$2:$C$201,'Trial Rows'!C109,'Trial Rows'!$F$2:$F$201,'Trial Rows'!F109,'Trial Rows'!$G$2:$G$201,'Trial Rows'!G109,'Trial Rows'!$Y$2:$Y$201,'Trial Rows'!Y109,'Trial Rows'!$N$2:$N$201,"&gt;=0",'Trial Rows'!$N$2:$N$201,"&lt;=4",'Trial Rows'!$N$2:$N$201,"&lt;&gt;")=4),SUMIFS('Trial Rows'!$N$2:$N$201,'Trial Rows'!$B$2:$B$201,'Trial Rows'!B109,'Trial Rows'!$C$2:$C$201,'Trial Rows'!C109,'Trial Rows'!$F$2:$F$201,'Trial Rows'!F109,'Trial Rows'!$G$2:$G$201,'Trial Rows'!G109,'Trial Rows'!$Y$2:$Y$201,'Trial Rows'!Y109,'Trial Rows'!$I$2:$I$201,1)+4-SUMIFS('Trial Rows'!$N$2:$N$201,'Trial Rows'!$B$2:$B$201,'Trial Rows'!B109,'Trial Rows'!$C$2:$C$201,'Trial Rows'!C109,'Trial Rows'!$F$2:$F$201,'Trial Rows'!F109,'Trial Rows'!$G$2:$G$201,'Trial Rows'!G109,'Trial Rows'!$Y$2:$Y$201,'Trial Rows'!Y109,'Trial Rows'!$I$2:$I$201,2)+4-SUMIFS('Trial Rows'!$N$2:$N$201,'Trial Rows'!$B$2:$B$201,'Trial Rows'!B109,'Trial Rows'!$C$2:$C$201,'Trial Rows'!C109,'Trial Rows'!$F$2:$F$201,'Trial Rows'!F109,'Trial Rows'!$G$2:$G$201,'Trial Rows'!G109,'Trial Rows'!$Y$2:$Y$201,'Trial Rows'!Y109,'Trial Rows'!$I$2:$I$201,3)+SUMIFS('Trial Rows'!$N$2:$N$201,'Trial Rows'!$B$2:$B$201,'Trial Rows'!B109,'Trial Rows'!$C$2:$C$201,'Trial Rows'!C109,'Trial Rows'!$F$2:$F$201,'Trial Rows'!F109,'Trial Rows'!$G$2:$G$201,'Trial Rows'!G109,'Trial Rows'!$Y$2:$Y$201,'Trial Rows'!Y109,'Trial Rows'!$I$2:$I$201,4),"")</x:f>
      </x:c>
      <x:c r="S109" s="2" t="n">
        <x:f>IF(AND(B109=1,COUNTIFS('Trial Rows'!$C$2:C109,'Trial Rows'!C109,'Trial Rows'!$F$2:F109,Summary!$B$5,'Trial Rows'!$Y$2:Y109,Summary!$B$4)=1),1,0)</x:f>
        <x:v>0</x:v>
      </x:c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 t="str">
        <x:f>IF('Trial Rows'!A110="","",'Trial Rows'!F110&amp;"|"&amp;'Trial Rows'!B110&amp;"|"&amp;'Trial Rows'!C110&amp;"|"&amp;'Trial Rows'!I110)</x:f>
      </x:c>
      <x:c r="B110" s="2" t="n">
        <x:f>IF(AND('Trial Rows'!A110&lt;&gt;"",'Trial Rows'!Y110=Summary!$B$4,'Trial Rows'!F110=Summary!$B$5),1,0)</x:f>
        <x:v>0</x:v>
      </x:c>
      <x:c r="C110" s="2" t="n">
        <x:f>IF(B110=1,COUNTIFS('Trial Rows'!$B$2:$B$201,'Trial Rows'!B110,'Trial Rows'!$C$2:$C$201,'Trial Rows'!C110,'Trial Rows'!$F$2:$F$201,'Trial Rows'!F110,'Trial Rows'!$I$2:$I$201,'Trial Rows'!I110,'Trial Rows'!$Y$2:$Y$201,'Trial Rows'!Y110,'Trial Rows'!$G$2:$G$201,"A"),0)</x:f>
        <x:v>0</x:v>
      </x:c>
      <x:c r="D110" s="2" t="n">
        <x:f>IF(B110=1,COUNTIFS('Trial Rows'!$B$2:$B$201,'Trial Rows'!B110,'Trial Rows'!$C$2:$C$201,'Trial Rows'!C110,'Trial Rows'!$F$2:$F$201,'Trial Rows'!F110,'Trial Rows'!$I$2:$I$201,'Trial Rows'!I110,'Trial Rows'!$Y$2:$Y$201,'Trial Rows'!Y110,'Trial Rows'!$G$2:$G$201,"B"),0)</x:f>
        <x:v>0</x:v>
      </x:c>
      <x:c r="E110" s="2" t="str">
        <x:f>IF(AND(C110=1,COUNTIFS('Trial Rows'!$B$2:$B$201,'Trial Rows'!B110,'Trial Rows'!$C$2:$C$201,'Trial Rows'!C110,'Trial Rows'!$F$2:$F$201,'Trial Rows'!F110,'Trial Rows'!$I$2:$I$201,'Trial Rows'!I110,'Trial Rows'!$Y$2:$Y$201,'Trial Rows'!Y110,'Trial Rows'!$G$2:$G$201,"A",'Trial Rows'!$K$2:$K$201,"&gt;=0",'Trial Rows'!$K$2:$K$201,"&lt;=4",'Trial Rows'!$K$2:$K$201,"&lt;&gt;")=1),SUMIFS('Trial Rows'!$K$2:$K$201,'Trial Rows'!$B$2:$B$201,'Trial Rows'!B110,'Trial Rows'!$C$2:$C$201,'Trial Rows'!C110,'Trial Rows'!$F$2:$F$201,'Trial Rows'!F110,'Trial Rows'!$I$2:$I$201,'Trial Rows'!I110,'Trial Rows'!$Y$2:$Y$201,'Trial Rows'!Y110,'Trial Rows'!$G$2:$G$201,"A"),"")</x:f>
      </x:c>
      <x:c r="F110" s="2" t="n">
        <x:f>IF(AND(B110=1,'Trial Rows'!G110="B",C110=1,D110=1,ISNUMBER(E110),ISNUMBER('Trial Rows'!M110),'Trial Rows'!M110&gt;=0,'Trial Rows'!M110&lt;=4,'Trial Rows'!Q110=0,'Trial Rows'!S110=0),1,0)</x:f>
        <x:v>0</x:v>
      </x:c>
      <x:c r="G110" s="2" t="n">
        <x:f>IF(F110=1,IF(E110='Trial Rows'!M110,1,0),0)</x:f>
        <x:v>0</x:v>
      </x:c>
      <x:c r="H110" s="2" t="n">
        <x:f>IF(AND(B110=1,'Trial Rows'!G110="B",C110=1,D110=1,ISNUMBER(E110),'Trial Rows'!R110=1,'Trial Rows'!Q110=0,'Trial Rows'!S110=0,ISNUMBER('Trial Rows'!L110),'Trial Rows'!L110&gt;=0,'Trial Rows'!L110&lt;=4),1,0)</x:f>
        <x:v>0</x:v>
      </x:c>
      <x:c r="I110" s="2" t="n">
        <x:f>IF(H110=1,IF(E110='Trial Rows'!L110,1,0),0)</x:f>
        <x:v>0</x:v>
      </x:c>
      <x:c r="J110" s="2" t="n">
        <x:f>IF(AND(B110=1,'Trial Rows'!G110="B",'Trial Rows'!P110&gt;0),1,0)</x:f>
        <x:v>0</x:v>
      </x:c>
      <x:c r="K110" s="2" t="n">
        <x:f>IF(AND(B110=1,'Trial Rows'!G110="B",'Trial Rows'!Q110=1),1,0)</x:f>
        <x:v>0</x:v>
      </x:c>
      <x:c r="L110" s="2" t="n">
        <x:f>IF(AND(B110=1,'Trial Rows'!G110="B",'Trial Rows'!R110=1,'Trial Rows'!Q110=0,'Trial Rows'!S110=0),1,0)</x:f>
        <x:v>0</x:v>
      </x:c>
      <x:c r="M110" s="2" t="n">
        <x:f>IF(AND(B110=1,'Trial Rows'!G110="B"),1,0)</x:f>
        <x:v>0</x:v>
      </x:c>
      <x:c r="N110" s="2" t="n">
        <x:f>IF(AND(B110=1,'Trial Rows'!I110=1,COUNTIFS('Trial Rows'!$B$2:$B$201,'Trial Rows'!B110,'Trial Rows'!$C$2:$C$201,'Trial Rows'!C110,'Trial Rows'!$F$2:$F$201,'Trial Rows'!F110,'Trial Rows'!$G$2:$G$201,'Trial Rows'!G110,'Trial Rows'!$Y$2:$Y$201,'Trial Rows'!Y110)=4,COUNTIFS('Trial Rows'!$B$2:$B$201,'Trial Rows'!B110,'Trial Rows'!$C$2:$C$201,'Trial Rows'!C110,'Trial Rows'!$F$2:$F$201,'Trial Rows'!F110,'Trial Rows'!$G$2:$G$201,'Trial Rows'!G110,'Trial Rows'!$Y$2:$Y$201,'Trial Rows'!Y110,'Trial Rows'!$I$2:$I$201,1)=1,COUNTIFS('Trial Rows'!$B$2:$B$201,'Trial Rows'!B110,'Trial Rows'!$C$2:$C$201,'Trial Rows'!C110,'Trial Rows'!$F$2:$F$201,'Trial Rows'!F110,'Trial Rows'!$G$2:$G$201,'Trial Rows'!G110,'Trial Rows'!$Y$2:$Y$201,'Trial Rows'!Y110,'Trial Rows'!$I$2:$I$201,2)=1,COUNTIFS('Trial Rows'!$B$2:$B$201,'Trial Rows'!B110,'Trial Rows'!$C$2:$C$201,'Trial Rows'!C110,'Trial Rows'!$F$2:$F$201,'Trial Rows'!F110,'Trial Rows'!$G$2:$G$201,'Trial Rows'!G110,'Trial Rows'!$Y$2:$Y$201,'Trial Rows'!Y110,'Trial Rows'!$I$2:$I$201,3)=1,COUNTIFS('Trial Rows'!$B$2:$B$201,'Trial Rows'!B110,'Trial Rows'!$C$2:$C$201,'Trial Rows'!C110,'Trial Rows'!$F$2:$F$201,'Trial Rows'!F110,'Trial Rows'!$G$2:$G$201,'Trial Rows'!G110,'Trial Rows'!$Y$2:$Y$201,'Trial Rows'!Y110,'Trial Rows'!$I$2:$I$201,4)=1,COUNTIFS('Trial Rows'!$B$2:$B$201,'Trial Rows'!B110,'Trial Rows'!$C$2:$C$201,'Trial Rows'!C110,'Trial Rows'!$F$2:$F$201,'Trial Rows'!F110,'Trial Rows'!$G$2:$G$201,'Trial Rows'!G110,'Trial Rows'!$Y$2:$Y$201,'Trial Rows'!Y110,'Trial Rows'!$W$2:$W$201,"&lt;&gt;")=4,ISNUMBER('Trial Rows'!U110),COUNTIFS('Trial Rows'!$B$2:$B$201,'Trial Rows'!B110,'Trial Rows'!$C$2:$C$201,'Trial Rows'!C110,'Trial Rows'!$F$2:$F$201,'Trial Rows'!F110,'Trial Rows'!$G$2:$G$201,'Trial Rows'!G110,'Trial Rows'!$Y$2:$Y$201,'Trial Rows'!Y110,'Trial Rows'!$U$2:$U$201,'Trial Rows'!U110)=4,'Trial Rows'!U110&gt;=0),1,0)</x:f>
        <x:v>0</x:v>
      </x:c>
      <x:c r="O110" s="2" t="str">
        <x:f>IF(N110=1,'Trial Rows'!U110/1000,"")</x:f>
      </x:c>
      <x:c r="P110" s="2" t="str">
        <x:f>IF(AND(N110=1,'Trial Rows'!G110="A"),O110,"")</x:f>
      </x:c>
      <x:c r="Q110" s="2" t="str">
        <x:f>IF(AND(N110=1,'Trial Rows'!G110="B"),O110,"")</x:f>
      </x:c>
      <x:c r="R110" s="2" t="str">
        <x:f>IF(AND(N110=1,COUNTIFS('Trial Rows'!$B$2:$B$201,'Trial Rows'!B110,'Trial Rows'!$C$2:$C$201,'Trial Rows'!C110,'Trial Rows'!$F$2:$F$201,'Trial Rows'!F110,'Trial Rows'!$G$2:$G$201,'Trial Rows'!G110,'Trial Rows'!$Y$2:$Y$201,'Trial Rows'!Y110,'Trial Rows'!$N$2:$N$201,"&gt;=0",'Trial Rows'!$N$2:$N$201,"&lt;=4",'Trial Rows'!$N$2:$N$201,"&lt;&gt;")=4),SUMIFS('Trial Rows'!$N$2:$N$201,'Trial Rows'!$B$2:$B$201,'Trial Rows'!B110,'Trial Rows'!$C$2:$C$201,'Trial Rows'!C110,'Trial Rows'!$F$2:$F$201,'Trial Rows'!F110,'Trial Rows'!$G$2:$G$201,'Trial Rows'!G110,'Trial Rows'!$Y$2:$Y$201,'Trial Rows'!Y110,'Trial Rows'!$I$2:$I$201,1)+4-SUMIFS('Trial Rows'!$N$2:$N$201,'Trial Rows'!$B$2:$B$201,'Trial Rows'!B110,'Trial Rows'!$C$2:$C$201,'Trial Rows'!C110,'Trial Rows'!$F$2:$F$201,'Trial Rows'!F110,'Trial Rows'!$G$2:$G$201,'Trial Rows'!G110,'Trial Rows'!$Y$2:$Y$201,'Trial Rows'!Y110,'Trial Rows'!$I$2:$I$201,2)+4-SUMIFS('Trial Rows'!$N$2:$N$201,'Trial Rows'!$B$2:$B$201,'Trial Rows'!B110,'Trial Rows'!$C$2:$C$201,'Trial Rows'!C110,'Trial Rows'!$F$2:$F$201,'Trial Rows'!F110,'Trial Rows'!$G$2:$G$201,'Trial Rows'!G110,'Trial Rows'!$Y$2:$Y$201,'Trial Rows'!Y110,'Trial Rows'!$I$2:$I$201,3)+SUMIFS('Trial Rows'!$N$2:$N$201,'Trial Rows'!$B$2:$B$201,'Trial Rows'!B110,'Trial Rows'!$C$2:$C$201,'Trial Rows'!C110,'Trial Rows'!$F$2:$F$201,'Trial Rows'!F110,'Trial Rows'!$G$2:$G$201,'Trial Rows'!G110,'Trial Rows'!$Y$2:$Y$201,'Trial Rows'!Y110,'Trial Rows'!$I$2:$I$201,4),"")</x:f>
      </x:c>
      <x:c r="S110" s="2" t="n">
        <x:f>IF(AND(B110=1,COUNTIFS('Trial Rows'!$C$2:C110,'Trial Rows'!C110,'Trial Rows'!$F$2:F110,Summary!$B$5,'Trial Rows'!$Y$2:Y110,Summary!$B$4)=1),1,0)</x:f>
        <x:v>0</x:v>
      </x:c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 t="str">
        <x:f>IF('Trial Rows'!A111="","",'Trial Rows'!F111&amp;"|"&amp;'Trial Rows'!B111&amp;"|"&amp;'Trial Rows'!C111&amp;"|"&amp;'Trial Rows'!I111)</x:f>
      </x:c>
      <x:c r="B111" s="2" t="n">
        <x:f>IF(AND('Trial Rows'!A111&lt;&gt;"",'Trial Rows'!Y111=Summary!$B$4,'Trial Rows'!F111=Summary!$B$5),1,0)</x:f>
        <x:v>0</x:v>
      </x:c>
      <x:c r="C111" s="2" t="n">
        <x:f>IF(B111=1,COUNTIFS('Trial Rows'!$B$2:$B$201,'Trial Rows'!B111,'Trial Rows'!$C$2:$C$201,'Trial Rows'!C111,'Trial Rows'!$F$2:$F$201,'Trial Rows'!F111,'Trial Rows'!$I$2:$I$201,'Trial Rows'!I111,'Trial Rows'!$Y$2:$Y$201,'Trial Rows'!Y111,'Trial Rows'!$G$2:$G$201,"A"),0)</x:f>
        <x:v>0</x:v>
      </x:c>
      <x:c r="D111" s="2" t="n">
        <x:f>IF(B111=1,COUNTIFS('Trial Rows'!$B$2:$B$201,'Trial Rows'!B111,'Trial Rows'!$C$2:$C$201,'Trial Rows'!C111,'Trial Rows'!$F$2:$F$201,'Trial Rows'!F111,'Trial Rows'!$I$2:$I$201,'Trial Rows'!I111,'Trial Rows'!$Y$2:$Y$201,'Trial Rows'!Y111,'Trial Rows'!$G$2:$G$201,"B"),0)</x:f>
        <x:v>0</x:v>
      </x:c>
      <x:c r="E111" s="2" t="str">
        <x:f>IF(AND(C111=1,COUNTIFS('Trial Rows'!$B$2:$B$201,'Trial Rows'!B111,'Trial Rows'!$C$2:$C$201,'Trial Rows'!C111,'Trial Rows'!$F$2:$F$201,'Trial Rows'!F111,'Trial Rows'!$I$2:$I$201,'Trial Rows'!I111,'Trial Rows'!$Y$2:$Y$201,'Trial Rows'!Y111,'Trial Rows'!$G$2:$G$201,"A",'Trial Rows'!$K$2:$K$201,"&gt;=0",'Trial Rows'!$K$2:$K$201,"&lt;=4",'Trial Rows'!$K$2:$K$201,"&lt;&gt;")=1),SUMIFS('Trial Rows'!$K$2:$K$201,'Trial Rows'!$B$2:$B$201,'Trial Rows'!B111,'Trial Rows'!$C$2:$C$201,'Trial Rows'!C111,'Trial Rows'!$F$2:$F$201,'Trial Rows'!F111,'Trial Rows'!$I$2:$I$201,'Trial Rows'!I111,'Trial Rows'!$Y$2:$Y$201,'Trial Rows'!Y111,'Trial Rows'!$G$2:$G$201,"A"),"")</x:f>
      </x:c>
      <x:c r="F111" s="2" t="n">
        <x:f>IF(AND(B111=1,'Trial Rows'!G111="B",C111=1,D111=1,ISNUMBER(E111),ISNUMBER('Trial Rows'!M111),'Trial Rows'!M111&gt;=0,'Trial Rows'!M111&lt;=4,'Trial Rows'!Q111=0,'Trial Rows'!S111=0),1,0)</x:f>
        <x:v>0</x:v>
      </x:c>
      <x:c r="G111" s="2" t="n">
        <x:f>IF(F111=1,IF(E111='Trial Rows'!M111,1,0),0)</x:f>
        <x:v>0</x:v>
      </x:c>
      <x:c r="H111" s="2" t="n">
        <x:f>IF(AND(B111=1,'Trial Rows'!G111="B",C111=1,D111=1,ISNUMBER(E111),'Trial Rows'!R111=1,'Trial Rows'!Q111=0,'Trial Rows'!S111=0,ISNUMBER('Trial Rows'!L111),'Trial Rows'!L111&gt;=0,'Trial Rows'!L111&lt;=4),1,0)</x:f>
        <x:v>0</x:v>
      </x:c>
      <x:c r="I111" s="2" t="n">
        <x:f>IF(H111=1,IF(E111='Trial Rows'!L111,1,0),0)</x:f>
        <x:v>0</x:v>
      </x:c>
      <x:c r="J111" s="2" t="n">
        <x:f>IF(AND(B111=1,'Trial Rows'!G111="B",'Trial Rows'!P111&gt;0),1,0)</x:f>
        <x:v>0</x:v>
      </x:c>
      <x:c r="K111" s="2" t="n">
        <x:f>IF(AND(B111=1,'Trial Rows'!G111="B",'Trial Rows'!Q111=1),1,0)</x:f>
        <x:v>0</x:v>
      </x:c>
      <x:c r="L111" s="2" t="n">
        <x:f>IF(AND(B111=1,'Trial Rows'!G111="B",'Trial Rows'!R111=1,'Trial Rows'!Q111=0,'Trial Rows'!S111=0),1,0)</x:f>
        <x:v>0</x:v>
      </x:c>
      <x:c r="M111" s="2" t="n">
        <x:f>IF(AND(B111=1,'Trial Rows'!G111="B"),1,0)</x:f>
        <x:v>0</x:v>
      </x:c>
      <x:c r="N111" s="2" t="n">
        <x:f>IF(AND(B111=1,'Trial Rows'!I111=1,COUNTIFS('Trial Rows'!$B$2:$B$201,'Trial Rows'!B111,'Trial Rows'!$C$2:$C$201,'Trial Rows'!C111,'Trial Rows'!$F$2:$F$201,'Trial Rows'!F111,'Trial Rows'!$G$2:$G$201,'Trial Rows'!G111,'Trial Rows'!$Y$2:$Y$201,'Trial Rows'!Y111)=4,COUNTIFS('Trial Rows'!$B$2:$B$201,'Trial Rows'!B111,'Trial Rows'!$C$2:$C$201,'Trial Rows'!C111,'Trial Rows'!$F$2:$F$201,'Trial Rows'!F111,'Trial Rows'!$G$2:$G$201,'Trial Rows'!G111,'Trial Rows'!$Y$2:$Y$201,'Trial Rows'!Y111,'Trial Rows'!$I$2:$I$201,1)=1,COUNTIFS('Trial Rows'!$B$2:$B$201,'Trial Rows'!B111,'Trial Rows'!$C$2:$C$201,'Trial Rows'!C111,'Trial Rows'!$F$2:$F$201,'Trial Rows'!F111,'Trial Rows'!$G$2:$G$201,'Trial Rows'!G111,'Trial Rows'!$Y$2:$Y$201,'Trial Rows'!Y111,'Trial Rows'!$I$2:$I$201,2)=1,COUNTIFS('Trial Rows'!$B$2:$B$201,'Trial Rows'!B111,'Trial Rows'!$C$2:$C$201,'Trial Rows'!C111,'Trial Rows'!$F$2:$F$201,'Trial Rows'!F111,'Trial Rows'!$G$2:$G$201,'Trial Rows'!G111,'Trial Rows'!$Y$2:$Y$201,'Trial Rows'!Y111,'Trial Rows'!$I$2:$I$201,3)=1,COUNTIFS('Trial Rows'!$B$2:$B$201,'Trial Rows'!B111,'Trial Rows'!$C$2:$C$201,'Trial Rows'!C111,'Trial Rows'!$F$2:$F$201,'Trial Rows'!F111,'Trial Rows'!$G$2:$G$201,'Trial Rows'!G111,'Trial Rows'!$Y$2:$Y$201,'Trial Rows'!Y111,'Trial Rows'!$I$2:$I$201,4)=1,COUNTIFS('Trial Rows'!$B$2:$B$201,'Trial Rows'!B111,'Trial Rows'!$C$2:$C$201,'Trial Rows'!C111,'Trial Rows'!$F$2:$F$201,'Trial Rows'!F111,'Trial Rows'!$G$2:$G$201,'Trial Rows'!G111,'Trial Rows'!$Y$2:$Y$201,'Trial Rows'!Y111,'Trial Rows'!$W$2:$W$201,"&lt;&gt;")=4,ISNUMBER('Trial Rows'!U111),COUNTIFS('Trial Rows'!$B$2:$B$201,'Trial Rows'!B111,'Trial Rows'!$C$2:$C$201,'Trial Rows'!C111,'Trial Rows'!$F$2:$F$201,'Trial Rows'!F111,'Trial Rows'!$G$2:$G$201,'Trial Rows'!G111,'Trial Rows'!$Y$2:$Y$201,'Trial Rows'!Y111,'Trial Rows'!$U$2:$U$201,'Trial Rows'!U111)=4,'Trial Rows'!U111&gt;=0),1,0)</x:f>
        <x:v>0</x:v>
      </x:c>
      <x:c r="O111" s="2" t="str">
        <x:f>IF(N111=1,'Trial Rows'!U111/1000,"")</x:f>
      </x:c>
      <x:c r="P111" s="2" t="str">
        <x:f>IF(AND(N111=1,'Trial Rows'!G111="A"),O111,"")</x:f>
      </x:c>
      <x:c r="Q111" s="2" t="str">
        <x:f>IF(AND(N111=1,'Trial Rows'!G111="B"),O111,"")</x:f>
      </x:c>
      <x:c r="R111" s="2" t="str">
        <x:f>IF(AND(N111=1,COUNTIFS('Trial Rows'!$B$2:$B$201,'Trial Rows'!B111,'Trial Rows'!$C$2:$C$201,'Trial Rows'!C111,'Trial Rows'!$F$2:$F$201,'Trial Rows'!F111,'Trial Rows'!$G$2:$G$201,'Trial Rows'!G111,'Trial Rows'!$Y$2:$Y$201,'Trial Rows'!Y111,'Trial Rows'!$N$2:$N$201,"&gt;=0",'Trial Rows'!$N$2:$N$201,"&lt;=4",'Trial Rows'!$N$2:$N$201,"&lt;&gt;")=4),SUMIFS('Trial Rows'!$N$2:$N$201,'Trial Rows'!$B$2:$B$201,'Trial Rows'!B111,'Trial Rows'!$C$2:$C$201,'Trial Rows'!C111,'Trial Rows'!$F$2:$F$201,'Trial Rows'!F111,'Trial Rows'!$G$2:$G$201,'Trial Rows'!G111,'Trial Rows'!$Y$2:$Y$201,'Trial Rows'!Y111,'Trial Rows'!$I$2:$I$201,1)+4-SUMIFS('Trial Rows'!$N$2:$N$201,'Trial Rows'!$B$2:$B$201,'Trial Rows'!B111,'Trial Rows'!$C$2:$C$201,'Trial Rows'!C111,'Trial Rows'!$F$2:$F$201,'Trial Rows'!F111,'Trial Rows'!$G$2:$G$201,'Trial Rows'!G111,'Trial Rows'!$Y$2:$Y$201,'Trial Rows'!Y111,'Trial Rows'!$I$2:$I$201,2)+4-SUMIFS('Trial Rows'!$N$2:$N$201,'Trial Rows'!$B$2:$B$201,'Trial Rows'!B111,'Trial Rows'!$C$2:$C$201,'Trial Rows'!C111,'Trial Rows'!$F$2:$F$201,'Trial Rows'!F111,'Trial Rows'!$G$2:$G$201,'Trial Rows'!G111,'Trial Rows'!$Y$2:$Y$201,'Trial Rows'!Y111,'Trial Rows'!$I$2:$I$201,3)+SUMIFS('Trial Rows'!$N$2:$N$201,'Trial Rows'!$B$2:$B$201,'Trial Rows'!B111,'Trial Rows'!$C$2:$C$201,'Trial Rows'!C111,'Trial Rows'!$F$2:$F$201,'Trial Rows'!F111,'Trial Rows'!$G$2:$G$201,'Trial Rows'!G111,'Trial Rows'!$Y$2:$Y$201,'Trial Rows'!Y111,'Trial Rows'!$I$2:$I$201,4),"")</x:f>
      </x:c>
      <x:c r="S111" s="2" t="n">
        <x:f>IF(AND(B111=1,COUNTIFS('Trial Rows'!$C$2:C111,'Trial Rows'!C111,'Trial Rows'!$F$2:F111,Summary!$B$5,'Trial Rows'!$Y$2:Y111,Summary!$B$4)=1),1,0)</x:f>
        <x:v>0</x:v>
      </x:c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 t="str">
        <x:f>IF('Trial Rows'!A112="","",'Trial Rows'!F112&amp;"|"&amp;'Trial Rows'!B112&amp;"|"&amp;'Trial Rows'!C112&amp;"|"&amp;'Trial Rows'!I112)</x:f>
      </x:c>
      <x:c r="B112" s="2" t="n">
        <x:f>IF(AND('Trial Rows'!A112&lt;&gt;"",'Trial Rows'!Y112=Summary!$B$4,'Trial Rows'!F112=Summary!$B$5),1,0)</x:f>
        <x:v>0</x:v>
      </x:c>
      <x:c r="C112" s="2" t="n">
        <x:f>IF(B112=1,COUNTIFS('Trial Rows'!$B$2:$B$201,'Trial Rows'!B112,'Trial Rows'!$C$2:$C$201,'Trial Rows'!C112,'Trial Rows'!$F$2:$F$201,'Trial Rows'!F112,'Trial Rows'!$I$2:$I$201,'Trial Rows'!I112,'Trial Rows'!$Y$2:$Y$201,'Trial Rows'!Y112,'Trial Rows'!$G$2:$G$201,"A"),0)</x:f>
        <x:v>0</x:v>
      </x:c>
      <x:c r="D112" s="2" t="n">
        <x:f>IF(B112=1,COUNTIFS('Trial Rows'!$B$2:$B$201,'Trial Rows'!B112,'Trial Rows'!$C$2:$C$201,'Trial Rows'!C112,'Trial Rows'!$F$2:$F$201,'Trial Rows'!F112,'Trial Rows'!$I$2:$I$201,'Trial Rows'!I112,'Trial Rows'!$Y$2:$Y$201,'Trial Rows'!Y112,'Trial Rows'!$G$2:$G$201,"B"),0)</x:f>
        <x:v>0</x:v>
      </x:c>
      <x:c r="E112" s="2" t="str">
        <x:f>IF(AND(C112=1,COUNTIFS('Trial Rows'!$B$2:$B$201,'Trial Rows'!B112,'Trial Rows'!$C$2:$C$201,'Trial Rows'!C112,'Trial Rows'!$F$2:$F$201,'Trial Rows'!F112,'Trial Rows'!$I$2:$I$201,'Trial Rows'!I112,'Trial Rows'!$Y$2:$Y$201,'Trial Rows'!Y112,'Trial Rows'!$G$2:$G$201,"A",'Trial Rows'!$K$2:$K$201,"&gt;=0",'Trial Rows'!$K$2:$K$201,"&lt;=4",'Trial Rows'!$K$2:$K$201,"&lt;&gt;")=1),SUMIFS('Trial Rows'!$K$2:$K$201,'Trial Rows'!$B$2:$B$201,'Trial Rows'!B112,'Trial Rows'!$C$2:$C$201,'Trial Rows'!C112,'Trial Rows'!$F$2:$F$201,'Trial Rows'!F112,'Trial Rows'!$I$2:$I$201,'Trial Rows'!I112,'Trial Rows'!$Y$2:$Y$201,'Trial Rows'!Y112,'Trial Rows'!$G$2:$G$201,"A"),"")</x:f>
      </x:c>
      <x:c r="F112" s="2" t="n">
        <x:f>IF(AND(B112=1,'Trial Rows'!G112="B",C112=1,D112=1,ISNUMBER(E112),ISNUMBER('Trial Rows'!M112),'Trial Rows'!M112&gt;=0,'Trial Rows'!M112&lt;=4,'Trial Rows'!Q112=0,'Trial Rows'!S112=0),1,0)</x:f>
        <x:v>0</x:v>
      </x:c>
      <x:c r="G112" s="2" t="n">
        <x:f>IF(F112=1,IF(E112='Trial Rows'!M112,1,0),0)</x:f>
        <x:v>0</x:v>
      </x:c>
      <x:c r="H112" s="2" t="n">
        <x:f>IF(AND(B112=1,'Trial Rows'!G112="B",C112=1,D112=1,ISNUMBER(E112),'Trial Rows'!R112=1,'Trial Rows'!Q112=0,'Trial Rows'!S112=0,ISNUMBER('Trial Rows'!L112),'Trial Rows'!L112&gt;=0,'Trial Rows'!L112&lt;=4),1,0)</x:f>
        <x:v>0</x:v>
      </x:c>
      <x:c r="I112" s="2" t="n">
        <x:f>IF(H112=1,IF(E112='Trial Rows'!L112,1,0),0)</x:f>
        <x:v>0</x:v>
      </x:c>
      <x:c r="J112" s="2" t="n">
        <x:f>IF(AND(B112=1,'Trial Rows'!G112="B",'Trial Rows'!P112&gt;0),1,0)</x:f>
        <x:v>0</x:v>
      </x:c>
      <x:c r="K112" s="2" t="n">
        <x:f>IF(AND(B112=1,'Trial Rows'!G112="B",'Trial Rows'!Q112=1),1,0)</x:f>
        <x:v>0</x:v>
      </x:c>
      <x:c r="L112" s="2" t="n">
        <x:f>IF(AND(B112=1,'Trial Rows'!G112="B",'Trial Rows'!R112=1,'Trial Rows'!Q112=0,'Trial Rows'!S112=0),1,0)</x:f>
        <x:v>0</x:v>
      </x:c>
      <x:c r="M112" s="2" t="n">
        <x:f>IF(AND(B112=1,'Trial Rows'!G112="B"),1,0)</x:f>
        <x:v>0</x:v>
      </x:c>
      <x:c r="N112" s="2" t="n">
        <x:f>IF(AND(B112=1,'Trial Rows'!I112=1,COUNTIFS('Trial Rows'!$B$2:$B$201,'Trial Rows'!B112,'Trial Rows'!$C$2:$C$201,'Trial Rows'!C112,'Trial Rows'!$F$2:$F$201,'Trial Rows'!F112,'Trial Rows'!$G$2:$G$201,'Trial Rows'!G112,'Trial Rows'!$Y$2:$Y$201,'Trial Rows'!Y112)=4,COUNTIFS('Trial Rows'!$B$2:$B$201,'Trial Rows'!B112,'Trial Rows'!$C$2:$C$201,'Trial Rows'!C112,'Trial Rows'!$F$2:$F$201,'Trial Rows'!F112,'Trial Rows'!$G$2:$G$201,'Trial Rows'!G112,'Trial Rows'!$Y$2:$Y$201,'Trial Rows'!Y112,'Trial Rows'!$I$2:$I$201,1)=1,COUNTIFS('Trial Rows'!$B$2:$B$201,'Trial Rows'!B112,'Trial Rows'!$C$2:$C$201,'Trial Rows'!C112,'Trial Rows'!$F$2:$F$201,'Trial Rows'!F112,'Trial Rows'!$G$2:$G$201,'Trial Rows'!G112,'Trial Rows'!$Y$2:$Y$201,'Trial Rows'!Y112,'Trial Rows'!$I$2:$I$201,2)=1,COUNTIFS('Trial Rows'!$B$2:$B$201,'Trial Rows'!B112,'Trial Rows'!$C$2:$C$201,'Trial Rows'!C112,'Trial Rows'!$F$2:$F$201,'Trial Rows'!F112,'Trial Rows'!$G$2:$G$201,'Trial Rows'!G112,'Trial Rows'!$Y$2:$Y$201,'Trial Rows'!Y112,'Trial Rows'!$I$2:$I$201,3)=1,COUNTIFS('Trial Rows'!$B$2:$B$201,'Trial Rows'!B112,'Trial Rows'!$C$2:$C$201,'Trial Rows'!C112,'Trial Rows'!$F$2:$F$201,'Trial Rows'!F112,'Trial Rows'!$G$2:$G$201,'Trial Rows'!G112,'Trial Rows'!$Y$2:$Y$201,'Trial Rows'!Y112,'Trial Rows'!$I$2:$I$201,4)=1,COUNTIFS('Trial Rows'!$B$2:$B$201,'Trial Rows'!B112,'Trial Rows'!$C$2:$C$201,'Trial Rows'!C112,'Trial Rows'!$F$2:$F$201,'Trial Rows'!F112,'Trial Rows'!$G$2:$G$201,'Trial Rows'!G112,'Trial Rows'!$Y$2:$Y$201,'Trial Rows'!Y112,'Trial Rows'!$W$2:$W$201,"&lt;&gt;")=4,ISNUMBER('Trial Rows'!U112),COUNTIFS('Trial Rows'!$B$2:$B$201,'Trial Rows'!B112,'Trial Rows'!$C$2:$C$201,'Trial Rows'!C112,'Trial Rows'!$F$2:$F$201,'Trial Rows'!F112,'Trial Rows'!$G$2:$G$201,'Trial Rows'!G112,'Trial Rows'!$Y$2:$Y$201,'Trial Rows'!Y112,'Trial Rows'!$U$2:$U$201,'Trial Rows'!U112)=4,'Trial Rows'!U112&gt;=0),1,0)</x:f>
        <x:v>0</x:v>
      </x:c>
      <x:c r="O112" s="2" t="str">
        <x:f>IF(N112=1,'Trial Rows'!U112/1000,"")</x:f>
      </x:c>
      <x:c r="P112" s="2" t="str">
        <x:f>IF(AND(N112=1,'Trial Rows'!G112="A"),O112,"")</x:f>
      </x:c>
      <x:c r="Q112" s="2" t="str">
        <x:f>IF(AND(N112=1,'Trial Rows'!G112="B"),O112,"")</x:f>
      </x:c>
      <x:c r="R112" s="2" t="str">
        <x:f>IF(AND(N112=1,COUNTIFS('Trial Rows'!$B$2:$B$201,'Trial Rows'!B112,'Trial Rows'!$C$2:$C$201,'Trial Rows'!C112,'Trial Rows'!$F$2:$F$201,'Trial Rows'!F112,'Trial Rows'!$G$2:$G$201,'Trial Rows'!G112,'Trial Rows'!$Y$2:$Y$201,'Trial Rows'!Y112,'Trial Rows'!$N$2:$N$201,"&gt;=0",'Trial Rows'!$N$2:$N$201,"&lt;=4",'Trial Rows'!$N$2:$N$201,"&lt;&gt;")=4),SUMIFS('Trial Rows'!$N$2:$N$201,'Trial Rows'!$B$2:$B$201,'Trial Rows'!B112,'Trial Rows'!$C$2:$C$201,'Trial Rows'!C112,'Trial Rows'!$F$2:$F$201,'Trial Rows'!F112,'Trial Rows'!$G$2:$G$201,'Trial Rows'!G112,'Trial Rows'!$Y$2:$Y$201,'Trial Rows'!Y112,'Trial Rows'!$I$2:$I$201,1)+4-SUMIFS('Trial Rows'!$N$2:$N$201,'Trial Rows'!$B$2:$B$201,'Trial Rows'!B112,'Trial Rows'!$C$2:$C$201,'Trial Rows'!C112,'Trial Rows'!$F$2:$F$201,'Trial Rows'!F112,'Trial Rows'!$G$2:$G$201,'Trial Rows'!G112,'Trial Rows'!$Y$2:$Y$201,'Trial Rows'!Y112,'Trial Rows'!$I$2:$I$201,2)+4-SUMIFS('Trial Rows'!$N$2:$N$201,'Trial Rows'!$B$2:$B$201,'Trial Rows'!B112,'Trial Rows'!$C$2:$C$201,'Trial Rows'!C112,'Trial Rows'!$F$2:$F$201,'Trial Rows'!F112,'Trial Rows'!$G$2:$G$201,'Trial Rows'!G112,'Trial Rows'!$Y$2:$Y$201,'Trial Rows'!Y112,'Trial Rows'!$I$2:$I$201,3)+SUMIFS('Trial Rows'!$N$2:$N$201,'Trial Rows'!$B$2:$B$201,'Trial Rows'!B112,'Trial Rows'!$C$2:$C$201,'Trial Rows'!C112,'Trial Rows'!$F$2:$F$201,'Trial Rows'!F112,'Trial Rows'!$G$2:$G$201,'Trial Rows'!G112,'Trial Rows'!$Y$2:$Y$201,'Trial Rows'!Y112,'Trial Rows'!$I$2:$I$201,4),"")</x:f>
      </x:c>
      <x:c r="S112" s="2" t="n">
        <x:f>IF(AND(B112=1,COUNTIFS('Trial Rows'!$C$2:C112,'Trial Rows'!C112,'Trial Rows'!$F$2:F112,Summary!$B$5,'Trial Rows'!$Y$2:Y112,Summary!$B$4)=1),1,0)</x:f>
        <x:v>0</x:v>
      </x:c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 t="str">
        <x:f>IF('Trial Rows'!A113="","",'Trial Rows'!F113&amp;"|"&amp;'Trial Rows'!B113&amp;"|"&amp;'Trial Rows'!C113&amp;"|"&amp;'Trial Rows'!I113)</x:f>
      </x:c>
      <x:c r="B113" s="2" t="n">
        <x:f>IF(AND('Trial Rows'!A113&lt;&gt;"",'Trial Rows'!Y113=Summary!$B$4,'Trial Rows'!F113=Summary!$B$5),1,0)</x:f>
        <x:v>0</x:v>
      </x:c>
      <x:c r="C113" s="2" t="n">
        <x:f>IF(B113=1,COUNTIFS('Trial Rows'!$B$2:$B$201,'Trial Rows'!B113,'Trial Rows'!$C$2:$C$201,'Trial Rows'!C113,'Trial Rows'!$F$2:$F$201,'Trial Rows'!F113,'Trial Rows'!$I$2:$I$201,'Trial Rows'!I113,'Trial Rows'!$Y$2:$Y$201,'Trial Rows'!Y113,'Trial Rows'!$G$2:$G$201,"A"),0)</x:f>
        <x:v>0</x:v>
      </x:c>
      <x:c r="D113" s="2" t="n">
        <x:f>IF(B113=1,COUNTIFS('Trial Rows'!$B$2:$B$201,'Trial Rows'!B113,'Trial Rows'!$C$2:$C$201,'Trial Rows'!C113,'Trial Rows'!$F$2:$F$201,'Trial Rows'!F113,'Trial Rows'!$I$2:$I$201,'Trial Rows'!I113,'Trial Rows'!$Y$2:$Y$201,'Trial Rows'!Y113,'Trial Rows'!$G$2:$G$201,"B"),0)</x:f>
        <x:v>0</x:v>
      </x:c>
      <x:c r="E113" s="2" t="str">
        <x:f>IF(AND(C113=1,COUNTIFS('Trial Rows'!$B$2:$B$201,'Trial Rows'!B113,'Trial Rows'!$C$2:$C$201,'Trial Rows'!C113,'Trial Rows'!$F$2:$F$201,'Trial Rows'!F113,'Trial Rows'!$I$2:$I$201,'Trial Rows'!I113,'Trial Rows'!$Y$2:$Y$201,'Trial Rows'!Y113,'Trial Rows'!$G$2:$G$201,"A",'Trial Rows'!$K$2:$K$201,"&gt;=0",'Trial Rows'!$K$2:$K$201,"&lt;=4",'Trial Rows'!$K$2:$K$201,"&lt;&gt;")=1),SUMIFS('Trial Rows'!$K$2:$K$201,'Trial Rows'!$B$2:$B$201,'Trial Rows'!B113,'Trial Rows'!$C$2:$C$201,'Trial Rows'!C113,'Trial Rows'!$F$2:$F$201,'Trial Rows'!F113,'Trial Rows'!$I$2:$I$201,'Trial Rows'!I113,'Trial Rows'!$Y$2:$Y$201,'Trial Rows'!Y113,'Trial Rows'!$G$2:$G$201,"A"),"")</x:f>
      </x:c>
      <x:c r="F113" s="2" t="n">
        <x:f>IF(AND(B113=1,'Trial Rows'!G113="B",C113=1,D113=1,ISNUMBER(E113),ISNUMBER('Trial Rows'!M113),'Trial Rows'!M113&gt;=0,'Trial Rows'!M113&lt;=4,'Trial Rows'!Q113=0,'Trial Rows'!S113=0),1,0)</x:f>
        <x:v>0</x:v>
      </x:c>
      <x:c r="G113" s="2" t="n">
        <x:f>IF(F113=1,IF(E113='Trial Rows'!M113,1,0),0)</x:f>
        <x:v>0</x:v>
      </x:c>
      <x:c r="H113" s="2" t="n">
        <x:f>IF(AND(B113=1,'Trial Rows'!G113="B",C113=1,D113=1,ISNUMBER(E113),'Trial Rows'!R113=1,'Trial Rows'!Q113=0,'Trial Rows'!S113=0,ISNUMBER('Trial Rows'!L113),'Trial Rows'!L113&gt;=0,'Trial Rows'!L113&lt;=4),1,0)</x:f>
        <x:v>0</x:v>
      </x:c>
      <x:c r="I113" s="2" t="n">
        <x:f>IF(H113=1,IF(E113='Trial Rows'!L113,1,0),0)</x:f>
        <x:v>0</x:v>
      </x:c>
      <x:c r="J113" s="2" t="n">
        <x:f>IF(AND(B113=1,'Trial Rows'!G113="B",'Trial Rows'!P113&gt;0),1,0)</x:f>
        <x:v>0</x:v>
      </x:c>
      <x:c r="K113" s="2" t="n">
        <x:f>IF(AND(B113=1,'Trial Rows'!G113="B",'Trial Rows'!Q113=1),1,0)</x:f>
        <x:v>0</x:v>
      </x:c>
      <x:c r="L113" s="2" t="n">
        <x:f>IF(AND(B113=1,'Trial Rows'!G113="B",'Trial Rows'!R113=1,'Trial Rows'!Q113=0,'Trial Rows'!S113=0),1,0)</x:f>
        <x:v>0</x:v>
      </x:c>
      <x:c r="M113" s="2" t="n">
        <x:f>IF(AND(B113=1,'Trial Rows'!G113="B"),1,0)</x:f>
        <x:v>0</x:v>
      </x:c>
      <x:c r="N113" s="2" t="n">
        <x:f>IF(AND(B113=1,'Trial Rows'!I113=1,COUNTIFS('Trial Rows'!$B$2:$B$201,'Trial Rows'!B113,'Trial Rows'!$C$2:$C$201,'Trial Rows'!C113,'Trial Rows'!$F$2:$F$201,'Trial Rows'!F113,'Trial Rows'!$G$2:$G$201,'Trial Rows'!G113,'Trial Rows'!$Y$2:$Y$201,'Trial Rows'!Y113)=4,COUNTIFS('Trial Rows'!$B$2:$B$201,'Trial Rows'!B113,'Trial Rows'!$C$2:$C$201,'Trial Rows'!C113,'Trial Rows'!$F$2:$F$201,'Trial Rows'!F113,'Trial Rows'!$G$2:$G$201,'Trial Rows'!G113,'Trial Rows'!$Y$2:$Y$201,'Trial Rows'!Y113,'Trial Rows'!$I$2:$I$201,1)=1,COUNTIFS('Trial Rows'!$B$2:$B$201,'Trial Rows'!B113,'Trial Rows'!$C$2:$C$201,'Trial Rows'!C113,'Trial Rows'!$F$2:$F$201,'Trial Rows'!F113,'Trial Rows'!$G$2:$G$201,'Trial Rows'!G113,'Trial Rows'!$Y$2:$Y$201,'Trial Rows'!Y113,'Trial Rows'!$I$2:$I$201,2)=1,COUNTIFS('Trial Rows'!$B$2:$B$201,'Trial Rows'!B113,'Trial Rows'!$C$2:$C$201,'Trial Rows'!C113,'Trial Rows'!$F$2:$F$201,'Trial Rows'!F113,'Trial Rows'!$G$2:$G$201,'Trial Rows'!G113,'Trial Rows'!$Y$2:$Y$201,'Trial Rows'!Y113,'Trial Rows'!$I$2:$I$201,3)=1,COUNTIFS('Trial Rows'!$B$2:$B$201,'Trial Rows'!B113,'Trial Rows'!$C$2:$C$201,'Trial Rows'!C113,'Trial Rows'!$F$2:$F$201,'Trial Rows'!F113,'Trial Rows'!$G$2:$G$201,'Trial Rows'!G113,'Trial Rows'!$Y$2:$Y$201,'Trial Rows'!Y113,'Trial Rows'!$I$2:$I$201,4)=1,COUNTIFS('Trial Rows'!$B$2:$B$201,'Trial Rows'!B113,'Trial Rows'!$C$2:$C$201,'Trial Rows'!C113,'Trial Rows'!$F$2:$F$201,'Trial Rows'!F113,'Trial Rows'!$G$2:$G$201,'Trial Rows'!G113,'Trial Rows'!$Y$2:$Y$201,'Trial Rows'!Y113,'Trial Rows'!$W$2:$W$201,"&lt;&gt;")=4,ISNUMBER('Trial Rows'!U113),COUNTIFS('Trial Rows'!$B$2:$B$201,'Trial Rows'!B113,'Trial Rows'!$C$2:$C$201,'Trial Rows'!C113,'Trial Rows'!$F$2:$F$201,'Trial Rows'!F113,'Trial Rows'!$G$2:$G$201,'Trial Rows'!G113,'Trial Rows'!$Y$2:$Y$201,'Trial Rows'!Y113,'Trial Rows'!$U$2:$U$201,'Trial Rows'!U113)=4,'Trial Rows'!U113&gt;=0),1,0)</x:f>
        <x:v>0</x:v>
      </x:c>
      <x:c r="O113" s="2" t="str">
        <x:f>IF(N113=1,'Trial Rows'!U113/1000,"")</x:f>
      </x:c>
      <x:c r="P113" s="2" t="str">
        <x:f>IF(AND(N113=1,'Trial Rows'!G113="A"),O113,"")</x:f>
      </x:c>
      <x:c r="Q113" s="2" t="str">
        <x:f>IF(AND(N113=1,'Trial Rows'!G113="B"),O113,"")</x:f>
      </x:c>
      <x:c r="R113" s="2" t="str">
        <x:f>IF(AND(N113=1,COUNTIFS('Trial Rows'!$B$2:$B$201,'Trial Rows'!B113,'Trial Rows'!$C$2:$C$201,'Trial Rows'!C113,'Trial Rows'!$F$2:$F$201,'Trial Rows'!F113,'Trial Rows'!$G$2:$G$201,'Trial Rows'!G113,'Trial Rows'!$Y$2:$Y$201,'Trial Rows'!Y113,'Trial Rows'!$N$2:$N$201,"&gt;=0",'Trial Rows'!$N$2:$N$201,"&lt;=4",'Trial Rows'!$N$2:$N$201,"&lt;&gt;")=4),SUMIFS('Trial Rows'!$N$2:$N$201,'Trial Rows'!$B$2:$B$201,'Trial Rows'!B113,'Trial Rows'!$C$2:$C$201,'Trial Rows'!C113,'Trial Rows'!$F$2:$F$201,'Trial Rows'!F113,'Trial Rows'!$G$2:$G$201,'Trial Rows'!G113,'Trial Rows'!$Y$2:$Y$201,'Trial Rows'!Y113,'Trial Rows'!$I$2:$I$201,1)+4-SUMIFS('Trial Rows'!$N$2:$N$201,'Trial Rows'!$B$2:$B$201,'Trial Rows'!B113,'Trial Rows'!$C$2:$C$201,'Trial Rows'!C113,'Trial Rows'!$F$2:$F$201,'Trial Rows'!F113,'Trial Rows'!$G$2:$G$201,'Trial Rows'!G113,'Trial Rows'!$Y$2:$Y$201,'Trial Rows'!Y113,'Trial Rows'!$I$2:$I$201,2)+4-SUMIFS('Trial Rows'!$N$2:$N$201,'Trial Rows'!$B$2:$B$201,'Trial Rows'!B113,'Trial Rows'!$C$2:$C$201,'Trial Rows'!C113,'Trial Rows'!$F$2:$F$201,'Trial Rows'!F113,'Trial Rows'!$G$2:$G$201,'Trial Rows'!G113,'Trial Rows'!$Y$2:$Y$201,'Trial Rows'!Y113,'Trial Rows'!$I$2:$I$201,3)+SUMIFS('Trial Rows'!$N$2:$N$201,'Trial Rows'!$B$2:$B$201,'Trial Rows'!B113,'Trial Rows'!$C$2:$C$201,'Trial Rows'!C113,'Trial Rows'!$F$2:$F$201,'Trial Rows'!F113,'Trial Rows'!$G$2:$G$201,'Trial Rows'!G113,'Trial Rows'!$Y$2:$Y$201,'Trial Rows'!Y113,'Trial Rows'!$I$2:$I$201,4),"")</x:f>
      </x:c>
      <x:c r="S113" s="2" t="n">
        <x:f>IF(AND(B113=1,COUNTIFS('Trial Rows'!$C$2:C113,'Trial Rows'!C113,'Trial Rows'!$F$2:F113,Summary!$B$5,'Trial Rows'!$Y$2:Y113,Summary!$B$4)=1),1,0)</x:f>
        <x:v>0</x:v>
      </x:c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 t="str">
        <x:f>IF('Trial Rows'!A114="","",'Trial Rows'!F114&amp;"|"&amp;'Trial Rows'!B114&amp;"|"&amp;'Trial Rows'!C114&amp;"|"&amp;'Trial Rows'!I114)</x:f>
      </x:c>
      <x:c r="B114" s="2" t="n">
        <x:f>IF(AND('Trial Rows'!A114&lt;&gt;"",'Trial Rows'!Y114=Summary!$B$4,'Trial Rows'!F114=Summary!$B$5),1,0)</x:f>
        <x:v>0</x:v>
      </x:c>
      <x:c r="C114" s="2" t="n">
        <x:f>IF(B114=1,COUNTIFS('Trial Rows'!$B$2:$B$201,'Trial Rows'!B114,'Trial Rows'!$C$2:$C$201,'Trial Rows'!C114,'Trial Rows'!$F$2:$F$201,'Trial Rows'!F114,'Trial Rows'!$I$2:$I$201,'Trial Rows'!I114,'Trial Rows'!$Y$2:$Y$201,'Trial Rows'!Y114,'Trial Rows'!$G$2:$G$201,"A"),0)</x:f>
        <x:v>0</x:v>
      </x:c>
      <x:c r="D114" s="2" t="n">
        <x:f>IF(B114=1,COUNTIFS('Trial Rows'!$B$2:$B$201,'Trial Rows'!B114,'Trial Rows'!$C$2:$C$201,'Trial Rows'!C114,'Trial Rows'!$F$2:$F$201,'Trial Rows'!F114,'Trial Rows'!$I$2:$I$201,'Trial Rows'!I114,'Trial Rows'!$Y$2:$Y$201,'Trial Rows'!Y114,'Trial Rows'!$G$2:$G$201,"B"),0)</x:f>
        <x:v>0</x:v>
      </x:c>
      <x:c r="E114" s="2" t="str">
        <x:f>IF(AND(C114=1,COUNTIFS('Trial Rows'!$B$2:$B$201,'Trial Rows'!B114,'Trial Rows'!$C$2:$C$201,'Trial Rows'!C114,'Trial Rows'!$F$2:$F$201,'Trial Rows'!F114,'Trial Rows'!$I$2:$I$201,'Trial Rows'!I114,'Trial Rows'!$Y$2:$Y$201,'Trial Rows'!Y114,'Trial Rows'!$G$2:$G$201,"A",'Trial Rows'!$K$2:$K$201,"&gt;=0",'Trial Rows'!$K$2:$K$201,"&lt;=4",'Trial Rows'!$K$2:$K$201,"&lt;&gt;")=1),SUMIFS('Trial Rows'!$K$2:$K$201,'Trial Rows'!$B$2:$B$201,'Trial Rows'!B114,'Trial Rows'!$C$2:$C$201,'Trial Rows'!C114,'Trial Rows'!$F$2:$F$201,'Trial Rows'!F114,'Trial Rows'!$I$2:$I$201,'Trial Rows'!I114,'Trial Rows'!$Y$2:$Y$201,'Trial Rows'!Y114,'Trial Rows'!$G$2:$G$201,"A"),"")</x:f>
      </x:c>
      <x:c r="F114" s="2" t="n">
        <x:f>IF(AND(B114=1,'Trial Rows'!G114="B",C114=1,D114=1,ISNUMBER(E114),ISNUMBER('Trial Rows'!M114),'Trial Rows'!M114&gt;=0,'Trial Rows'!M114&lt;=4,'Trial Rows'!Q114=0,'Trial Rows'!S114=0),1,0)</x:f>
        <x:v>0</x:v>
      </x:c>
      <x:c r="G114" s="2" t="n">
        <x:f>IF(F114=1,IF(E114='Trial Rows'!M114,1,0),0)</x:f>
        <x:v>0</x:v>
      </x:c>
      <x:c r="H114" s="2" t="n">
        <x:f>IF(AND(B114=1,'Trial Rows'!G114="B",C114=1,D114=1,ISNUMBER(E114),'Trial Rows'!R114=1,'Trial Rows'!Q114=0,'Trial Rows'!S114=0,ISNUMBER('Trial Rows'!L114),'Trial Rows'!L114&gt;=0,'Trial Rows'!L114&lt;=4),1,0)</x:f>
        <x:v>0</x:v>
      </x:c>
      <x:c r="I114" s="2" t="n">
        <x:f>IF(H114=1,IF(E114='Trial Rows'!L114,1,0),0)</x:f>
        <x:v>0</x:v>
      </x:c>
      <x:c r="J114" s="2" t="n">
        <x:f>IF(AND(B114=1,'Trial Rows'!G114="B",'Trial Rows'!P114&gt;0),1,0)</x:f>
        <x:v>0</x:v>
      </x:c>
      <x:c r="K114" s="2" t="n">
        <x:f>IF(AND(B114=1,'Trial Rows'!G114="B",'Trial Rows'!Q114=1),1,0)</x:f>
        <x:v>0</x:v>
      </x:c>
      <x:c r="L114" s="2" t="n">
        <x:f>IF(AND(B114=1,'Trial Rows'!G114="B",'Trial Rows'!R114=1,'Trial Rows'!Q114=0,'Trial Rows'!S114=0),1,0)</x:f>
        <x:v>0</x:v>
      </x:c>
      <x:c r="M114" s="2" t="n">
        <x:f>IF(AND(B114=1,'Trial Rows'!G114="B"),1,0)</x:f>
        <x:v>0</x:v>
      </x:c>
      <x:c r="N114" s="2" t="n">
        <x:f>IF(AND(B114=1,'Trial Rows'!I114=1,COUNTIFS('Trial Rows'!$B$2:$B$201,'Trial Rows'!B114,'Trial Rows'!$C$2:$C$201,'Trial Rows'!C114,'Trial Rows'!$F$2:$F$201,'Trial Rows'!F114,'Trial Rows'!$G$2:$G$201,'Trial Rows'!G114,'Trial Rows'!$Y$2:$Y$201,'Trial Rows'!Y114)=4,COUNTIFS('Trial Rows'!$B$2:$B$201,'Trial Rows'!B114,'Trial Rows'!$C$2:$C$201,'Trial Rows'!C114,'Trial Rows'!$F$2:$F$201,'Trial Rows'!F114,'Trial Rows'!$G$2:$G$201,'Trial Rows'!G114,'Trial Rows'!$Y$2:$Y$201,'Trial Rows'!Y114,'Trial Rows'!$I$2:$I$201,1)=1,COUNTIFS('Trial Rows'!$B$2:$B$201,'Trial Rows'!B114,'Trial Rows'!$C$2:$C$201,'Trial Rows'!C114,'Trial Rows'!$F$2:$F$201,'Trial Rows'!F114,'Trial Rows'!$G$2:$G$201,'Trial Rows'!G114,'Trial Rows'!$Y$2:$Y$201,'Trial Rows'!Y114,'Trial Rows'!$I$2:$I$201,2)=1,COUNTIFS('Trial Rows'!$B$2:$B$201,'Trial Rows'!B114,'Trial Rows'!$C$2:$C$201,'Trial Rows'!C114,'Trial Rows'!$F$2:$F$201,'Trial Rows'!F114,'Trial Rows'!$G$2:$G$201,'Trial Rows'!G114,'Trial Rows'!$Y$2:$Y$201,'Trial Rows'!Y114,'Trial Rows'!$I$2:$I$201,3)=1,COUNTIFS('Trial Rows'!$B$2:$B$201,'Trial Rows'!B114,'Trial Rows'!$C$2:$C$201,'Trial Rows'!C114,'Trial Rows'!$F$2:$F$201,'Trial Rows'!F114,'Trial Rows'!$G$2:$G$201,'Trial Rows'!G114,'Trial Rows'!$Y$2:$Y$201,'Trial Rows'!Y114,'Trial Rows'!$I$2:$I$201,4)=1,COUNTIFS('Trial Rows'!$B$2:$B$201,'Trial Rows'!B114,'Trial Rows'!$C$2:$C$201,'Trial Rows'!C114,'Trial Rows'!$F$2:$F$201,'Trial Rows'!F114,'Trial Rows'!$G$2:$G$201,'Trial Rows'!G114,'Trial Rows'!$Y$2:$Y$201,'Trial Rows'!Y114,'Trial Rows'!$W$2:$W$201,"&lt;&gt;")=4,ISNUMBER('Trial Rows'!U114),COUNTIFS('Trial Rows'!$B$2:$B$201,'Trial Rows'!B114,'Trial Rows'!$C$2:$C$201,'Trial Rows'!C114,'Trial Rows'!$F$2:$F$201,'Trial Rows'!F114,'Trial Rows'!$G$2:$G$201,'Trial Rows'!G114,'Trial Rows'!$Y$2:$Y$201,'Trial Rows'!Y114,'Trial Rows'!$U$2:$U$201,'Trial Rows'!U114)=4,'Trial Rows'!U114&gt;=0),1,0)</x:f>
        <x:v>0</x:v>
      </x:c>
      <x:c r="O114" s="2" t="str">
        <x:f>IF(N114=1,'Trial Rows'!U114/1000,"")</x:f>
      </x:c>
      <x:c r="P114" s="2" t="str">
        <x:f>IF(AND(N114=1,'Trial Rows'!G114="A"),O114,"")</x:f>
      </x:c>
      <x:c r="Q114" s="2" t="str">
        <x:f>IF(AND(N114=1,'Trial Rows'!G114="B"),O114,"")</x:f>
      </x:c>
      <x:c r="R114" s="2" t="str">
        <x:f>IF(AND(N114=1,COUNTIFS('Trial Rows'!$B$2:$B$201,'Trial Rows'!B114,'Trial Rows'!$C$2:$C$201,'Trial Rows'!C114,'Trial Rows'!$F$2:$F$201,'Trial Rows'!F114,'Trial Rows'!$G$2:$G$201,'Trial Rows'!G114,'Trial Rows'!$Y$2:$Y$201,'Trial Rows'!Y114,'Trial Rows'!$N$2:$N$201,"&gt;=0",'Trial Rows'!$N$2:$N$201,"&lt;=4",'Trial Rows'!$N$2:$N$201,"&lt;&gt;")=4),SUMIFS('Trial Rows'!$N$2:$N$201,'Trial Rows'!$B$2:$B$201,'Trial Rows'!B114,'Trial Rows'!$C$2:$C$201,'Trial Rows'!C114,'Trial Rows'!$F$2:$F$201,'Trial Rows'!F114,'Trial Rows'!$G$2:$G$201,'Trial Rows'!G114,'Trial Rows'!$Y$2:$Y$201,'Trial Rows'!Y114,'Trial Rows'!$I$2:$I$201,1)+4-SUMIFS('Trial Rows'!$N$2:$N$201,'Trial Rows'!$B$2:$B$201,'Trial Rows'!B114,'Trial Rows'!$C$2:$C$201,'Trial Rows'!C114,'Trial Rows'!$F$2:$F$201,'Trial Rows'!F114,'Trial Rows'!$G$2:$G$201,'Trial Rows'!G114,'Trial Rows'!$Y$2:$Y$201,'Trial Rows'!Y114,'Trial Rows'!$I$2:$I$201,2)+4-SUMIFS('Trial Rows'!$N$2:$N$201,'Trial Rows'!$B$2:$B$201,'Trial Rows'!B114,'Trial Rows'!$C$2:$C$201,'Trial Rows'!C114,'Trial Rows'!$F$2:$F$201,'Trial Rows'!F114,'Trial Rows'!$G$2:$G$201,'Trial Rows'!G114,'Trial Rows'!$Y$2:$Y$201,'Trial Rows'!Y114,'Trial Rows'!$I$2:$I$201,3)+SUMIFS('Trial Rows'!$N$2:$N$201,'Trial Rows'!$B$2:$B$201,'Trial Rows'!B114,'Trial Rows'!$C$2:$C$201,'Trial Rows'!C114,'Trial Rows'!$F$2:$F$201,'Trial Rows'!F114,'Trial Rows'!$G$2:$G$201,'Trial Rows'!G114,'Trial Rows'!$Y$2:$Y$201,'Trial Rows'!Y114,'Trial Rows'!$I$2:$I$201,4),"")</x:f>
      </x:c>
      <x:c r="S114" s="2" t="n">
        <x:f>IF(AND(B114=1,COUNTIFS('Trial Rows'!$C$2:C114,'Trial Rows'!C114,'Trial Rows'!$F$2:F114,Summary!$B$5,'Trial Rows'!$Y$2:Y114,Summary!$B$4)=1),1,0)</x:f>
        <x:v>0</x:v>
      </x:c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 t="str">
        <x:f>IF('Trial Rows'!A115="","",'Trial Rows'!F115&amp;"|"&amp;'Trial Rows'!B115&amp;"|"&amp;'Trial Rows'!C115&amp;"|"&amp;'Trial Rows'!I115)</x:f>
      </x:c>
      <x:c r="B115" s="2" t="n">
        <x:f>IF(AND('Trial Rows'!A115&lt;&gt;"",'Trial Rows'!Y115=Summary!$B$4,'Trial Rows'!F115=Summary!$B$5),1,0)</x:f>
        <x:v>0</x:v>
      </x:c>
      <x:c r="C115" s="2" t="n">
        <x:f>IF(B115=1,COUNTIFS('Trial Rows'!$B$2:$B$201,'Trial Rows'!B115,'Trial Rows'!$C$2:$C$201,'Trial Rows'!C115,'Trial Rows'!$F$2:$F$201,'Trial Rows'!F115,'Trial Rows'!$I$2:$I$201,'Trial Rows'!I115,'Trial Rows'!$Y$2:$Y$201,'Trial Rows'!Y115,'Trial Rows'!$G$2:$G$201,"A"),0)</x:f>
        <x:v>0</x:v>
      </x:c>
      <x:c r="D115" s="2" t="n">
        <x:f>IF(B115=1,COUNTIFS('Trial Rows'!$B$2:$B$201,'Trial Rows'!B115,'Trial Rows'!$C$2:$C$201,'Trial Rows'!C115,'Trial Rows'!$F$2:$F$201,'Trial Rows'!F115,'Trial Rows'!$I$2:$I$201,'Trial Rows'!I115,'Trial Rows'!$Y$2:$Y$201,'Trial Rows'!Y115,'Trial Rows'!$G$2:$G$201,"B"),0)</x:f>
        <x:v>0</x:v>
      </x:c>
      <x:c r="E115" s="2" t="str">
        <x:f>IF(AND(C115=1,COUNTIFS('Trial Rows'!$B$2:$B$201,'Trial Rows'!B115,'Trial Rows'!$C$2:$C$201,'Trial Rows'!C115,'Trial Rows'!$F$2:$F$201,'Trial Rows'!F115,'Trial Rows'!$I$2:$I$201,'Trial Rows'!I115,'Trial Rows'!$Y$2:$Y$201,'Trial Rows'!Y115,'Trial Rows'!$G$2:$G$201,"A",'Trial Rows'!$K$2:$K$201,"&gt;=0",'Trial Rows'!$K$2:$K$201,"&lt;=4",'Trial Rows'!$K$2:$K$201,"&lt;&gt;")=1),SUMIFS('Trial Rows'!$K$2:$K$201,'Trial Rows'!$B$2:$B$201,'Trial Rows'!B115,'Trial Rows'!$C$2:$C$201,'Trial Rows'!C115,'Trial Rows'!$F$2:$F$201,'Trial Rows'!F115,'Trial Rows'!$I$2:$I$201,'Trial Rows'!I115,'Trial Rows'!$Y$2:$Y$201,'Trial Rows'!Y115,'Trial Rows'!$G$2:$G$201,"A"),"")</x:f>
      </x:c>
      <x:c r="F115" s="2" t="n">
        <x:f>IF(AND(B115=1,'Trial Rows'!G115="B",C115=1,D115=1,ISNUMBER(E115),ISNUMBER('Trial Rows'!M115),'Trial Rows'!M115&gt;=0,'Trial Rows'!M115&lt;=4,'Trial Rows'!Q115=0,'Trial Rows'!S115=0),1,0)</x:f>
        <x:v>0</x:v>
      </x:c>
      <x:c r="G115" s="2" t="n">
        <x:f>IF(F115=1,IF(E115='Trial Rows'!M115,1,0),0)</x:f>
        <x:v>0</x:v>
      </x:c>
      <x:c r="H115" s="2" t="n">
        <x:f>IF(AND(B115=1,'Trial Rows'!G115="B",C115=1,D115=1,ISNUMBER(E115),'Trial Rows'!R115=1,'Trial Rows'!Q115=0,'Trial Rows'!S115=0,ISNUMBER('Trial Rows'!L115),'Trial Rows'!L115&gt;=0,'Trial Rows'!L115&lt;=4),1,0)</x:f>
        <x:v>0</x:v>
      </x:c>
      <x:c r="I115" s="2" t="n">
        <x:f>IF(H115=1,IF(E115='Trial Rows'!L115,1,0),0)</x:f>
        <x:v>0</x:v>
      </x:c>
      <x:c r="J115" s="2" t="n">
        <x:f>IF(AND(B115=1,'Trial Rows'!G115="B",'Trial Rows'!P115&gt;0),1,0)</x:f>
        <x:v>0</x:v>
      </x:c>
      <x:c r="K115" s="2" t="n">
        <x:f>IF(AND(B115=1,'Trial Rows'!G115="B",'Trial Rows'!Q115=1),1,0)</x:f>
        <x:v>0</x:v>
      </x:c>
      <x:c r="L115" s="2" t="n">
        <x:f>IF(AND(B115=1,'Trial Rows'!G115="B",'Trial Rows'!R115=1,'Trial Rows'!Q115=0,'Trial Rows'!S115=0),1,0)</x:f>
        <x:v>0</x:v>
      </x:c>
      <x:c r="M115" s="2" t="n">
        <x:f>IF(AND(B115=1,'Trial Rows'!G115="B"),1,0)</x:f>
        <x:v>0</x:v>
      </x:c>
      <x:c r="N115" s="2" t="n">
        <x:f>IF(AND(B115=1,'Trial Rows'!I115=1,COUNTIFS('Trial Rows'!$B$2:$B$201,'Trial Rows'!B115,'Trial Rows'!$C$2:$C$201,'Trial Rows'!C115,'Trial Rows'!$F$2:$F$201,'Trial Rows'!F115,'Trial Rows'!$G$2:$G$201,'Trial Rows'!G115,'Trial Rows'!$Y$2:$Y$201,'Trial Rows'!Y115)=4,COUNTIFS('Trial Rows'!$B$2:$B$201,'Trial Rows'!B115,'Trial Rows'!$C$2:$C$201,'Trial Rows'!C115,'Trial Rows'!$F$2:$F$201,'Trial Rows'!F115,'Trial Rows'!$G$2:$G$201,'Trial Rows'!G115,'Trial Rows'!$Y$2:$Y$201,'Trial Rows'!Y115,'Trial Rows'!$I$2:$I$201,1)=1,COUNTIFS('Trial Rows'!$B$2:$B$201,'Trial Rows'!B115,'Trial Rows'!$C$2:$C$201,'Trial Rows'!C115,'Trial Rows'!$F$2:$F$201,'Trial Rows'!F115,'Trial Rows'!$G$2:$G$201,'Trial Rows'!G115,'Trial Rows'!$Y$2:$Y$201,'Trial Rows'!Y115,'Trial Rows'!$I$2:$I$201,2)=1,COUNTIFS('Trial Rows'!$B$2:$B$201,'Trial Rows'!B115,'Trial Rows'!$C$2:$C$201,'Trial Rows'!C115,'Trial Rows'!$F$2:$F$201,'Trial Rows'!F115,'Trial Rows'!$G$2:$G$201,'Trial Rows'!G115,'Trial Rows'!$Y$2:$Y$201,'Trial Rows'!Y115,'Trial Rows'!$I$2:$I$201,3)=1,COUNTIFS('Trial Rows'!$B$2:$B$201,'Trial Rows'!B115,'Trial Rows'!$C$2:$C$201,'Trial Rows'!C115,'Trial Rows'!$F$2:$F$201,'Trial Rows'!F115,'Trial Rows'!$G$2:$G$201,'Trial Rows'!G115,'Trial Rows'!$Y$2:$Y$201,'Trial Rows'!Y115,'Trial Rows'!$I$2:$I$201,4)=1,COUNTIFS('Trial Rows'!$B$2:$B$201,'Trial Rows'!B115,'Trial Rows'!$C$2:$C$201,'Trial Rows'!C115,'Trial Rows'!$F$2:$F$201,'Trial Rows'!F115,'Trial Rows'!$G$2:$G$201,'Trial Rows'!G115,'Trial Rows'!$Y$2:$Y$201,'Trial Rows'!Y115,'Trial Rows'!$W$2:$W$201,"&lt;&gt;")=4,ISNUMBER('Trial Rows'!U115),COUNTIFS('Trial Rows'!$B$2:$B$201,'Trial Rows'!B115,'Trial Rows'!$C$2:$C$201,'Trial Rows'!C115,'Trial Rows'!$F$2:$F$201,'Trial Rows'!F115,'Trial Rows'!$G$2:$G$201,'Trial Rows'!G115,'Trial Rows'!$Y$2:$Y$201,'Trial Rows'!Y115,'Trial Rows'!$U$2:$U$201,'Trial Rows'!U115)=4,'Trial Rows'!U115&gt;=0),1,0)</x:f>
        <x:v>0</x:v>
      </x:c>
      <x:c r="O115" s="2" t="str">
        <x:f>IF(N115=1,'Trial Rows'!U115/1000,"")</x:f>
      </x:c>
      <x:c r="P115" s="2" t="str">
        <x:f>IF(AND(N115=1,'Trial Rows'!G115="A"),O115,"")</x:f>
      </x:c>
      <x:c r="Q115" s="2" t="str">
        <x:f>IF(AND(N115=1,'Trial Rows'!G115="B"),O115,"")</x:f>
      </x:c>
      <x:c r="R115" s="2" t="str">
        <x:f>IF(AND(N115=1,COUNTIFS('Trial Rows'!$B$2:$B$201,'Trial Rows'!B115,'Trial Rows'!$C$2:$C$201,'Trial Rows'!C115,'Trial Rows'!$F$2:$F$201,'Trial Rows'!F115,'Trial Rows'!$G$2:$G$201,'Trial Rows'!G115,'Trial Rows'!$Y$2:$Y$201,'Trial Rows'!Y115,'Trial Rows'!$N$2:$N$201,"&gt;=0",'Trial Rows'!$N$2:$N$201,"&lt;=4",'Trial Rows'!$N$2:$N$201,"&lt;&gt;")=4),SUMIFS('Trial Rows'!$N$2:$N$201,'Trial Rows'!$B$2:$B$201,'Trial Rows'!B115,'Trial Rows'!$C$2:$C$201,'Trial Rows'!C115,'Trial Rows'!$F$2:$F$201,'Trial Rows'!F115,'Trial Rows'!$G$2:$G$201,'Trial Rows'!G115,'Trial Rows'!$Y$2:$Y$201,'Trial Rows'!Y115,'Trial Rows'!$I$2:$I$201,1)+4-SUMIFS('Trial Rows'!$N$2:$N$201,'Trial Rows'!$B$2:$B$201,'Trial Rows'!B115,'Trial Rows'!$C$2:$C$201,'Trial Rows'!C115,'Trial Rows'!$F$2:$F$201,'Trial Rows'!F115,'Trial Rows'!$G$2:$G$201,'Trial Rows'!G115,'Trial Rows'!$Y$2:$Y$201,'Trial Rows'!Y115,'Trial Rows'!$I$2:$I$201,2)+4-SUMIFS('Trial Rows'!$N$2:$N$201,'Trial Rows'!$B$2:$B$201,'Trial Rows'!B115,'Trial Rows'!$C$2:$C$201,'Trial Rows'!C115,'Trial Rows'!$F$2:$F$201,'Trial Rows'!F115,'Trial Rows'!$G$2:$G$201,'Trial Rows'!G115,'Trial Rows'!$Y$2:$Y$201,'Trial Rows'!Y115,'Trial Rows'!$I$2:$I$201,3)+SUMIFS('Trial Rows'!$N$2:$N$201,'Trial Rows'!$B$2:$B$201,'Trial Rows'!B115,'Trial Rows'!$C$2:$C$201,'Trial Rows'!C115,'Trial Rows'!$F$2:$F$201,'Trial Rows'!F115,'Trial Rows'!$G$2:$G$201,'Trial Rows'!G115,'Trial Rows'!$Y$2:$Y$201,'Trial Rows'!Y115,'Trial Rows'!$I$2:$I$201,4),"")</x:f>
      </x:c>
      <x:c r="S115" s="2" t="n">
        <x:f>IF(AND(B115=1,COUNTIFS('Trial Rows'!$C$2:C115,'Trial Rows'!C115,'Trial Rows'!$F$2:F115,Summary!$B$5,'Trial Rows'!$Y$2:Y115,Summary!$B$4)=1),1,0)</x:f>
        <x:v>0</x:v>
      </x:c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 t="str">
        <x:f>IF('Trial Rows'!A116="","",'Trial Rows'!F116&amp;"|"&amp;'Trial Rows'!B116&amp;"|"&amp;'Trial Rows'!C116&amp;"|"&amp;'Trial Rows'!I116)</x:f>
      </x:c>
      <x:c r="B116" s="2" t="n">
        <x:f>IF(AND('Trial Rows'!A116&lt;&gt;"",'Trial Rows'!Y116=Summary!$B$4,'Trial Rows'!F116=Summary!$B$5),1,0)</x:f>
        <x:v>0</x:v>
      </x:c>
      <x:c r="C116" s="2" t="n">
        <x:f>IF(B116=1,COUNTIFS('Trial Rows'!$B$2:$B$201,'Trial Rows'!B116,'Trial Rows'!$C$2:$C$201,'Trial Rows'!C116,'Trial Rows'!$F$2:$F$201,'Trial Rows'!F116,'Trial Rows'!$I$2:$I$201,'Trial Rows'!I116,'Trial Rows'!$Y$2:$Y$201,'Trial Rows'!Y116,'Trial Rows'!$G$2:$G$201,"A"),0)</x:f>
        <x:v>0</x:v>
      </x:c>
      <x:c r="D116" s="2" t="n">
        <x:f>IF(B116=1,COUNTIFS('Trial Rows'!$B$2:$B$201,'Trial Rows'!B116,'Trial Rows'!$C$2:$C$201,'Trial Rows'!C116,'Trial Rows'!$F$2:$F$201,'Trial Rows'!F116,'Trial Rows'!$I$2:$I$201,'Trial Rows'!I116,'Trial Rows'!$Y$2:$Y$201,'Trial Rows'!Y116,'Trial Rows'!$G$2:$G$201,"B"),0)</x:f>
        <x:v>0</x:v>
      </x:c>
      <x:c r="E116" s="2" t="str">
        <x:f>IF(AND(C116=1,COUNTIFS('Trial Rows'!$B$2:$B$201,'Trial Rows'!B116,'Trial Rows'!$C$2:$C$201,'Trial Rows'!C116,'Trial Rows'!$F$2:$F$201,'Trial Rows'!F116,'Trial Rows'!$I$2:$I$201,'Trial Rows'!I116,'Trial Rows'!$Y$2:$Y$201,'Trial Rows'!Y116,'Trial Rows'!$G$2:$G$201,"A",'Trial Rows'!$K$2:$K$201,"&gt;=0",'Trial Rows'!$K$2:$K$201,"&lt;=4",'Trial Rows'!$K$2:$K$201,"&lt;&gt;")=1),SUMIFS('Trial Rows'!$K$2:$K$201,'Trial Rows'!$B$2:$B$201,'Trial Rows'!B116,'Trial Rows'!$C$2:$C$201,'Trial Rows'!C116,'Trial Rows'!$F$2:$F$201,'Trial Rows'!F116,'Trial Rows'!$I$2:$I$201,'Trial Rows'!I116,'Trial Rows'!$Y$2:$Y$201,'Trial Rows'!Y116,'Trial Rows'!$G$2:$G$201,"A"),"")</x:f>
      </x:c>
      <x:c r="F116" s="2" t="n">
        <x:f>IF(AND(B116=1,'Trial Rows'!G116="B",C116=1,D116=1,ISNUMBER(E116),ISNUMBER('Trial Rows'!M116),'Trial Rows'!M116&gt;=0,'Trial Rows'!M116&lt;=4,'Trial Rows'!Q116=0,'Trial Rows'!S116=0),1,0)</x:f>
        <x:v>0</x:v>
      </x:c>
      <x:c r="G116" s="2" t="n">
        <x:f>IF(F116=1,IF(E116='Trial Rows'!M116,1,0),0)</x:f>
        <x:v>0</x:v>
      </x:c>
      <x:c r="H116" s="2" t="n">
        <x:f>IF(AND(B116=1,'Trial Rows'!G116="B",C116=1,D116=1,ISNUMBER(E116),'Trial Rows'!R116=1,'Trial Rows'!Q116=0,'Trial Rows'!S116=0,ISNUMBER('Trial Rows'!L116),'Trial Rows'!L116&gt;=0,'Trial Rows'!L116&lt;=4),1,0)</x:f>
        <x:v>0</x:v>
      </x:c>
      <x:c r="I116" s="2" t="n">
        <x:f>IF(H116=1,IF(E116='Trial Rows'!L116,1,0),0)</x:f>
        <x:v>0</x:v>
      </x:c>
      <x:c r="J116" s="2" t="n">
        <x:f>IF(AND(B116=1,'Trial Rows'!G116="B",'Trial Rows'!P116&gt;0),1,0)</x:f>
        <x:v>0</x:v>
      </x:c>
      <x:c r="K116" s="2" t="n">
        <x:f>IF(AND(B116=1,'Trial Rows'!G116="B",'Trial Rows'!Q116=1),1,0)</x:f>
        <x:v>0</x:v>
      </x:c>
      <x:c r="L116" s="2" t="n">
        <x:f>IF(AND(B116=1,'Trial Rows'!G116="B",'Trial Rows'!R116=1,'Trial Rows'!Q116=0,'Trial Rows'!S116=0),1,0)</x:f>
        <x:v>0</x:v>
      </x:c>
      <x:c r="M116" s="2" t="n">
        <x:f>IF(AND(B116=1,'Trial Rows'!G116="B"),1,0)</x:f>
        <x:v>0</x:v>
      </x:c>
      <x:c r="N116" s="2" t="n">
        <x:f>IF(AND(B116=1,'Trial Rows'!I116=1,COUNTIFS('Trial Rows'!$B$2:$B$201,'Trial Rows'!B116,'Trial Rows'!$C$2:$C$201,'Trial Rows'!C116,'Trial Rows'!$F$2:$F$201,'Trial Rows'!F116,'Trial Rows'!$G$2:$G$201,'Trial Rows'!G116,'Trial Rows'!$Y$2:$Y$201,'Trial Rows'!Y116)=4,COUNTIFS('Trial Rows'!$B$2:$B$201,'Trial Rows'!B116,'Trial Rows'!$C$2:$C$201,'Trial Rows'!C116,'Trial Rows'!$F$2:$F$201,'Trial Rows'!F116,'Trial Rows'!$G$2:$G$201,'Trial Rows'!G116,'Trial Rows'!$Y$2:$Y$201,'Trial Rows'!Y116,'Trial Rows'!$I$2:$I$201,1)=1,COUNTIFS('Trial Rows'!$B$2:$B$201,'Trial Rows'!B116,'Trial Rows'!$C$2:$C$201,'Trial Rows'!C116,'Trial Rows'!$F$2:$F$201,'Trial Rows'!F116,'Trial Rows'!$G$2:$G$201,'Trial Rows'!G116,'Trial Rows'!$Y$2:$Y$201,'Trial Rows'!Y116,'Trial Rows'!$I$2:$I$201,2)=1,COUNTIFS('Trial Rows'!$B$2:$B$201,'Trial Rows'!B116,'Trial Rows'!$C$2:$C$201,'Trial Rows'!C116,'Trial Rows'!$F$2:$F$201,'Trial Rows'!F116,'Trial Rows'!$G$2:$G$201,'Trial Rows'!G116,'Trial Rows'!$Y$2:$Y$201,'Trial Rows'!Y116,'Trial Rows'!$I$2:$I$201,3)=1,COUNTIFS('Trial Rows'!$B$2:$B$201,'Trial Rows'!B116,'Trial Rows'!$C$2:$C$201,'Trial Rows'!C116,'Trial Rows'!$F$2:$F$201,'Trial Rows'!F116,'Trial Rows'!$G$2:$G$201,'Trial Rows'!G116,'Trial Rows'!$Y$2:$Y$201,'Trial Rows'!Y116,'Trial Rows'!$I$2:$I$201,4)=1,COUNTIFS('Trial Rows'!$B$2:$B$201,'Trial Rows'!B116,'Trial Rows'!$C$2:$C$201,'Trial Rows'!C116,'Trial Rows'!$F$2:$F$201,'Trial Rows'!F116,'Trial Rows'!$G$2:$G$201,'Trial Rows'!G116,'Trial Rows'!$Y$2:$Y$201,'Trial Rows'!Y116,'Trial Rows'!$W$2:$W$201,"&lt;&gt;")=4,ISNUMBER('Trial Rows'!U116),COUNTIFS('Trial Rows'!$B$2:$B$201,'Trial Rows'!B116,'Trial Rows'!$C$2:$C$201,'Trial Rows'!C116,'Trial Rows'!$F$2:$F$201,'Trial Rows'!F116,'Trial Rows'!$G$2:$G$201,'Trial Rows'!G116,'Trial Rows'!$Y$2:$Y$201,'Trial Rows'!Y116,'Trial Rows'!$U$2:$U$201,'Trial Rows'!U116)=4,'Trial Rows'!U116&gt;=0),1,0)</x:f>
        <x:v>0</x:v>
      </x:c>
      <x:c r="O116" s="2" t="str">
        <x:f>IF(N116=1,'Trial Rows'!U116/1000,"")</x:f>
      </x:c>
      <x:c r="P116" s="2" t="str">
        <x:f>IF(AND(N116=1,'Trial Rows'!G116="A"),O116,"")</x:f>
      </x:c>
      <x:c r="Q116" s="2" t="str">
        <x:f>IF(AND(N116=1,'Trial Rows'!G116="B"),O116,"")</x:f>
      </x:c>
      <x:c r="R116" s="2" t="str">
        <x:f>IF(AND(N116=1,COUNTIFS('Trial Rows'!$B$2:$B$201,'Trial Rows'!B116,'Trial Rows'!$C$2:$C$201,'Trial Rows'!C116,'Trial Rows'!$F$2:$F$201,'Trial Rows'!F116,'Trial Rows'!$G$2:$G$201,'Trial Rows'!G116,'Trial Rows'!$Y$2:$Y$201,'Trial Rows'!Y116,'Trial Rows'!$N$2:$N$201,"&gt;=0",'Trial Rows'!$N$2:$N$201,"&lt;=4",'Trial Rows'!$N$2:$N$201,"&lt;&gt;")=4),SUMIFS('Trial Rows'!$N$2:$N$201,'Trial Rows'!$B$2:$B$201,'Trial Rows'!B116,'Trial Rows'!$C$2:$C$201,'Trial Rows'!C116,'Trial Rows'!$F$2:$F$201,'Trial Rows'!F116,'Trial Rows'!$G$2:$G$201,'Trial Rows'!G116,'Trial Rows'!$Y$2:$Y$201,'Trial Rows'!Y116,'Trial Rows'!$I$2:$I$201,1)+4-SUMIFS('Trial Rows'!$N$2:$N$201,'Trial Rows'!$B$2:$B$201,'Trial Rows'!B116,'Trial Rows'!$C$2:$C$201,'Trial Rows'!C116,'Trial Rows'!$F$2:$F$201,'Trial Rows'!F116,'Trial Rows'!$G$2:$G$201,'Trial Rows'!G116,'Trial Rows'!$Y$2:$Y$201,'Trial Rows'!Y116,'Trial Rows'!$I$2:$I$201,2)+4-SUMIFS('Trial Rows'!$N$2:$N$201,'Trial Rows'!$B$2:$B$201,'Trial Rows'!B116,'Trial Rows'!$C$2:$C$201,'Trial Rows'!C116,'Trial Rows'!$F$2:$F$201,'Trial Rows'!F116,'Trial Rows'!$G$2:$G$201,'Trial Rows'!G116,'Trial Rows'!$Y$2:$Y$201,'Trial Rows'!Y116,'Trial Rows'!$I$2:$I$201,3)+SUMIFS('Trial Rows'!$N$2:$N$201,'Trial Rows'!$B$2:$B$201,'Trial Rows'!B116,'Trial Rows'!$C$2:$C$201,'Trial Rows'!C116,'Trial Rows'!$F$2:$F$201,'Trial Rows'!F116,'Trial Rows'!$G$2:$G$201,'Trial Rows'!G116,'Trial Rows'!$Y$2:$Y$201,'Trial Rows'!Y116,'Trial Rows'!$I$2:$I$201,4),"")</x:f>
      </x:c>
      <x:c r="S116" s="2" t="n">
        <x:f>IF(AND(B116=1,COUNTIFS('Trial Rows'!$C$2:C116,'Trial Rows'!C116,'Trial Rows'!$F$2:F116,Summary!$B$5,'Trial Rows'!$Y$2:Y116,Summary!$B$4)=1),1,0)</x:f>
        <x:v>0</x:v>
      </x:c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 t="str">
        <x:f>IF('Trial Rows'!A117="","",'Trial Rows'!F117&amp;"|"&amp;'Trial Rows'!B117&amp;"|"&amp;'Trial Rows'!C117&amp;"|"&amp;'Trial Rows'!I117)</x:f>
      </x:c>
      <x:c r="B117" s="2" t="n">
        <x:f>IF(AND('Trial Rows'!A117&lt;&gt;"",'Trial Rows'!Y117=Summary!$B$4,'Trial Rows'!F117=Summary!$B$5),1,0)</x:f>
        <x:v>0</x:v>
      </x:c>
      <x:c r="C117" s="2" t="n">
        <x:f>IF(B117=1,COUNTIFS('Trial Rows'!$B$2:$B$201,'Trial Rows'!B117,'Trial Rows'!$C$2:$C$201,'Trial Rows'!C117,'Trial Rows'!$F$2:$F$201,'Trial Rows'!F117,'Trial Rows'!$I$2:$I$201,'Trial Rows'!I117,'Trial Rows'!$Y$2:$Y$201,'Trial Rows'!Y117,'Trial Rows'!$G$2:$G$201,"A"),0)</x:f>
        <x:v>0</x:v>
      </x:c>
      <x:c r="D117" s="2" t="n">
        <x:f>IF(B117=1,COUNTIFS('Trial Rows'!$B$2:$B$201,'Trial Rows'!B117,'Trial Rows'!$C$2:$C$201,'Trial Rows'!C117,'Trial Rows'!$F$2:$F$201,'Trial Rows'!F117,'Trial Rows'!$I$2:$I$201,'Trial Rows'!I117,'Trial Rows'!$Y$2:$Y$201,'Trial Rows'!Y117,'Trial Rows'!$G$2:$G$201,"B"),0)</x:f>
        <x:v>0</x:v>
      </x:c>
      <x:c r="E117" s="2" t="str">
        <x:f>IF(AND(C117=1,COUNTIFS('Trial Rows'!$B$2:$B$201,'Trial Rows'!B117,'Trial Rows'!$C$2:$C$201,'Trial Rows'!C117,'Trial Rows'!$F$2:$F$201,'Trial Rows'!F117,'Trial Rows'!$I$2:$I$201,'Trial Rows'!I117,'Trial Rows'!$Y$2:$Y$201,'Trial Rows'!Y117,'Trial Rows'!$G$2:$G$201,"A",'Trial Rows'!$K$2:$K$201,"&gt;=0",'Trial Rows'!$K$2:$K$201,"&lt;=4",'Trial Rows'!$K$2:$K$201,"&lt;&gt;")=1),SUMIFS('Trial Rows'!$K$2:$K$201,'Trial Rows'!$B$2:$B$201,'Trial Rows'!B117,'Trial Rows'!$C$2:$C$201,'Trial Rows'!C117,'Trial Rows'!$F$2:$F$201,'Trial Rows'!F117,'Trial Rows'!$I$2:$I$201,'Trial Rows'!I117,'Trial Rows'!$Y$2:$Y$201,'Trial Rows'!Y117,'Trial Rows'!$G$2:$G$201,"A"),"")</x:f>
      </x:c>
      <x:c r="F117" s="2" t="n">
        <x:f>IF(AND(B117=1,'Trial Rows'!G117="B",C117=1,D117=1,ISNUMBER(E117),ISNUMBER('Trial Rows'!M117),'Trial Rows'!M117&gt;=0,'Trial Rows'!M117&lt;=4,'Trial Rows'!Q117=0,'Trial Rows'!S117=0),1,0)</x:f>
        <x:v>0</x:v>
      </x:c>
      <x:c r="G117" s="2" t="n">
        <x:f>IF(F117=1,IF(E117='Trial Rows'!M117,1,0),0)</x:f>
        <x:v>0</x:v>
      </x:c>
      <x:c r="H117" s="2" t="n">
        <x:f>IF(AND(B117=1,'Trial Rows'!G117="B",C117=1,D117=1,ISNUMBER(E117),'Trial Rows'!R117=1,'Trial Rows'!Q117=0,'Trial Rows'!S117=0,ISNUMBER('Trial Rows'!L117),'Trial Rows'!L117&gt;=0,'Trial Rows'!L117&lt;=4),1,0)</x:f>
        <x:v>0</x:v>
      </x:c>
      <x:c r="I117" s="2" t="n">
        <x:f>IF(H117=1,IF(E117='Trial Rows'!L117,1,0),0)</x:f>
        <x:v>0</x:v>
      </x:c>
      <x:c r="J117" s="2" t="n">
        <x:f>IF(AND(B117=1,'Trial Rows'!G117="B",'Trial Rows'!P117&gt;0),1,0)</x:f>
        <x:v>0</x:v>
      </x:c>
      <x:c r="K117" s="2" t="n">
        <x:f>IF(AND(B117=1,'Trial Rows'!G117="B",'Trial Rows'!Q117=1),1,0)</x:f>
        <x:v>0</x:v>
      </x:c>
      <x:c r="L117" s="2" t="n">
        <x:f>IF(AND(B117=1,'Trial Rows'!G117="B",'Trial Rows'!R117=1,'Trial Rows'!Q117=0,'Trial Rows'!S117=0),1,0)</x:f>
        <x:v>0</x:v>
      </x:c>
      <x:c r="M117" s="2" t="n">
        <x:f>IF(AND(B117=1,'Trial Rows'!G117="B"),1,0)</x:f>
        <x:v>0</x:v>
      </x:c>
      <x:c r="N117" s="2" t="n">
        <x:f>IF(AND(B117=1,'Trial Rows'!I117=1,COUNTIFS('Trial Rows'!$B$2:$B$201,'Trial Rows'!B117,'Trial Rows'!$C$2:$C$201,'Trial Rows'!C117,'Trial Rows'!$F$2:$F$201,'Trial Rows'!F117,'Trial Rows'!$G$2:$G$201,'Trial Rows'!G117,'Trial Rows'!$Y$2:$Y$201,'Trial Rows'!Y117)=4,COUNTIFS('Trial Rows'!$B$2:$B$201,'Trial Rows'!B117,'Trial Rows'!$C$2:$C$201,'Trial Rows'!C117,'Trial Rows'!$F$2:$F$201,'Trial Rows'!F117,'Trial Rows'!$G$2:$G$201,'Trial Rows'!G117,'Trial Rows'!$Y$2:$Y$201,'Trial Rows'!Y117,'Trial Rows'!$I$2:$I$201,1)=1,COUNTIFS('Trial Rows'!$B$2:$B$201,'Trial Rows'!B117,'Trial Rows'!$C$2:$C$201,'Trial Rows'!C117,'Trial Rows'!$F$2:$F$201,'Trial Rows'!F117,'Trial Rows'!$G$2:$G$201,'Trial Rows'!G117,'Trial Rows'!$Y$2:$Y$201,'Trial Rows'!Y117,'Trial Rows'!$I$2:$I$201,2)=1,COUNTIFS('Trial Rows'!$B$2:$B$201,'Trial Rows'!B117,'Trial Rows'!$C$2:$C$201,'Trial Rows'!C117,'Trial Rows'!$F$2:$F$201,'Trial Rows'!F117,'Trial Rows'!$G$2:$G$201,'Trial Rows'!G117,'Trial Rows'!$Y$2:$Y$201,'Trial Rows'!Y117,'Trial Rows'!$I$2:$I$201,3)=1,COUNTIFS('Trial Rows'!$B$2:$B$201,'Trial Rows'!B117,'Trial Rows'!$C$2:$C$201,'Trial Rows'!C117,'Trial Rows'!$F$2:$F$201,'Trial Rows'!F117,'Trial Rows'!$G$2:$G$201,'Trial Rows'!G117,'Trial Rows'!$Y$2:$Y$201,'Trial Rows'!Y117,'Trial Rows'!$I$2:$I$201,4)=1,COUNTIFS('Trial Rows'!$B$2:$B$201,'Trial Rows'!B117,'Trial Rows'!$C$2:$C$201,'Trial Rows'!C117,'Trial Rows'!$F$2:$F$201,'Trial Rows'!F117,'Trial Rows'!$G$2:$G$201,'Trial Rows'!G117,'Trial Rows'!$Y$2:$Y$201,'Trial Rows'!Y117,'Trial Rows'!$W$2:$W$201,"&lt;&gt;")=4,ISNUMBER('Trial Rows'!U117),COUNTIFS('Trial Rows'!$B$2:$B$201,'Trial Rows'!B117,'Trial Rows'!$C$2:$C$201,'Trial Rows'!C117,'Trial Rows'!$F$2:$F$201,'Trial Rows'!F117,'Trial Rows'!$G$2:$G$201,'Trial Rows'!G117,'Trial Rows'!$Y$2:$Y$201,'Trial Rows'!Y117,'Trial Rows'!$U$2:$U$201,'Trial Rows'!U117)=4,'Trial Rows'!U117&gt;=0),1,0)</x:f>
        <x:v>0</x:v>
      </x:c>
      <x:c r="O117" s="2" t="str">
        <x:f>IF(N117=1,'Trial Rows'!U117/1000,"")</x:f>
      </x:c>
      <x:c r="P117" s="2" t="str">
        <x:f>IF(AND(N117=1,'Trial Rows'!G117="A"),O117,"")</x:f>
      </x:c>
      <x:c r="Q117" s="2" t="str">
        <x:f>IF(AND(N117=1,'Trial Rows'!G117="B"),O117,"")</x:f>
      </x:c>
      <x:c r="R117" s="2" t="str">
        <x:f>IF(AND(N117=1,COUNTIFS('Trial Rows'!$B$2:$B$201,'Trial Rows'!B117,'Trial Rows'!$C$2:$C$201,'Trial Rows'!C117,'Trial Rows'!$F$2:$F$201,'Trial Rows'!F117,'Trial Rows'!$G$2:$G$201,'Trial Rows'!G117,'Trial Rows'!$Y$2:$Y$201,'Trial Rows'!Y117,'Trial Rows'!$N$2:$N$201,"&gt;=0",'Trial Rows'!$N$2:$N$201,"&lt;=4",'Trial Rows'!$N$2:$N$201,"&lt;&gt;")=4),SUMIFS('Trial Rows'!$N$2:$N$201,'Trial Rows'!$B$2:$B$201,'Trial Rows'!B117,'Trial Rows'!$C$2:$C$201,'Trial Rows'!C117,'Trial Rows'!$F$2:$F$201,'Trial Rows'!F117,'Trial Rows'!$G$2:$G$201,'Trial Rows'!G117,'Trial Rows'!$Y$2:$Y$201,'Trial Rows'!Y117,'Trial Rows'!$I$2:$I$201,1)+4-SUMIFS('Trial Rows'!$N$2:$N$201,'Trial Rows'!$B$2:$B$201,'Trial Rows'!B117,'Trial Rows'!$C$2:$C$201,'Trial Rows'!C117,'Trial Rows'!$F$2:$F$201,'Trial Rows'!F117,'Trial Rows'!$G$2:$G$201,'Trial Rows'!G117,'Trial Rows'!$Y$2:$Y$201,'Trial Rows'!Y117,'Trial Rows'!$I$2:$I$201,2)+4-SUMIFS('Trial Rows'!$N$2:$N$201,'Trial Rows'!$B$2:$B$201,'Trial Rows'!B117,'Trial Rows'!$C$2:$C$201,'Trial Rows'!C117,'Trial Rows'!$F$2:$F$201,'Trial Rows'!F117,'Trial Rows'!$G$2:$G$201,'Trial Rows'!G117,'Trial Rows'!$Y$2:$Y$201,'Trial Rows'!Y117,'Trial Rows'!$I$2:$I$201,3)+SUMIFS('Trial Rows'!$N$2:$N$201,'Trial Rows'!$B$2:$B$201,'Trial Rows'!B117,'Trial Rows'!$C$2:$C$201,'Trial Rows'!C117,'Trial Rows'!$F$2:$F$201,'Trial Rows'!F117,'Trial Rows'!$G$2:$G$201,'Trial Rows'!G117,'Trial Rows'!$Y$2:$Y$201,'Trial Rows'!Y117,'Trial Rows'!$I$2:$I$201,4),"")</x:f>
      </x:c>
      <x:c r="S117" s="2" t="n">
        <x:f>IF(AND(B117=1,COUNTIFS('Trial Rows'!$C$2:C117,'Trial Rows'!C117,'Trial Rows'!$F$2:F117,Summary!$B$5,'Trial Rows'!$Y$2:Y117,Summary!$B$4)=1),1,0)</x:f>
        <x:v>0</x:v>
      </x:c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 t="str">
        <x:f>IF('Trial Rows'!A118="","",'Trial Rows'!F118&amp;"|"&amp;'Trial Rows'!B118&amp;"|"&amp;'Trial Rows'!C118&amp;"|"&amp;'Trial Rows'!I118)</x:f>
      </x:c>
      <x:c r="B118" s="2" t="n">
        <x:f>IF(AND('Trial Rows'!A118&lt;&gt;"",'Trial Rows'!Y118=Summary!$B$4,'Trial Rows'!F118=Summary!$B$5),1,0)</x:f>
        <x:v>0</x:v>
      </x:c>
      <x:c r="C118" s="2" t="n">
        <x:f>IF(B118=1,COUNTIFS('Trial Rows'!$B$2:$B$201,'Trial Rows'!B118,'Trial Rows'!$C$2:$C$201,'Trial Rows'!C118,'Trial Rows'!$F$2:$F$201,'Trial Rows'!F118,'Trial Rows'!$I$2:$I$201,'Trial Rows'!I118,'Trial Rows'!$Y$2:$Y$201,'Trial Rows'!Y118,'Trial Rows'!$G$2:$G$201,"A"),0)</x:f>
        <x:v>0</x:v>
      </x:c>
      <x:c r="D118" s="2" t="n">
        <x:f>IF(B118=1,COUNTIFS('Trial Rows'!$B$2:$B$201,'Trial Rows'!B118,'Trial Rows'!$C$2:$C$201,'Trial Rows'!C118,'Trial Rows'!$F$2:$F$201,'Trial Rows'!F118,'Trial Rows'!$I$2:$I$201,'Trial Rows'!I118,'Trial Rows'!$Y$2:$Y$201,'Trial Rows'!Y118,'Trial Rows'!$G$2:$G$201,"B"),0)</x:f>
        <x:v>0</x:v>
      </x:c>
      <x:c r="E118" s="2" t="str">
        <x:f>IF(AND(C118=1,COUNTIFS('Trial Rows'!$B$2:$B$201,'Trial Rows'!B118,'Trial Rows'!$C$2:$C$201,'Trial Rows'!C118,'Trial Rows'!$F$2:$F$201,'Trial Rows'!F118,'Trial Rows'!$I$2:$I$201,'Trial Rows'!I118,'Trial Rows'!$Y$2:$Y$201,'Trial Rows'!Y118,'Trial Rows'!$G$2:$G$201,"A",'Trial Rows'!$K$2:$K$201,"&gt;=0",'Trial Rows'!$K$2:$K$201,"&lt;=4",'Trial Rows'!$K$2:$K$201,"&lt;&gt;")=1),SUMIFS('Trial Rows'!$K$2:$K$201,'Trial Rows'!$B$2:$B$201,'Trial Rows'!B118,'Trial Rows'!$C$2:$C$201,'Trial Rows'!C118,'Trial Rows'!$F$2:$F$201,'Trial Rows'!F118,'Trial Rows'!$I$2:$I$201,'Trial Rows'!I118,'Trial Rows'!$Y$2:$Y$201,'Trial Rows'!Y118,'Trial Rows'!$G$2:$G$201,"A"),"")</x:f>
      </x:c>
      <x:c r="F118" s="2" t="n">
        <x:f>IF(AND(B118=1,'Trial Rows'!G118="B",C118=1,D118=1,ISNUMBER(E118),ISNUMBER('Trial Rows'!M118),'Trial Rows'!M118&gt;=0,'Trial Rows'!M118&lt;=4,'Trial Rows'!Q118=0,'Trial Rows'!S118=0),1,0)</x:f>
        <x:v>0</x:v>
      </x:c>
      <x:c r="G118" s="2" t="n">
        <x:f>IF(F118=1,IF(E118='Trial Rows'!M118,1,0),0)</x:f>
        <x:v>0</x:v>
      </x:c>
      <x:c r="H118" s="2" t="n">
        <x:f>IF(AND(B118=1,'Trial Rows'!G118="B",C118=1,D118=1,ISNUMBER(E118),'Trial Rows'!R118=1,'Trial Rows'!Q118=0,'Trial Rows'!S118=0,ISNUMBER('Trial Rows'!L118),'Trial Rows'!L118&gt;=0,'Trial Rows'!L118&lt;=4),1,0)</x:f>
        <x:v>0</x:v>
      </x:c>
      <x:c r="I118" s="2" t="n">
        <x:f>IF(H118=1,IF(E118='Trial Rows'!L118,1,0),0)</x:f>
        <x:v>0</x:v>
      </x:c>
      <x:c r="J118" s="2" t="n">
        <x:f>IF(AND(B118=1,'Trial Rows'!G118="B",'Trial Rows'!P118&gt;0),1,0)</x:f>
        <x:v>0</x:v>
      </x:c>
      <x:c r="K118" s="2" t="n">
        <x:f>IF(AND(B118=1,'Trial Rows'!G118="B",'Trial Rows'!Q118=1),1,0)</x:f>
        <x:v>0</x:v>
      </x:c>
      <x:c r="L118" s="2" t="n">
        <x:f>IF(AND(B118=1,'Trial Rows'!G118="B",'Trial Rows'!R118=1,'Trial Rows'!Q118=0,'Trial Rows'!S118=0),1,0)</x:f>
        <x:v>0</x:v>
      </x:c>
      <x:c r="M118" s="2" t="n">
        <x:f>IF(AND(B118=1,'Trial Rows'!G118="B"),1,0)</x:f>
        <x:v>0</x:v>
      </x:c>
      <x:c r="N118" s="2" t="n">
        <x:f>IF(AND(B118=1,'Trial Rows'!I118=1,COUNTIFS('Trial Rows'!$B$2:$B$201,'Trial Rows'!B118,'Trial Rows'!$C$2:$C$201,'Trial Rows'!C118,'Trial Rows'!$F$2:$F$201,'Trial Rows'!F118,'Trial Rows'!$G$2:$G$201,'Trial Rows'!G118,'Trial Rows'!$Y$2:$Y$201,'Trial Rows'!Y118)=4,COUNTIFS('Trial Rows'!$B$2:$B$201,'Trial Rows'!B118,'Trial Rows'!$C$2:$C$201,'Trial Rows'!C118,'Trial Rows'!$F$2:$F$201,'Trial Rows'!F118,'Trial Rows'!$G$2:$G$201,'Trial Rows'!G118,'Trial Rows'!$Y$2:$Y$201,'Trial Rows'!Y118,'Trial Rows'!$I$2:$I$201,1)=1,COUNTIFS('Trial Rows'!$B$2:$B$201,'Trial Rows'!B118,'Trial Rows'!$C$2:$C$201,'Trial Rows'!C118,'Trial Rows'!$F$2:$F$201,'Trial Rows'!F118,'Trial Rows'!$G$2:$G$201,'Trial Rows'!G118,'Trial Rows'!$Y$2:$Y$201,'Trial Rows'!Y118,'Trial Rows'!$I$2:$I$201,2)=1,COUNTIFS('Trial Rows'!$B$2:$B$201,'Trial Rows'!B118,'Trial Rows'!$C$2:$C$201,'Trial Rows'!C118,'Trial Rows'!$F$2:$F$201,'Trial Rows'!F118,'Trial Rows'!$G$2:$G$201,'Trial Rows'!G118,'Trial Rows'!$Y$2:$Y$201,'Trial Rows'!Y118,'Trial Rows'!$I$2:$I$201,3)=1,COUNTIFS('Trial Rows'!$B$2:$B$201,'Trial Rows'!B118,'Trial Rows'!$C$2:$C$201,'Trial Rows'!C118,'Trial Rows'!$F$2:$F$201,'Trial Rows'!F118,'Trial Rows'!$G$2:$G$201,'Trial Rows'!G118,'Trial Rows'!$Y$2:$Y$201,'Trial Rows'!Y118,'Trial Rows'!$I$2:$I$201,4)=1,COUNTIFS('Trial Rows'!$B$2:$B$201,'Trial Rows'!B118,'Trial Rows'!$C$2:$C$201,'Trial Rows'!C118,'Trial Rows'!$F$2:$F$201,'Trial Rows'!F118,'Trial Rows'!$G$2:$G$201,'Trial Rows'!G118,'Trial Rows'!$Y$2:$Y$201,'Trial Rows'!Y118,'Trial Rows'!$W$2:$W$201,"&lt;&gt;")=4,ISNUMBER('Trial Rows'!U118),COUNTIFS('Trial Rows'!$B$2:$B$201,'Trial Rows'!B118,'Trial Rows'!$C$2:$C$201,'Trial Rows'!C118,'Trial Rows'!$F$2:$F$201,'Trial Rows'!F118,'Trial Rows'!$G$2:$G$201,'Trial Rows'!G118,'Trial Rows'!$Y$2:$Y$201,'Trial Rows'!Y118,'Trial Rows'!$U$2:$U$201,'Trial Rows'!U118)=4,'Trial Rows'!U118&gt;=0),1,0)</x:f>
        <x:v>0</x:v>
      </x:c>
      <x:c r="O118" s="2" t="str">
        <x:f>IF(N118=1,'Trial Rows'!U118/1000,"")</x:f>
      </x:c>
      <x:c r="P118" s="2" t="str">
        <x:f>IF(AND(N118=1,'Trial Rows'!G118="A"),O118,"")</x:f>
      </x:c>
      <x:c r="Q118" s="2" t="str">
        <x:f>IF(AND(N118=1,'Trial Rows'!G118="B"),O118,"")</x:f>
      </x:c>
      <x:c r="R118" s="2" t="str">
        <x:f>IF(AND(N118=1,COUNTIFS('Trial Rows'!$B$2:$B$201,'Trial Rows'!B118,'Trial Rows'!$C$2:$C$201,'Trial Rows'!C118,'Trial Rows'!$F$2:$F$201,'Trial Rows'!F118,'Trial Rows'!$G$2:$G$201,'Trial Rows'!G118,'Trial Rows'!$Y$2:$Y$201,'Trial Rows'!Y118,'Trial Rows'!$N$2:$N$201,"&gt;=0",'Trial Rows'!$N$2:$N$201,"&lt;=4",'Trial Rows'!$N$2:$N$201,"&lt;&gt;")=4),SUMIFS('Trial Rows'!$N$2:$N$201,'Trial Rows'!$B$2:$B$201,'Trial Rows'!B118,'Trial Rows'!$C$2:$C$201,'Trial Rows'!C118,'Trial Rows'!$F$2:$F$201,'Trial Rows'!F118,'Trial Rows'!$G$2:$G$201,'Trial Rows'!G118,'Trial Rows'!$Y$2:$Y$201,'Trial Rows'!Y118,'Trial Rows'!$I$2:$I$201,1)+4-SUMIFS('Trial Rows'!$N$2:$N$201,'Trial Rows'!$B$2:$B$201,'Trial Rows'!B118,'Trial Rows'!$C$2:$C$201,'Trial Rows'!C118,'Trial Rows'!$F$2:$F$201,'Trial Rows'!F118,'Trial Rows'!$G$2:$G$201,'Trial Rows'!G118,'Trial Rows'!$Y$2:$Y$201,'Trial Rows'!Y118,'Trial Rows'!$I$2:$I$201,2)+4-SUMIFS('Trial Rows'!$N$2:$N$201,'Trial Rows'!$B$2:$B$201,'Trial Rows'!B118,'Trial Rows'!$C$2:$C$201,'Trial Rows'!C118,'Trial Rows'!$F$2:$F$201,'Trial Rows'!F118,'Trial Rows'!$G$2:$G$201,'Trial Rows'!G118,'Trial Rows'!$Y$2:$Y$201,'Trial Rows'!Y118,'Trial Rows'!$I$2:$I$201,3)+SUMIFS('Trial Rows'!$N$2:$N$201,'Trial Rows'!$B$2:$B$201,'Trial Rows'!B118,'Trial Rows'!$C$2:$C$201,'Trial Rows'!C118,'Trial Rows'!$F$2:$F$201,'Trial Rows'!F118,'Trial Rows'!$G$2:$G$201,'Trial Rows'!G118,'Trial Rows'!$Y$2:$Y$201,'Trial Rows'!Y118,'Trial Rows'!$I$2:$I$201,4),"")</x:f>
      </x:c>
      <x:c r="S118" s="2" t="n">
        <x:f>IF(AND(B118=1,COUNTIFS('Trial Rows'!$C$2:C118,'Trial Rows'!C118,'Trial Rows'!$F$2:F118,Summary!$B$5,'Trial Rows'!$Y$2:Y118,Summary!$B$4)=1),1,0)</x:f>
        <x:v>0</x:v>
      </x:c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 t="str">
        <x:f>IF('Trial Rows'!A119="","",'Trial Rows'!F119&amp;"|"&amp;'Trial Rows'!B119&amp;"|"&amp;'Trial Rows'!C119&amp;"|"&amp;'Trial Rows'!I119)</x:f>
      </x:c>
      <x:c r="B119" s="2" t="n">
        <x:f>IF(AND('Trial Rows'!A119&lt;&gt;"",'Trial Rows'!Y119=Summary!$B$4,'Trial Rows'!F119=Summary!$B$5),1,0)</x:f>
        <x:v>0</x:v>
      </x:c>
      <x:c r="C119" s="2" t="n">
        <x:f>IF(B119=1,COUNTIFS('Trial Rows'!$B$2:$B$201,'Trial Rows'!B119,'Trial Rows'!$C$2:$C$201,'Trial Rows'!C119,'Trial Rows'!$F$2:$F$201,'Trial Rows'!F119,'Trial Rows'!$I$2:$I$201,'Trial Rows'!I119,'Trial Rows'!$Y$2:$Y$201,'Trial Rows'!Y119,'Trial Rows'!$G$2:$G$201,"A"),0)</x:f>
        <x:v>0</x:v>
      </x:c>
      <x:c r="D119" s="2" t="n">
        <x:f>IF(B119=1,COUNTIFS('Trial Rows'!$B$2:$B$201,'Trial Rows'!B119,'Trial Rows'!$C$2:$C$201,'Trial Rows'!C119,'Trial Rows'!$F$2:$F$201,'Trial Rows'!F119,'Trial Rows'!$I$2:$I$201,'Trial Rows'!I119,'Trial Rows'!$Y$2:$Y$201,'Trial Rows'!Y119,'Trial Rows'!$G$2:$G$201,"B"),0)</x:f>
        <x:v>0</x:v>
      </x:c>
      <x:c r="E119" s="2" t="str">
        <x:f>IF(AND(C119=1,COUNTIFS('Trial Rows'!$B$2:$B$201,'Trial Rows'!B119,'Trial Rows'!$C$2:$C$201,'Trial Rows'!C119,'Trial Rows'!$F$2:$F$201,'Trial Rows'!F119,'Trial Rows'!$I$2:$I$201,'Trial Rows'!I119,'Trial Rows'!$Y$2:$Y$201,'Trial Rows'!Y119,'Trial Rows'!$G$2:$G$201,"A",'Trial Rows'!$K$2:$K$201,"&gt;=0",'Trial Rows'!$K$2:$K$201,"&lt;=4",'Trial Rows'!$K$2:$K$201,"&lt;&gt;")=1),SUMIFS('Trial Rows'!$K$2:$K$201,'Trial Rows'!$B$2:$B$201,'Trial Rows'!B119,'Trial Rows'!$C$2:$C$201,'Trial Rows'!C119,'Trial Rows'!$F$2:$F$201,'Trial Rows'!F119,'Trial Rows'!$I$2:$I$201,'Trial Rows'!I119,'Trial Rows'!$Y$2:$Y$201,'Trial Rows'!Y119,'Trial Rows'!$G$2:$G$201,"A"),"")</x:f>
      </x:c>
      <x:c r="F119" s="2" t="n">
        <x:f>IF(AND(B119=1,'Trial Rows'!G119="B",C119=1,D119=1,ISNUMBER(E119),ISNUMBER('Trial Rows'!M119),'Trial Rows'!M119&gt;=0,'Trial Rows'!M119&lt;=4,'Trial Rows'!Q119=0,'Trial Rows'!S119=0),1,0)</x:f>
        <x:v>0</x:v>
      </x:c>
      <x:c r="G119" s="2" t="n">
        <x:f>IF(F119=1,IF(E119='Trial Rows'!M119,1,0),0)</x:f>
        <x:v>0</x:v>
      </x:c>
      <x:c r="H119" s="2" t="n">
        <x:f>IF(AND(B119=1,'Trial Rows'!G119="B",C119=1,D119=1,ISNUMBER(E119),'Trial Rows'!R119=1,'Trial Rows'!Q119=0,'Trial Rows'!S119=0,ISNUMBER('Trial Rows'!L119),'Trial Rows'!L119&gt;=0,'Trial Rows'!L119&lt;=4),1,0)</x:f>
        <x:v>0</x:v>
      </x:c>
      <x:c r="I119" s="2" t="n">
        <x:f>IF(H119=1,IF(E119='Trial Rows'!L119,1,0),0)</x:f>
        <x:v>0</x:v>
      </x:c>
      <x:c r="J119" s="2" t="n">
        <x:f>IF(AND(B119=1,'Trial Rows'!G119="B",'Trial Rows'!P119&gt;0),1,0)</x:f>
        <x:v>0</x:v>
      </x:c>
      <x:c r="K119" s="2" t="n">
        <x:f>IF(AND(B119=1,'Trial Rows'!G119="B",'Trial Rows'!Q119=1),1,0)</x:f>
        <x:v>0</x:v>
      </x:c>
      <x:c r="L119" s="2" t="n">
        <x:f>IF(AND(B119=1,'Trial Rows'!G119="B",'Trial Rows'!R119=1,'Trial Rows'!Q119=0,'Trial Rows'!S119=0),1,0)</x:f>
        <x:v>0</x:v>
      </x:c>
      <x:c r="M119" s="2" t="n">
        <x:f>IF(AND(B119=1,'Trial Rows'!G119="B"),1,0)</x:f>
        <x:v>0</x:v>
      </x:c>
      <x:c r="N119" s="2" t="n">
        <x:f>IF(AND(B119=1,'Trial Rows'!I119=1,COUNTIFS('Trial Rows'!$B$2:$B$201,'Trial Rows'!B119,'Trial Rows'!$C$2:$C$201,'Trial Rows'!C119,'Trial Rows'!$F$2:$F$201,'Trial Rows'!F119,'Trial Rows'!$G$2:$G$201,'Trial Rows'!G119,'Trial Rows'!$Y$2:$Y$201,'Trial Rows'!Y119)=4,COUNTIFS('Trial Rows'!$B$2:$B$201,'Trial Rows'!B119,'Trial Rows'!$C$2:$C$201,'Trial Rows'!C119,'Trial Rows'!$F$2:$F$201,'Trial Rows'!F119,'Trial Rows'!$G$2:$G$201,'Trial Rows'!G119,'Trial Rows'!$Y$2:$Y$201,'Trial Rows'!Y119,'Trial Rows'!$I$2:$I$201,1)=1,COUNTIFS('Trial Rows'!$B$2:$B$201,'Trial Rows'!B119,'Trial Rows'!$C$2:$C$201,'Trial Rows'!C119,'Trial Rows'!$F$2:$F$201,'Trial Rows'!F119,'Trial Rows'!$G$2:$G$201,'Trial Rows'!G119,'Trial Rows'!$Y$2:$Y$201,'Trial Rows'!Y119,'Trial Rows'!$I$2:$I$201,2)=1,COUNTIFS('Trial Rows'!$B$2:$B$201,'Trial Rows'!B119,'Trial Rows'!$C$2:$C$201,'Trial Rows'!C119,'Trial Rows'!$F$2:$F$201,'Trial Rows'!F119,'Trial Rows'!$G$2:$G$201,'Trial Rows'!G119,'Trial Rows'!$Y$2:$Y$201,'Trial Rows'!Y119,'Trial Rows'!$I$2:$I$201,3)=1,COUNTIFS('Trial Rows'!$B$2:$B$201,'Trial Rows'!B119,'Trial Rows'!$C$2:$C$201,'Trial Rows'!C119,'Trial Rows'!$F$2:$F$201,'Trial Rows'!F119,'Trial Rows'!$G$2:$G$201,'Trial Rows'!G119,'Trial Rows'!$Y$2:$Y$201,'Trial Rows'!Y119,'Trial Rows'!$I$2:$I$201,4)=1,COUNTIFS('Trial Rows'!$B$2:$B$201,'Trial Rows'!B119,'Trial Rows'!$C$2:$C$201,'Trial Rows'!C119,'Trial Rows'!$F$2:$F$201,'Trial Rows'!F119,'Trial Rows'!$G$2:$G$201,'Trial Rows'!G119,'Trial Rows'!$Y$2:$Y$201,'Trial Rows'!Y119,'Trial Rows'!$W$2:$W$201,"&lt;&gt;")=4,ISNUMBER('Trial Rows'!U119),COUNTIFS('Trial Rows'!$B$2:$B$201,'Trial Rows'!B119,'Trial Rows'!$C$2:$C$201,'Trial Rows'!C119,'Trial Rows'!$F$2:$F$201,'Trial Rows'!F119,'Trial Rows'!$G$2:$G$201,'Trial Rows'!G119,'Trial Rows'!$Y$2:$Y$201,'Trial Rows'!Y119,'Trial Rows'!$U$2:$U$201,'Trial Rows'!U119)=4,'Trial Rows'!U119&gt;=0),1,0)</x:f>
        <x:v>0</x:v>
      </x:c>
      <x:c r="O119" s="2" t="str">
        <x:f>IF(N119=1,'Trial Rows'!U119/1000,"")</x:f>
      </x:c>
      <x:c r="P119" s="2" t="str">
        <x:f>IF(AND(N119=1,'Trial Rows'!G119="A"),O119,"")</x:f>
      </x:c>
      <x:c r="Q119" s="2" t="str">
        <x:f>IF(AND(N119=1,'Trial Rows'!G119="B"),O119,"")</x:f>
      </x:c>
      <x:c r="R119" s="2" t="str">
        <x:f>IF(AND(N119=1,COUNTIFS('Trial Rows'!$B$2:$B$201,'Trial Rows'!B119,'Trial Rows'!$C$2:$C$201,'Trial Rows'!C119,'Trial Rows'!$F$2:$F$201,'Trial Rows'!F119,'Trial Rows'!$G$2:$G$201,'Trial Rows'!G119,'Trial Rows'!$Y$2:$Y$201,'Trial Rows'!Y119,'Trial Rows'!$N$2:$N$201,"&gt;=0",'Trial Rows'!$N$2:$N$201,"&lt;=4",'Trial Rows'!$N$2:$N$201,"&lt;&gt;")=4),SUMIFS('Trial Rows'!$N$2:$N$201,'Trial Rows'!$B$2:$B$201,'Trial Rows'!B119,'Trial Rows'!$C$2:$C$201,'Trial Rows'!C119,'Trial Rows'!$F$2:$F$201,'Trial Rows'!F119,'Trial Rows'!$G$2:$G$201,'Trial Rows'!G119,'Trial Rows'!$Y$2:$Y$201,'Trial Rows'!Y119,'Trial Rows'!$I$2:$I$201,1)+4-SUMIFS('Trial Rows'!$N$2:$N$201,'Trial Rows'!$B$2:$B$201,'Trial Rows'!B119,'Trial Rows'!$C$2:$C$201,'Trial Rows'!C119,'Trial Rows'!$F$2:$F$201,'Trial Rows'!F119,'Trial Rows'!$G$2:$G$201,'Trial Rows'!G119,'Trial Rows'!$Y$2:$Y$201,'Trial Rows'!Y119,'Trial Rows'!$I$2:$I$201,2)+4-SUMIFS('Trial Rows'!$N$2:$N$201,'Trial Rows'!$B$2:$B$201,'Trial Rows'!B119,'Trial Rows'!$C$2:$C$201,'Trial Rows'!C119,'Trial Rows'!$F$2:$F$201,'Trial Rows'!F119,'Trial Rows'!$G$2:$G$201,'Trial Rows'!G119,'Trial Rows'!$Y$2:$Y$201,'Trial Rows'!Y119,'Trial Rows'!$I$2:$I$201,3)+SUMIFS('Trial Rows'!$N$2:$N$201,'Trial Rows'!$B$2:$B$201,'Trial Rows'!B119,'Trial Rows'!$C$2:$C$201,'Trial Rows'!C119,'Trial Rows'!$F$2:$F$201,'Trial Rows'!F119,'Trial Rows'!$G$2:$G$201,'Trial Rows'!G119,'Trial Rows'!$Y$2:$Y$201,'Trial Rows'!Y119,'Trial Rows'!$I$2:$I$201,4),"")</x:f>
      </x:c>
      <x:c r="S119" s="2" t="n">
        <x:f>IF(AND(B119=1,COUNTIFS('Trial Rows'!$C$2:C119,'Trial Rows'!C119,'Trial Rows'!$F$2:F119,Summary!$B$5,'Trial Rows'!$Y$2:Y119,Summary!$B$4)=1),1,0)</x:f>
        <x:v>0</x:v>
      </x:c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 t="str">
        <x:f>IF('Trial Rows'!A120="","",'Trial Rows'!F120&amp;"|"&amp;'Trial Rows'!B120&amp;"|"&amp;'Trial Rows'!C120&amp;"|"&amp;'Trial Rows'!I120)</x:f>
      </x:c>
      <x:c r="B120" s="2" t="n">
        <x:f>IF(AND('Trial Rows'!A120&lt;&gt;"",'Trial Rows'!Y120=Summary!$B$4,'Trial Rows'!F120=Summary!$B$5),1,0)</x:f>
        <x:v>0</x:v>
      </x:c>
      <x:c r="C120" s="2" t="n">
        <x:f>IF(B120=1,COUNTIFS('Trial Rows'!$B$2:$B$201,'Trial Rows'!B120,'Trial Rows'!$C$2:$C$201,'Trial Rows'!C120,'Trial Rows'!$F$2:$F$201,'Trial Rows'!F120,'Trial Rows'!$I$2:$I$201,'Trial Rows'!I120,'Trial Rows'!$Y$2:$Y$201,'Trial Rows'!Y120,'Trial Rows'!$G$2:$G$201,"A"),0)</x:f>
        <x:v>0</x:v>
      </x:c>
      <x:c r="D120" s="2" t="n">
        <x:f>IF(B120=1,COUNTIFS('Trial Rows'!$B$2:$B$201,'Trial Rows'!B120,'Trial Rows'!$C$2:$C$201,'Trial Rows'!C120,'Trial Rows'!$F$2:$F$201,'Trial Rows'!F120,'Trial Rows'!$I$2:$I$201,'Trial Rows'!I120,'Trial Rows'!$Y$2:$Y$201,'Trial Rows'!Y120,'Trial Rows'!$G$2:$G$201,"B"),0)</x:f>
        <x:v>0</x:v>
      </x:c>
      <x:c r="E120" s="2" t="str">
        <x:f>IF(AND(C120=1,COUNTIFS('Trial Rows'!$B$2:$B$201,'Trial Rows'!B120,'Trial Rows'!$C$2:$C$201,'Trial Rows'!C120,'Trial Rows'!$F$2:$F$201,'Trial Rows'!F120,'Trial Rows'!$I$2:$I$201,'Trial Rows'!I120,'Trial Rows'!$Y$2:$Y$201,'Trial Rows'!Y120,'Trial Rows'!$G$2:$G$201,"A",'Trial Rows'!$K$2:$K$201,"&gt;=0",'Trial Rows'!$K$2:$K$201,"&lt;=4",'Trial Rows'!$K$2:$K$201,"&lt;&gt;")=1),SUMIFS('Trial Rows'!$K$2:$K$201,'Trial Rows'!$B$2:$B$201,'Trial Rows'!B120,'Trial Rows'!$C$2:$C$201,'Trial Rows'!C120,'Trial Rows'!$F$2:$F$201,'Trial Rows'!F120,'Trial Rows'!$I$2:$I$201,'Trial Rows'!I120,'Trial Rows'!$Y$2:$Y$201,'Trial Rows'!Y120,'Trial Rows'!$G$2:$G$201,"A"),"")</x:f>
      </x:c>
      <x:c r="F120" s="2" t="n">
        <x:f>IF(AND(B120=1,'Trial Rows'!G120="B",C120=1,D120=1,ISNUMBER(E120),ISNUMBER('Trial Rows'!M120),'Trial Rows'!M120&gt;=0,'Trial Rows'!M120&lt;=4,'Trial Rows'!Q120=0,'Trial Rows'!S120=0),1,0)</x:f>
        <x:v>0</x:v>
      </x:c>
      <x:c r="G120" s="2" t="n">
        <x:f>IF(F120=1,IF(E120='Trial Rows'!M120,1,0),0)</x:f>
        <x:v>0</x:v>
      </x:c>
      <x:c r="H120" s="2" t="n">
        <x:f>IF(AND(B120=1,'Trial Rows'!G120="B",C120=1,D120=1,ISNUMBER(E120),'Trial Rows'!R120=1,'Trial Rows'!Q120=0,'Trial Rows'!S120=0,ISNUMBER('Trial Rows'!L120),'Trial Rows'!L120&gt;=0,'Trial Rows'!L120&lt;=4),1,0)</x:f>
        <x:v>0</x:v>
      </x:c>
      <x:c r="I120" s="2" t="n">
        <x:f>IF(H120=1,IF(E120='Trial Rows'!L120,1,0),0)</x:f>
        <x:v>0</x:v>
      </x:c>
      <x:c r="J120" s="2" t="n">
        <x:f>IF(AND(B120=1,'Trial Rows'!G120="B",'Trial Rows'!P120&gt;0),1,0)</x:f>
        <x:v>0</x:v>
      </x:c>
      <x:c r="K120" s="2" t="n">
        <x:f>IF(AND(B120=1,'Trial Rows'!G120="B",'Trial Rows'!Q120=1),1,0)</x:f>
        <x:v>0</x:v>
      </x:c>
      <x:c r="L120" s="2" t="n">
        <x:f>IF(AND(B120=1,'Trial Rows'!G120="B",'Trial Rows'!R120=1,'Trial Rows'!Q120=0,'Trial Rows'!S120=0),1,0)</x:f>
        <x:v>0</x:v>
      </x:c>
      <x:c r="M120" s="2" t="n">
        <x:f>IF(AND(B120=1,'Trial Rows'!G120="B"),1,0)</x:f>
        <x:v>0</x:v>
      </x:c>
      <x:c r="N120" s="2" t="n">
        <x:f>IF(AND(B120=1,'Trial Rows'!I120=1,COUNTIFS('Trial Rows'!$B$2:$B$201,'Trial Rows'!B120,'Trial Rows'!$C$2:$C$201,'Trial Rows'!C120,'Trial Rows'!$F$2:$F$201,'Trial Rows'!F120,'Trial Rows'!$G$2:$G$201,'Trial Rows'!G120,'Trial Rows'!$Y$2:$Y$201,'Trial Rows'!Y120)=4,COUNTIFS('Trial Rows'!$B$2:$B$201,'Trial Rows'!B120,'Trial Rows'!$C$2:$C$201,'Trial Rows'!C120,'Trial Rows'!$F$2:$F$201,'Trial Rows'!F120,'Trial Rows'!$G$2:$G$201,'Trial Rows'!G120,'Trial Rows'!$Y$2:$Y$201,'Trial Rows'!Y120,'Trial Rows'!$I$2:$I$201,1)=1,COUNTIFS('Trial Rows'!$B$2:$B$201,'Trial Rows'!B120,'Trial Rows'!$C$2:$C$201,'Trial Rows'!C120,'Trial Rows'!$F$2:$F$201,'Trial Rows'!F120,'Trial Rows'!$G$2:$G$201,'Trial Rows'!G120,'Trial Rows'!$Y$2:$Y$201,'Trial Rows'!Y120,'Trial Rows'!$I$2:$I$201,2)=1,COUNTIFS('Trial Rows'!$B$2:$B$201,'Trial Rows'!B120,'Trial Rows'!$C$2:$C$201,'Trial Rows'!C120,'Trial Rows'!$F$2:$F$201,'Trial Rows'!F120,'Trial Rows'!$G$2:$G$201,'Trial Rows'!G120,'Trial Rows'!$Y$2:$Y$201,'Trial Rows'!Y120,'Trial Rows'!$I$2:$I$201,3)=1,COUNTIFS('Trial Rows'!$B$2:$B$201,'Trial Rows'!B120,'Trial Rows'!$C$2:$C$201,'Trial Rows'!C120,'Trial Rows'!$F$2:$F$201,'Trial Rows'!F120,'Trial Rows'!$G$2:$G$201,'Trial Rows'!G120,'Trial Rows'!$Y$2:$Y$201,'Trial Rows'!Y120,'Trial Rows'!$I$2:$I$201,4)=1,COUNTIFS('Trial Rows'!$B$2:$B$201,'Trial Rows'!B120,'Trial Rows'!$C$2:$C$201,'Trial Rows'!C120,'Trial Rows'!$F$2:$F$201,'Trial Rows'!F120,'Trial Rows'!$G$2:$G$201,'Trial Rows'!G120,'Trial Rows'!$Y$2:$Y$201,'Trial Rows'!Y120,'Trial Rows'!$W$2:$W$201,"&lt;&gt;")=4,ISNUMBER('Trial Rows'!U120),COUNTIFS('Trial Rows'!$B$2:$B$201,'Trial Rows'!B120,'Trial Rows'!$C$2:$C$201,'Trial Rows'!C120,'Trial Rows'!$F$2:$F$201,'Trial Rows'!F120,'Trial Rows'!$G$2:$G$201,'Trial Rows'!G120,'Trial Rows'!$Y$2:$Y$201,'Trial Rows'!Y120,'Trial Rows'!$U$2:$U$201,'Trial Rows'!U120)=4,'Trial Rows'!U120&gt;=0),1,0)</x:f>
        <x:v>0</x:v>
      </x:c>
      <x:c r="O120" s="2" t="str">
        <x:f>IF(N120=1,'Trial Rows'!U120/1000,"")</x:f>
      </x:c>
      <x:c r="P120" s="2" t="str">
        <x:f>IF(AND(N120=1,'Trial Rows'!G120="A"),O120,"")</x:f>
      </x:c>
      <x:c r="Q120" s="2" t="str">
        <x:f>IF(AND(N120=1,'Trial Rows'!G120="B"),O120,"")</x:f>
      </x:c>
      <x:c r="R120" s="2" t="str">
        <x:f>IF(AND(N120=1,COUNTIFS('Trial Rows'!$B$2:$B$201,'Trial Rows'!B120,'Trial Rows'!$C$2:$C$201,'Trial Rows'!C120,'Trial Rows'!$F$2:$F$201,'Trial Rows'!F120,'Trial Rows'!$G$2:$G$201,'Trial Rows'!G120,'Trial Rows'!$Y$2:$Y$201,'Trial Rows'!Y120,'Trial Rows'!$N$2:$N$201,"&gt;=0",'Trial Rows'!$N$2:$N$201,"&lt;=4",'Trial Rows'!$N$2:$N$201,"&lt;&gt;")=4),SUMIFS('Trial Rows'!$N$2:$N$201,'Trial Rows'!$B$2:$B$201,'Trial Rows'!B120,'Trial Rows'!$C$2:$C$201,'Trial Rows'!C120,'Trial Rows'!$F$2:$F$201,'Trial Rows'!F120,'Trial Rows'!$G$2:$G$201,'Trial Rows'!G120,'Trial Rows'!$Y$2:$Y$201,'Trial Rows'!Y120,'Trial Rows'!$I$2:$I$201,1)+4-SUMIFS('Trial Rows'!$N$2:$N$201,'Trial Rows'!$B$2:$B$201,'Trial Rows'!B120,'Trial Rows'!$C$2:$C$201,'Trial Rows'!C120,'Trial Rows'!$F$2:$F$201,'Trial Rows'!F120,'Trial Rows'!$G$2:$G$201,'Trial Rows'!G120,'Trial Rows'!$Y$2:$Y$201,'Trial Rows'!Y120,'Trial Rows'!$I$2:$I$201,2)+4-SUMIFS('Trial Rows'!$N$2:$N$201,'Trial Rows'!$B$2:$B$201,'Trial Rows'!B120,'Trial Rows'!$C$2:$C$201,'Trial Rows'!C120,'Trial Rows'!$F$2:$F$201,'Trial Rows'!F120,'Trial Rows'!$G$2:$G$201,'Trial Rows'!G120,'Trial Rows'!$Y$2:$Y$201,'Trial Rows'!Y120,'Trial Rows'!$I$2:$I$201,3)+SUMIFS('Trial Rows'!$N$2:$N$201,'Trial Rows'!$B$2:$B$201,'Trial Rows'!B120,'Trial Rows'!$C$2:$C$201,'Trial Rows'!C120,'Trial Rows'!$F$2:$F$201,'Trial Rows'!F120,'Trial Rows'!$G$2:$G$201,'Trial Rows'!G120,'Trial Rows'!$Y$2:$Y$201,'Trial Rows'!Y120,'Trial Rows'!$I$2:$I$201,4),"")</x:f>
      </x:c>
      <x:c r="S120" s="2" t="n">
        <x:f>IF(AND(B120=1,COUNTIFS('Trial Rows'!$C$2:C120,'Trial Rows'!C120,'Trial Rows'!$F$2:F120,Summary!$B$5,'Trial Rows'!$Y$2:Y120,Summary!$B$4)=1),1,0)</x:f>
        <x:v>0</x:v>
      </x:c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 t="str">
        <x:f>IF('Trial Rows'!A121="","",'Trial Rows'!F121&amp;"|"&amp;'Trial Rows'!B121&amp;"|"&amp;'Trial Rows'!C121&amp;"|"&amp;'Trial Rows'!I121)</x:f>
      </x:c>
      <x:c r="B121" s="2" t="n">
        <x:f>IF(AND('Trial Rows'!A121&lt;&gt;"",'Trial Rows'!Y121=Summary!$B$4,'Trial Rows'!F121=Summary!$B$5),1,0)</x:f>
        <x:v>0</x:v>
      </x:c>
      <x:c r="C121" s="2" t="n">
        <x:f>IF(B121=1,COUNTIFS('Trial Rows'!$B$2:$B$201,'Trial Rows'!B121,'Trial Rows'!$C$2:$C$201,'Trial Rows'!C121,'Trial Rows'!$F$2:$F$201,'Trial Rows'!F121,'Trial Rows'!$I$2:$I$201,'Trial Rows'!I121,'Trial Rows'!$Y$2:$Y$201,'Trial Rows'!Y121,'Trial Rows'!$G$2:$G$201,"A"),0)</x:f>
        <x:v>0</x:v>
      </x:c>
      <x:c r="D121" s="2" t="n">
        <x:f>IF(B121=1,COUNTIFS('Trial Rows'!$B$2:$B$201,'Trial Rows'!B121,'Trial Rows'!$C$2:$C$201,'Trial Rows'!C121,'Trial Rows'!$F$2:$F$201,'Trial Rows'!F121,'Trial Rows'!$I$2:$I$201,'Trial Rows'!I121,'Trial Rows'!$Y$2:$Y$201,'Trial Rows'!Y121,'Trial Rows'!$G$2:$G$201,"B"),0)</x:f>
        <x:v>0</x:v>
      </x:c>
      <x:c r="E121" s="2" t="str">
        <x:f>IF(AND(C121=1,COUNTIFS('Trial Rows'!$B$2:$B$201,'Trial Rows'!B121,'Trial Rows'!$C$2:$C$201,'Trial Rows'!C121,'Trial Rows'!$F$2:$F$201,'Trial Rows'!F121,'Trial Rows'!$I$2:$I$201,'Trial Rows'!I121,'Trial Rows'!$Y$2:$Y$201,'Trial Rows'!Y121,'Trial Rows'!$G$2:$G$201,"A",'Trial Rows'!$K$2:$K$201,"&gt;=0",'Trial Rows'!$K$2:$K$201,"&lt;=4",'Trial Rows'!$K$2:$K$201,"&lt;&gt;")=1),SUMIFS('Trial Rows'!$K$2:$K$201,'Trial Rows'!$B$2:$B$201,'Trial Rows'!B121,'Trial Rows'!$C$2:$C$201,'Trial Rows'!C121,'Trial Rows'!$F$2:$F$201,'Trial Rows'!F121,'Trial Rows'!$I$2:$I$201,'Trial Rows'!I121,'Trial Rows'!$Y$2:$Y$201,'Trial Rows'!Y121,'Trial Rows'!$G$2:$G$201,"A"),"")</x:f>
      </x:c>
      <x:c r="F121" s="2" t="n">
        <x:f>IF(AND(B121=1,'Trial Rows'!G121="B",C121=1,D121=1,ISNUMBER(E121),ISNUMBER('Trial Rows'!M121),'Trial Rows'!M121&gt;=0,'Trial Rows'!M121&lt;=4,'Trial Rows'!Q121=0,'Trial Rows'!S121=0),1,0)</x:f>
        <x:v>0</x:v>
      </x:c>
      <x:c r="G121" s="2" t="n">
        <x:f>IF(F121=1,IF(E121='Trial Rows'!M121,1,0),0)</x:f>
        <x:v>0</x:v>
      </x:c>
      <x:c r="H121" s="2" t="n">
        <x:f>IF(AND(B121=1,'Trial Rows'!G121="B",C121=1,D121=1,ISNUMBER(E121),'Trial Rows'!R121=1,'Trial Rows'!Q121=0,'Trial Rows'!S121=0,ISNUMBER('Trial Rows'!L121),'Trial Rows'!L121&gt;=0,'Trial Rows'!L121&lt;=4),1,0)</x:f>
        <x:v>0</x:v>
      </x:c>
      <x:c r="I121" s="2" t="n">
        <x:f>IF(H121=1,IF(E121='Trial Rows'!L121,1,0),0)</x:f>
        <x:v>0</x:v>
      </x:c>
      <x:c r="J121" s="2" t="n">
        <x:f>IF(AND(B121=1,'Trial Rows'!G121="B",'Trial Rows'!P121&gt;0),1,0)</x:f>
        <x:v>0</x:v>
      </x:c>
      <x:c r="K121" s="2" t="n">
        <x:f>IF(AND(B121=1,'Trial Rows'!G121="B",'Trial Rows'!Q121=1),1,0)</x:f>
        <x:v>0</x:v>
      </x:c>
      <x:c r="L121" s="2" t="n">
        <x:f>IF(AND(B121=1,'Trial Rows'!G121="B",'Trial Rows'!R121=1,'Trial Rows'!Q121=0,'Trial Rows'!S121=0),1,0)</x:f>
        <x:v>0</x:v>
      </x:c>
      <x:c r="M121" s="2" t="n">
        <x:f>IF(AND(B121=1,'Trial Rows'!G121="B"),1,0)</x:f>
        <x:v>0</x:v>
      </x:c>
      <x:c r="N121" s="2" t="n">
        <x:f>IF(AND(B121=1,'Trial Rows'!I121=1,COUNTIFS('Trial Rows'!$B$2:$B$201,'Trial Rows'!B121,'Trial Rows'!$C$2:$C$201,'Trial Rows'!C121,'Trial Rows'!$F$2:$F$201,'Trial Rows'!F121,'Trial Rows'!$G$2:$G$201,'Trial Rows'!G121,'Trial Rows'!$Y$2:$Y$201,'Trial Rows'!Y121)=4,COUNTIFS('Trial Rows'!$B$2:$B$201,'Trial Rows'!B121,'Trial Rows'!$C$2:$C$201,'Trial Rows'!C121,'Trial Rows'!$F$2:$F$201,'Trial Rows'!F121,'Trial Rows'!$G$2:$G$201,'Trial Rows'!G121,'Trial Rows'!$Y$2:$Y$201,'Trial Rows'!Y121,'Trial Rows'!$I$2:$I$201,1)=1,COUNTIFS('Trial Rows'!$B$2:$B$201,'Trial Rows'!B121,'Trial Rows'!$C$2:$C$201,'Trial Rows'!C121,'Trial Rows'!$F$2:$F$201,'Trial Rows'!F121,'Trial Rows'!$G$2:$G$201,'Trial Rows'!G121,'Trial Rows'!$Y$2:$Y$201,'Trial Rows'!Y121,'Trial Rows'!$I$2:$I$201,2)=1,COUNTIFS('Trial Rows'!$B$2:$B$201,'Trial Rows'!B121,'Trial Rows'!$C$2:$C$201,'Trial Rows'!C121,'Trial Rows'!$F$2:$F$201,'Trial Rows'!F121,'Trial Rows'!$G$2:$G$201,'Trial Rows'!G121,'Trial Rows'!$Y$2:$Y$201,'Trial Rows'!Y121,'Trial Rows'!$I$2:$I$201,3)=1,COUNTIFS('Trial Rows'!$B$2:$B$201,'Trial Rows'!B121,'Trial Rows'!$C$2:$C$201,'Trial Rows'!C121,'Trial Rows'!$F$2:$F$201,'Trial Rows'!F121,'Trial Rows'!$G$2:$G$201,'Trial Rows'!G121,'Trial Rows'!$Y$2:$Y$201,'Trial Rows'!Y121,'Trial Rows'!$I$2:$I$201,4)=1,COUNTIFS('Trial Rows'!$B$2:$B$201,'Trial Rows'!B121,'Trial Rows'!$C$2:$C$201,'Trial Rows'!C121,'Trial Rows'!$F$2:$F$201,'Trial Rows'!F121,'Trial Rows'!$G$2:$G$201,'Trial Rows'!G121,'Trial Rows'!$Y$2:$Y$201,'Trial Rows'!Y121,'Trial Rows'!$W$2:$W$201,"&lt;&gt;")=4,ISNUMBER('Trial Rows'!U121),COUNTIFS('Trial Rows'!$B$2:$B$201,'Trial Rows'!B121,'Trial Rows'!$C$2:$C$201,'Trial Rows'!C121,'Trial Rows'!$F$2:$F$201,'Trial Rows'!F121,'Trial Rows'!$G$2:$G$201,'Trial Rows'!G121,'Trial Rows'!$Y$2:$Y$201,'Trial Rows'!Y121,'Trial Rows'!$U$2:$U$201,'Trial Rows'!U121)=4,'Trial Rows'!U121&gt;=0),1,0)</x:f>
        <x:v>0</x:v>
      </x:c>
      <x:c r="O121" s="2" t="str">
        <x:f>IF(N121=1,'Trial Rows'!U121/1000,"")</x:f>
      </x:c>
      <x:c r="P121" s="2" t="str">
        <x:f>IF(AND(N121=1,'Trial Rows'!G121="A"),O121,"")</x:f>
      </x:c>
      <x:c r="Q121" s="2" t="str">
        <x:f>IF(AND(N121=1,'Trial Rows'!G121="B"),O121,"")</x:f>
      </x:c>
      <x:c r="R121" s="2" t="str">
        <x:f>IF(AND(N121=1,COUNTIFS('Trial Rows'!$B$2:$B$201,'Trial Rows'!B121,'Trial Rows'!$C$2:$C$201,'Trial Rows'!C121,'Trial Rows'!$F$2:$F$201,'Trial Rows'!F121,'Trial Rows'!$G$2:$G$201,'Trial Rows'!G121,'Trial Rows'!$Y$2:$Y$201,'Trial Rows'!Y121,'Trial Rows'!$N$2:$N$201,"&gt;=0",'Trial Rows'!$N$2:$N$201,"&lt;=4",'Trial Rows'!$N$2:$N$201,"&lt;&gt;")=4),SUMIFS('Trial Rows'!$N$2:$N$201,'Trial Rows'!$B$2:$B$201,'Trial Rows'!B121,'Trial Rows'!$C$2:$C$201,'Trial Rows'!C121,'Trial Rows'!$F$2:$F$201,'Trial Rows'!F121,'Trial Rows'!$G$2:$G$201,'Trial Rows'!G121,'Trial Rows'!$Y$2:$Y$201,'Trial Rows'!Y121,'Trial Rows'!$I$2:$I$201,1)+4-SUMIFS('Trial Rows'!$N$2:$N$201,'Trial Rows'!$B$2:$B$201,'Trial Rows'!B121,'Trial Rows'!$C$2:$C$201,'Trial Rows'!C121,'Trial Rows'!$F$2:$F$201,'Trial Rows'!F121,'Trial Rows'!$G$2:$G$201,'Trial Rows'!G121,'Trial Rows'!$Y$2:$Y$201,'Trial Rows'!Y121,'Trial Rows'!$I$2:$I$201,2)+4-SUMIFS('Trial Rows'!$N$2:$N$201,'Trial Rows'!$B$2:$B$201,'Trial Rows'!B121,'Trial Rows'!$C$2:$C$201,'Trial Rows'!C121,'Trial Rows'!$F$2:$F$201,'Trial Rows'!F121,'Trial Rows'!$G$2:$G$201,'Trial Rows'!G121,'Trial Rows'!$Y$2:$Y$201,'Trial Rows'!Y121,'Trial Rows'!$I$2:$I$201,3)+SUMIFS('Trial Rows'!$N$2:$N$201,'Trial Rows'!$B$2:$B$201,'Trial Rows'!B121,'Trial Rows'!$C$2:$C$201,'Trial Rows'!C121,'Trial Rows'!$F$2:$F$201,'Trial Rows'!F121,'Trial Rows'!$G$2:$G$201,'Trial Rows'!G121,'Trial Rows'!$Y$2:$Y$201,'Trial Rows'!Y121,'Trial Rows'!$I$2:$I$201,4),"")</x:f>
      </x:c>
      <x:c r="S121" s="2" t="n">
        <x:f>IF(AND(B121=1,COUNTIFS('Trial Rows'!$C$2:C121,'Trial Rows'!C121,'Trial Rows'!$F$2:F121,Summary!$B$5,'Trial Rows'!$Y$2:Y121,Summary!$B$4)=1),1,0)</x:f>
        <x:v>0</x:v>
      </x:c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 t="str">
        <x:f>IF('Trial Rows'!A122="","",'Trial Rows'!F122&amp;"|"&amp;'Trial Rows'!B122&amp;"|"&amp;'Trial Rows'!C122&amp;"|"&amp;'Trial Rows'!I122)</x:f>
      </x:c>
      <x:c r="B122" s="2" t="n">
        <x:f>IF(AND('Trial Rows'!A122&lt;&gt;"",'Trial Rows'!Y122=Summary!$B$4,'Trial Rows'!F122=Summary!$B$5),1,0)</x:f>
        <x:v>0</x:v>
      </x:c>
      <x:c r="C122" s="2" t="n">
        <x:f>IF(B122=1,COUNTIFS('Trial Rows'!$B$2:$B$201,'Trial Rows'!B122,'Trial Rows'!$C$2:$C$201,'Trial Rows'!C122,'Trial Rows'!$F$2:$F$201,'Trial Rows'!F122,'Trial Rows'!$I$2:$I$201,'Trial Rows'!I122,'Trial Rows'!$Y$2:$Y$201,'Trial Rows'!Y122,'Trial Rows'!$G$2:$G$201,"A"),0)</x:f>
        <x:v>0</x:v>
      </x:c>
      <x:c r="D122" s="2" t="n">
        <x:f>IF(B122=1,COUNTIFS('Trial Rows'!$B$2:$B$201,'Trial Rows'!B122,'Trial Rows'!$C$2:$C$201,'Trial Rows'!C122,'Trial Rows'!$F$2:$F$201,'Trial Rows'!F122,'Trial Rows'!$I$2:$I$201,'Trial Rows'!I122,'Trial Rows'!$Y$2:$Y$201,'Trial Rows'!Y122,'Trial Rows'!$G$2:$G$201,"B"),0)</x:f>
        <x:v>0</x:v>
      </x:c>
      <x:c r="E122" s="2" t="str">
        <x:f>IF(AND(C122=1,COUNTIFS('Trial Rows'!$B$2:$B$201,'Trial Rows'!B122,'Trial Rows'!$C$2:$C$201,'Trial Rows'!C122,'Trial Rows'!$F$2:$F$201,'Trial Rows'!F122,'Trial Rows'!$I$2:$I$201,'Trial Rows'!I122,'Trial Rows'!$Y$2:$Y$201,'Trial Rows'!Y122,'Trial Rows'!$G$2:$G$201,"A",'Trial Rows'!$K$2:$K$201,"&gt;=0",'Trial Rows'!$K$2:$K$201,"&lt;=4",'Trial Rows'!$K$2:$K$201,"&lt;&gt;")=1),SUMIFS('Trial Rows'!$K$2:$K$201,'Trial Rows'!$B$2:$B$201,'Trial Rows'!B122,'Trial Rows'!$C$2:$C$201,'Trial Rows'!C122,'Trial Rows'!$F$2:$F$201,'Trial Rows'!F122,'Trial Rows'!$I$2:$I$201,'Trial Rows'!I122,'Trial Rows'!$Y$2:$Y$201,'Trial Rows'!Y122,'Trial Rows'!$G$2:$G$201,"A"),"")</x:f>
      </x:c>
      <x:c r="F122" s="2" t="n">
        <x:f>IF(AND(B122=1,'Trial Rows'!G122="B",C122=1,D122=1,ISNUMBER(E122),ISNUMBER('Trial Rows'!M122),'Trial Rows'!M122&gt;=0,'Trial Rows'!M122&lt;=4,'Trial Rows'!Q122=0,'Trial Rows'!S122=0),1,0)</x:f>
        <x:v>0</x:v>
      </x:c>
      <x:c r="G122" s="2" t="n">
        <x:f>IF(F122=1,IF(E122='Trial Rows'!M122,1,0),0)</x:f>
        <x:v>0</x:v>
      </x:c>
      <x:c r="H122" s="2" t="n">
        <x:f>IF(AND(B122=1,'Trial Rows'!G122="B",C122=1,D122=1,ISNUMBER(E122),'Trial Rows'!R122=1,'Trial Rows'!Q122=0,'Trial Rows'!S122=0,ISNUMBER('Trial Rows'!L122),'Trial Rows'!L122&gt;=0,'Trial Rows'!L122&lt;=4),1,0)</x:f>
        <x:v>0</x:v>
      </x:c>
      <x:c r="I122" s="2" t="n">
        <x:f>IF(H122=1,IF(E122='Trial Rows'!L122,1,0),0)</x:f>
        <x:v>0</x:v>
      </x:c>
      <x:c r="J122" s="2" t="n">
        <x:f>IF(AND(B122=1,'Trial Rows'!G122="B",'Trial Rows'!P122&gt;0),1,0)</x:f>
        <x:v>0</x:v>
      </x:c>
      <x:c r="K122" s="2" t="n">
        <x:f>IF(AND(B122=1,'Trial Rows'!G122="B",'Trial Rows'!Q122=1),1,0)</x:f>
        <x:v>0</x:v>
      </x:c>
      <x:c r="L122" s="2" t="n">
        <x:f>IF(AND(B122=1,'Trial Rows'!G122="B",'Trial Rows'!R122=1,'Trial Rows'!Q122=0,'Trial Rows'!S122=0),1,0)</x:f>
        <x:v>0</x:v>
      </x:c>
      <x:c r="M122" s="2" t="n">
        <x:f>IF(AND(B122=1,'Trial Rows'!G122="B"),1,0)</x:f>
        <x:v>0</x:v>
      </x:c>
      <x:c r="N122" s="2" t="n">
        <x:f>IF(AND(B122=1,'Trial Rows'!I122=1,COUNTIFS('Trial Rows'!$B$2:$B$201,'Trial Rows'!B122,'Trial Rows'!$C$2:$C$201,'Trial Rows'!C122,'Trial Rows'!$F$2:$F$201,'Trial Rows'!F122,'Trial Rows'!$G$2:$G$201,'Trial Rows'!G122,'Trial Rows'!$Y$2:$Y$201,'Trial Rows'!Y122)=4,COUNTIFS('Trial Rows'!$B$2:$B$201,'Trial Rows'!B122,'Trial Rows'!$C$2:$C$201,'Trial Rows'!C122,'Trial Rows'!$F$2:$F$201,'Trial Rows'!F122,'Trial Rows'!$G$2:$G$201,'Trial Rows'!G122,'Trial Rows'!$Y$2:$Y$201,'Trial Rows'!Y122,'Trial Rows'!$I$2:$I$201,1)=1,COUNTIFS('Trial Rows'!$B$2:$B$201,'Trial Rows'!B122,'Trial Rows'!$C$2:$C$201,'Trial Rows'!C122,'Trial Rows'!$F$2:$F$201,'Trial Rows'!F122,'Trial Rows'!$G$2:$G$201,'Trial Rows'!G122,'Trial Rows'!$Y$2:$Y$201,'Trial Rows'!Y122,'Trial Rows'!$I$2:$I$201,2)=1,COUNTIFS('Trial Rows'!$B$2:$B$201,'Trial Rows'!B122,'Trial Rows'!$C$2:$C$201,'Trial Rows'!C122,'Trial Rows'!$F$2:$F$201,'Trial Rows'!F122,'Trial Rows'!$G$2:$G$201,'Trial Rows'!G122,'Trial Rows'!$Y$2:$Y$201,'Trial Rows'!Y122,'Trial Rows'!$I$2:$I$201,3)=1,COUNTIFS('Trial Rows'!$B$2:$B$201,'Trial Rows'!B122,'Trial Rows'!$C$2:$C$201,'Trial Rows'!C122,'Trial Rows'!$F$2:$F$201,'Trial Rows'!F122,'Trial Rows'!$G$2:$G$201,'Trial Rows'!G122,'Trial Rows'!$Y$2:$Y$201,'Trial Rows'!Y122,'Trial Rows'!$I$2:$I$201,4)=1,COUNTIFS('Trial Rows'!$B$2:$B$201,'Trial Rows'!B122,'Trial Rows'!$C$2:$C$201,'Trial Rows'!C122,'Trial Rows'!$F$2:$F$201,'Trial Rows'!F122,'Trial Rows'!$G$2:$G$201,'Trial Rows'!G122,'Trial Rows'!$Y$2:$Y$201,'Trial Rows'!Y122,'Trial Rows'!$W$2:$W$201,"&lt;&gt;")=4,ISNUMBER('Trial Rows'!U122),COUNTIFS('Trial Rows'!$B$2:$B$201,'Trial Rows'!B122,'Trial Rows'!$C$2:$C$201,'Trial Rows'!C122,'Trial Rows'!$F$2:$F$201,'Trial Rows'!F122,'Trial Rows'!$G$2:$G$201,'Trial Rows'!G122,'Trial Rows'!$Y$2:$Y$201,'Trial Rows'!Y122,'Trial Rows'!$U$2:$U$201,'Trial Rows'!U122)=4,'Trial Rows'!U122&gt;=0),1,0)</x:f>
        <x:v>0</x:v>
      </x:c>
      <x:c r="O122" s="2" t="str">
        <x:f>IF(N122=1,'Trial Rows'!U122/1000,"")</x:f>
      </x:c>
      <x:c r="P122" s="2" t="str">
        <x:f>IF(AND(N122=1,'Trial Rows'!G122="A"),O122,"")</x:f>
      </x:c>
      <x:c r="Q122" s="2" t="str">
        <x:f>IF(AND(N122=1,'Trial Rows'!G122="B"),O122,"")</x:f>
      </x:c>
      <x:c r="R122" s="2" t="str">
        <x:f>IF(AND(N122=1,COUNTIFS('Trial Rows'!$B$2:$B$201,'Trial Rows'!B122,'Trial Rows'!$C$2:$C$201,'Trial Rows'!C122,'Trial Rows'!$F$2:$F$201,'Trial Rows'!F122,'Trial Rows'!$G$2:$G$201,'Trial Rows'!G122,'Trial Rows'!$Y$2:$Y$201,'Trial Rows'!Y122,'Trial Rows'!$N$2:$N$201,"&gt;=0",'Trial Rows'!$N$2:$N$201,"&lt;=4",'Trial Rows'!$N$2:$N$201,"&lt;&gt;")=4),SUMIFS('Trial Rows'!$N$2:$N$201,'Trial Rows'!$B$2:$B$201,'Trial Rows'!B122,'Trial Rows'!$C$2:$C$201,'Trial Rows'!C122,'Trial Rows'!$F$2:$F$201,'Trial Rows'!F122,'Trial Rows'!$G$2:$G$201,'Trial Rows'!G122,'Trial Rows'!$Y$2:$Y$201,'Trial Rows'!Y122,'Trial Rows'!$I$2:$I$201,1)+4-SUMIFS('Trial Rows'!$N$2:$N$201,'Trial Rows'!$B$2:$B$201,'Trial Rows'!B122,'Trial Rows'!$C$2:$C$201,'Trial Rows'!C122,'Trial Rows'!$F$2:$F$201,'Trial Rows'!F122,'Trial Rows'!$G$2:$G$201,'Trial Rows'!G122,'Trial Rows'!$Y$2:$Y$201,'Trial Rows'!Y122,'Trial Rows'!$I$2:$I$201,2)+4-SUMIFS('Trial Rows'!$N$2:$N$201,'Trial Rows'!$B$2:$B$201,'Trial Rows'!B122,'Trial Rows'!$C$2:$C$201,'Trial Rows'!C122,'Trial Rows'!$F$2:$F$201,'Trial Rows'!F122,'Trial Rows'!$G$2:$G$201,'Trial Rows'!G122,'Trial Rows'!$Y$2:$Y$201,'Trial Rows'!Y122,'Trial Rows'!$I$2:$I$201,3)+SUMIFS('Trial Rows'!$N$2:$N$201,'Trial Rows'!$B$2:$B$201,'Trial Rows'!B122,'Trial Rows'!$C$2:$C$201,'Trial Rows'!C122,'Trial Rows'!$F$2:$F$201,'Trial Rows'!F122,'Trial Rows'!$G$2:$G$201,'Trial Rows'!G122,'Trial Rows'!$Y$2:$Y$201,'Trial Rows'!Y122,'Trial Rows'!$I$2:$I$201,4),"")</x:f>
      </x:c>
      <x:c r="S122" s="2" t="n">
        <x:f>IF(AND(B122=1,COUNTIFS('Trial Rows'!$C$2:C122,'Trial Rows'!C122,'Trial Rows'!$F$2:F122,Summary!$B$5,'Trial Rows'!$Y$2:Y122,Summary!$B$4)=1),1,0)</x:f>
        <x:v>0</x:v>
      </x:c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 t="str">
        <x:f>IF('Trial Rows'!A123="","",'Trial Rows'!F123&amp;"|"&amp;'Trial Rows'!B123&amp;"|"&amp;'Trial Rows'!C123&amp;"|"&amp;'Trial Rows'!I123)</x:f>
      </x:c>
      <x:c r="B123" s="2" t="n">
        <x:f>IF(AND('Trial Rows'!A123&lt;&gt;"",'Trial Rows'!Y123=Summary!$B$4,'Trial Rows'!F123=Summary!$B$5),1,0)</x:f>
        <x:v>0</x:v>
      </x:c>
      <x:c r="C123" s="2" t="n">
        <x:f>IF(B123=1,COUNTIFS('Trial Rows'!$B$2:$B$201,'Trial Rows'!B123,'Trial Rows'!$C$2:$C$201,'Trial Rows'!C123,'Trial Rows'!$F$2:$F$201,'Trial Rows'!F123,'Trial Rows'!$I$2:$I$201,'Trial Rows'!I123,'Trial Rows'!$Y$2:$Y$201,'Trial Rows'!Y123,'Trial Rows'!$G$2:$G$201,"A"),0)</x:f>
        <x:v>0</x:v>
      </x:c>
      <x:c r="D123" s="2" t="n">
        <x:f>IF(B123=1,COUNTIFS('Trial Rows'!$B$2:$B$201,'Trial Rows'!B123,'Trial Rows'!$C$2:$C$201,'Trial Rows'!C123,'Trial Rows'!$F$2:$F$201,'Trial Rows'!F123,'Trial Rows'!$I$2:$I$201,'Trial Rows'!I123,'Trial Rows'!$Y$2:$Y$201,'Trial Rows'!Y123,'Trial Rows'!$G$2:$G$201,"B"),0)</x:f>
        <x:v>0</x:v>
      </x:c>
      <x:c r="E123" s="2" t="str">
        <x:f>IF(AND(C123=1,COUNTIFS('Trial Rows'!$B$2:$B$201,'Trial Rows'!B123,'Trial Rows'!$C$2:$C$201,'Trial Rows'!C123,'Trial Rows'!$F$2:$F$201,'Trial Rows'!F123,'Trial Rows'!$I$2:$I$201,'Trial Rows'!I123,'Trial Rows'!$Y$2:$Y$201,'Trial Rows'!Y123,'Trial Rows'!$G$2:$G$201,"A",'Trial Rows'!$K$2:$K$201,"&gt;=0",'Trial Rows'!$K$2:$K$201,"&lt;=4",'Trial Rows'!$K$2:$K$201,"&lt;&gt;")=1),SUMIFS('Trial Rows'!$K$2:$K$201,'Trial Rows'!$B$2:$B$201,'Trial Rows'!B123,'Trial Rows'!$C$2:$C$201,'Trial Rows'!C123,'Trial Rows'!$F$2:$F$201,'Trial Rows'!F123,'Trial Rows'!$I$2:$I$201,'Trial Rows'!I123,'Trial Rows'!$Y$2:$Y$201,'Trial Rows'!Y123,'Trial Rows'!$G$2:$G$201,"A"),"")</x:f>
      </x:c>
      <x:c r="F123" s="2" t="n">
        <x:f>IF(AND(B123=1,'Trial Rows'!G123="B",C123=1,D123=1,ISNUMBER(E123),ISNUMBER('Trial Rows'!M123),'Trial Rows'!M123&gt;=0,'Trial Rows'!M123&lt;=4,'Trial Rows'!Q123=0,'Trial Rows'!S123=0),1,0)</x:f>
        <x:v>0</x:v>
      </x:c>
      <x:c r="G123" s="2" t="n">
        <x:f>IF(F123=1,IF(E123='Trial Rows'!M123,1,0),0)</x:f>
        <x:v>0</x:v>
      </x:c>
      <x:c r="H123" s="2" t="n">
        <x:f>IF(AND(B123=1,'Trial Rows'!G123="B",C123=1,D123=1,ISNUMBER(E123),'Trial Rows'!R123=1,'Trial Rows'!Q123=0,'Trial Rows'!S123=0,ISNUMBER('Trial Rows'!L123),'Trial Rows'!L123&gt;=0,'Trial Rows'!L123&lt;=4),1,0)</x:f>
        <x:v>0</x:v>
      </x:c>
      <x:c r="I123" s="2" t="n">
        <x:f>IF(H123=1,IF(E123='Trial Rows'!L123,1,0),0)</x:f>
        <x:v>0</x:v>
      </x:c>
      <x:c r="J123" s="2" t="n">
        <x:f>IF(AND(B123=1,'Trial Rows'!G123="B",'Trial Rows'!P123&gt;0),1,0)</x:f>
        <x:v>0</x:v>
      </x:c>
      <x:c r="K123" s="2" t="n">
        <x:f>IF(AND(B123=1,'Trial Rows'!G123="B",'Trial Rows'!Q123=1),1,0)</x:f>
        <x:v>0</x:v>
      </x:c>
      <x:c r="L123" s="2" t="n">
        <x:f>IF(AND(B123=1,'Trial Rows'!G123="B",'Trial Rows'!R123=1,'Trial Rows'!Q123=0,'Trial Rows'!S123=0),1,0)</x:f>
        <x:v>0</x:v>
      </x:c>
      <x:c r="M123" s="2" t="n">
        <x:f>IF(AND(B123=1,'Trial Rows'!G123="B"),1,0)</x:f>
        <x:v>0</x:v>
      </x:c>
      <x:c r="N123" s="2" t="n">
        <x:f>IF(AND(B123=1,'Trial Rows'!I123=1,COUNTIFS('Trial Rows'!$B$2:$B$201,'Trial Rows'!B123,'Trial Rows'!$C$2:$C$201,'Trial Rows'!C123,'Trial Rows'!$F$2:$F$201,'Trial Rows'!F123,'Trial Rows'!$G$2:$G$201,'Trial Rows'!G123,'Trial Rows'!$Y$2:$Y$201,'Trial Rows'!Y123)=4,COUNTIFS('Trial Rows'!$B$2:$B$201,'Trial Rows'!B123,'Trial Rows'!$C$2:$C$201,'Trial Rows'!C123,'Trial Rows'!$F$2:$F$201,'Trial Rows'!F123,'Trial Rows'!$G$2:$G$201,'Trial Rows'!G123,'Trial Rows'!$Y$2:$Y$201,'Trial Rows'!Y123,'Trial Rows'!$I$2:$I$201,1)=1,COUNTIFS('Trial Rows'!$B$2:$B$201,'Trial Rows'!B123,'Trial Rows'!$C$2:$C$201,'Trial Rows'!C123,'Trial Rows'!$F$2:$F$201,'Trial Rows'!F123,'Trial Rows'!$G$2:$G$201,'Trial Rows'!G123,'Trial Rows'!$Y$2:$Y$201,'Trial Rows'!Y123,'Trial Rows'!$I$2:$I$201,2)=1,COUNTIFS('Trial Rows'!$B$2:$B$201,'Trial Rows'!B123,'Trial Rows'!$C$2:$C$201,'Trial Rows'!C123,'Trial Rows'!$F$2:$F$201,'Trial Rows'!F123,'Trial Rows'!$G$2:$G$201,'Trial Rows'!G123,'Trial Rows'!$Y$2:$Y$201,'Trial Rows'!Y123,'Trial Rows'!$I$2:$I$201,3)=1,COUNTIFS('Trial Rows'!$B$2:$B$201,'Trial Rows'!B123,'Trial Rows'!$C$2:$C$201,'Trial Rows'!C123,'Trial Rows'!$F$2:$F$201,'Trial Rows'!F123,'Trial Rows'!$G$2:$G$201,'Trial Rows'!G123,'Trial Rows'!$Y$2:$Y$201,'Trial Rows'!Y123,'Trial Rows'!$I$2:$I$201,4)=1,COUNTIFS('Trial Rows'!$B$2:$B$201,'Trial Rows'!B123,'Trial Rows'!$C$2:$C$201,'Trial Rows'!C123,'Trial Rows'!$F$2:$F$201,'Trial Rows'!F123,'Trial Rows'!$G$2:$G$201,'Trial Rows'!G123,'Trial Rows'!$Y$2:$Y$201,'Trial Rows'!Y123,'Trial Rows'!$W$2:$W$201,"&lt;&gt;")=4,ISNUMBER('Trial Rows'!U123),COUNTIFS('Trial Rows'!$B$2:$B$201,'Trial Rows'!B123,'Trial Rows'!$C$2:$C$201,'Trial Rows'!C123,'Trial Rows'!$F$2:$F$201,'Trial Rows'!F123,'Trial Rows'!$G$2:$G$201,'Trial Rows'!G123,'Trial Rows'!$Y$2:$Y$201,'Trial Rows'!Y123,'Trial Rows'!$U$2:$U$201,'Trial Rows'!U123)=4,'Trial Rows'!U123&gt;=0),1,0)</x:f>
        <x:v>0</x:v>
      </x:c>
      <x:c r="O123" s="2" t="str">
        <x:f>IF(N123=1,'Trial Rows'!U123/1000,"")</x:f>
      </x:c>
      <x:c r="P123" s="2" t="str">
        <x:f>IF(AND(N123=1,'Trial Rows'!G123="A"),O123,"")</x:f>
      </x:c>
      <x:c r="Q123" s="2" t="str">
        <x:f>IF(AND(N123=1,'Trial Rows'!G123="B"),O123,"")</x:f>
      </x:c>
      <x:c r="R123" s="2" t="str">
        <x:f>IF(AND(N123=1,COUNTIFS('Trial Rows'!$B$2:$B$201,'Trial Rows'!B123,'Trial Rows'!$C$2:$C$201,'Trial Rows'!C123,'Trial Rows'!$F$2:$F$201,'Trial Rows'!F123,'Trial Rows'!$G$2:$G$201,'Trial Rows'!G123,'Trial Rows'!$Y$2:$Y$201,'Trial Rows'!Y123,'Trial Rows'!$N$2:$N$201,"&gt;=0",'Trial Rows'!$N$2:$N$201,"&lt;=4",'Trial Rows'!$N$2:$N$201,"&lt;&gt;")=4),SUMIFS('Trial Rows'!$N$2:$N$201,'Trial Rows'!$B$2:$B$201,'Trial Rows'!B123,'Trial Rows'!$C$2:$C$201,'Trial Rows'!C123,'Trial Rows'!$F$2:$F$201,'Trial Rows'!F123,'Trial Rows'!$G$2:$G$201,'Trial Rows'!G123,'Trial Rows'!$Y$2:$Y$201,'Trial Rows'!Y123,'Trial Rows'!$I$2:$I$201,1)+4-SUMIFS('Trial Rows'!$N$2:$N$201,'Trial Rows'!$B$2:$B$201,'Trial Rows'!B123,'Trial Rows'!$C$2:$C$201,'Trial Rows'!C123,'Trial Rows'!$F$2:$F$201,'Trial Rows'!F123,'Trial Rows'!$G$2:$G$201,'Trial Rows'!G123,'Trial Rows'!$Y$2:$Y$201,'Trial Rows'!Y123,'Trial Rows'!$I$2:$I$201,2)+4-SUMIFS('Trial Rows'!$N$2:$N$201,'Trial Rows'!$B$2:$B$201,'Trial Rows'!B123,'Trial Rows'!$C$2:$C$201,'Trial Rows'!C123,'Trial Rows'!$F$2:$F$201,'Trial Rows'!F123,'Trial Rows'!$G$2:$G$201,'Trial Rows'!G123,'Trial Rows'!$Y$2:$Y$201,'Trial Rows'!Y123,'Trial Rows'!$I$2:$I$201,3)+SUMIFS('Trial Rows'!$N$2:$N$201,'Trial Rows'!$B$2:$B$201,'Trial Rows'!B123,'Trial Rows'!$C$2:$C$201,'Trial Rows'!C123,'Trial Rows'!$F$2:$F$201,'Trial Rows'!F123,'Trial Rows'!$G$2:$G$201,'Trial Rows'!G123,'Trial Rows'!$Y$2:$Y$201,'Trial Rows'!Y123,'Trial Rows'!$I$2:$I$201,4),"")</x:f>
      </x:c>
      <x:c r="S123" s="2" t="n">
        <x:f>IF(AND(B123=1,COUNTIFS('Trial Rows'!$C$2:C123,'Trial Rows'!C123,'Trial Rows'!$F$2:F123,Summary!$B$5,'Trial Rows'!$Y$2:Y123,Summary!$B$4)=1),1,0)</x:f>
        <x:v>0</x:v>
      </x:c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 t="str">
        <x:f>IF('Trial Rows'!A124="","",'Trial Rows'!F124&amp;"|"&amp;'Trial Rows'!B124&amp;"|"&amp;'Trial Rows'!C124&amp;"|"&amp;'Trial Rows'!I124)</x:f>
      </x:c>
      <x:c r="B124" s="2" t="n">
        <x:f>IF(AND('Trial Rows'!A124&lt;&gt;"",'Trial Rows'!Y124=Summary!$B$4,'Trial Rows'!F124=Summary!$B$5),1,0)</x:f>
        <x:v>0</x:v>
      </x:c>
      <x:c r="C124" s="2" t="n">
        <x:f>IF(B124=1,COUNTIFS('Trial Rows'!$B$2:$B$201,'Trial Rows'!B124,'Trial Rows'!$C$2:$C$201,'Trial Rows'!C124,'Trial Rows'!$F$2:$F$201,'Trial Rows'!F124,'Trial Rows'!$I$2:$I$201,'Trial Rows'!I124,'Trial Rows'!$Y$2:$Y$201,'Trial Rows'!Y124,'Trial Rows'!$G$2:$G$201,"A"),0)</x:f>
        <x:v>0</x:v>
      </x:c>
      <x:c r="D124" s="2" t="n">
        <x:f>IF(B124=1,COUNTIFS('Trial Rows'!$B$2:$B$201,'Trial Rows'!B124,'Trial Rows'!$C$2:$C$201,'Trial Rows'!C124,'Trial Rows'!$F$2:$F$201,'Trial Rows'!F124,'Trial Rows'!$I$2:$I$201,'Trial Rows'!I124,'Trial Rows'!$Y$2:$Y$201,'Trial Rows'!Y124,'Trial Rows'!$G$2:$G$201,"B"),0)</x:f>
        <x:v>0</x:v>
      </x:c>
      <x:c r="E124" s="2" t="str">
        <x:f>IF(AND(C124=1,COUNTIFS('Trial Rows'!$B$2:$B$201,'Trial Rows'!B124,'Trial Rows'!$C$2:$C$201,'Trial Rows'!C124,'Trial Rows'!$F$2:$F$201,'Trial Rows'!F124,'Trial Rows'!$I$2:$I$201,'Trial Rows'!I124,'Trial Rows'!$Y$2:$Y$201,'Trial Rows'!Y124,'Trial Rows'!$G$2:$G$201,"A",'Trial Rows'!$K$2:$K$201,"&gt;=0",'Trial Rows'!$K$2:$K$201,"&lt;=4",'Trial Rows'!$K$2:$K$201,"&lt;&gt;")=1),SUMIFS('Trial Rows'!$K$2:$K$201,'Trial Rows'!$B$2:$B$201,'Trial Rows'!B124,'Trial Rows'!$C$2:$C$201,'Trial Rows'!C124,'Trial Rows'!$F$2:$F$201,'Trial Rows'!F124,'Trial Rows'!$I$2:$I$201,'Trial Rows'!I124,'Trial Rows'!$Y$2:$Y$201,'Trial Rows'!Y124,'Trial Rows'!$G$2:$G$201,"A"),"")</x:f>
      </x:c>
      <x:c r="F124" s="2" t="n">
        <x:f>IF(AND(B124=1,'Trial Rows'!G124="B",C124=1,D124=1,ISNUMBER(E124),ISNUMBER('Trial Rows'!M124),'Trial Rows'!M124&gt;=0,'Trial Rows'!M124&lt;=4,'Trial Rows'!Q124=0,'Trial Rows'!S124=0),1,0)</x:f>
        <x:v>0</x:v>
      </x:c>
      <x:c r="G124" s="2" t="n">
        <x:f>IF(F124=1,IF(E124='Trial Rows'!M124,1,0),0)</x:f>
        <x:v>0</x:v>
      </x:c>
      <x:c r="H124" s="2" t="n">
        <x:f>IF(AND(B124=1,'Trial Rows'!G124="B",C124=1,D124=1,ISNUMBER(E124),'Trial Rows'!R124=1,'Trial Rows'!Q124=0,'Trial Rows'!S124=0,ISNUMBER('Trial Rows'!L124),'Trial Rows'!L124&gt;=0,'Trial Rows'!L124&lt;=4),1,0)</x:f>
        <x:v>0</x:v>
      </x:c>
      <x:c r="I124" s="2" t="n">
        <x:f>IF(H124=1,IF(E124='Trial Rows'!L124,1,0),0)</x:f>
        <x:v>0</x:v>
      </x:c>
      <x:c r="J124" s="2" t="n">
        <x:f>IF(AND(B124=1,'Trial Rows'!G124="B",'Trial Rows'!P124&gt;0),1,0)</x:f>
        <x:v>0</x:v>
      </x:c>
      <x:c r="K124" s="2" t="n">
        <x:f>IF(AND(B124=1,'Trial Rows'!G124="B",'Trial Rows'!Q124=1),1,0)</x:f>
        <x:v>0</x:v>
      </x:c>
      <x:c r="L124" s="2" t="n">
        <x:f>IF(AND(B124=1,'Trial Rows'!G124="B",'Trial Rows'!R124=1,'Trial Rows'!Q124=0,'Trial Rows'!S124=0),1,0)</x:f>
        <x:v>0</x:v>
      </x:c>
      <x:c r="M124" s="2" t="n">
        <x:f>IF(AND(B124=1,'Trial Rows'!G124="B"),1,0)</x:f>
        <x:v>0</x:v>
      </x:c>
      <x:c r="N124" s="2" t="n">
        <x:f>IF(AND(B124=1,'Trial Rows'!I124=1,COUNTIFS('Trial Rows'!$B$2:$B$201,'Trial Rows'!B124,'Trial Rows'!$C$2:$C$201,'Trial Rows'!C124,'Trial Rows'!$F$2:$F$201,'Trial Rows'!F124,'Trial Rows'!$G$2:$G$201,'Trial Rows'!G124,'Trial Rows'!$Y$2:$Y$201,'Trial Rows'!Y124)=4,COUNTIFS('Trial Rows'!$B$2:$B$201,'Trial Rows'!B124,'Trial Rows'!$C$2:$C$201,'Trial Rows'!C124,'Trial Rows'!$F$2:$F$201,'Trial Rows'!F124,'Trial Rows'!$G$2:$G$201,'Trial Rows'!G124,'Trial Rows'!$Y$2:$Y$201,'Trial Rows'!Y124,'Trial Rows'!$I$2:$I$201,1)=1,COUNTIFS('Trial Rows'!$B$2:$B$201,'Trial Rows'!B124,'Trial Rows'!$C$2:$C$201,'Trial Rows'!C124,'Trial Rows'!$F$2:$F$201,'Trial Rows'!F124,'Trial Rows'!$G$2:$G$201,'Trial Rows'!G124,'Trial Rows'!$Y$2:$Y$201,'Trial Rows'!Y124,'Trial Rows'!$I$2:$I$201,2)=1,COUNTIFS('Trial Rows'!$B$2:$B$201,'Trial Rows'!B124,'Trial Rows'!$C$2:$C$201,'Trial Rows'!C124,'Trial Rows'!$F$2:$F$201,'Trial Rows'!F124,'Trial Rows'!$G$2:$G$201,'Trial Rows'!G124,'Trial Rows'!$Y$2:$Y$201,'Trial Rows'!Y124,'Trial Rows'!$I$2:$I$201,3)=1,COUNTIFS('Trial Rows'!$B$2:$B$201,'Trial Rows'!B124,'Trial Rows'!$C$2:$C$201,'Trial Rows'!C124,'Trial Rows'!$F$2:$F$201,'Trial Rows'!F124,'Trial Rows'!$G$2:$G$201,'Trial Rows'!G124,'Trial Rows'!$Y$2:$Y$201,'Trial Rows'!Y124,'Trial Rows'!$I$2:$I$201,4)=1,COUNTIFS('Trial Rows'!$B$2:$B$201,'Trial Rows'!B124,'Trial Rows'!$C$2:$C$201,'Trial Rows'!C124,'Trial Rows'!$F$2:$F$201,'Trial Rows'!F124,'Trial Rows'!$G$2:$G$201,'Trial Rows'!G124,'Trial Rows'!$Y$2:$Y$201,'Trial Rows'!Y124,'Trial Rows'!$W$2:$W$201,"&lt;&gt;")=4,ISNUMBER('Trial Rows'!U124),COUNTIFS('Trial Rows'!$B$2:$B$201,'Trial Rows'!B124,'Trial Rows'!$C$2:$C$201,'Trial Rows'!C124,'Trial Rows'!$F$2:$F$201,'Trial Rows'!F124,'Trial Rows'!$G$2:$G$201,'Trial Rows'!G124,'Trial Rows'!$Y$2:$Y$201,'Trial Rows'!Y124,'Trial Rows'!$U$2:$U$201,'Trial Rows'!U124)=4,'Trial Rows'!U124&gt;=0),1,0)</x:f>
        <x:v>0</x:v>
      </x:c>
      <x:c r="O124" s="2" t="str">
        <x:f>IF(N124=1,'Trial Rows'!U124/1000,"")</x:f>
      </x:c>
      <x:c r="P124" s="2" t="str">
        <x:f>IF(AND(N124=1,'Trial Rows'!G124="A"),O124,"")</x:f>
      </x:c>
      <x:c r="Q124" s="2" t="str">
        <x:f>IF(AND(N124=1,'Trial Rows'!G124="B"),O124,"")</x:f>
      </x:c>
      <x:c r="R124" s="2" t="str">
        <x:f>IF(AND(N124=1,COUNTIFS('Trial Rows'!$B$2:$B$201,'Trial Rows'!B124,'Trial Rows'!$C$2:$C$201,'Trial Rows'!C124,'Trial Rows'!$F$2:$F$201,'Trial Rows'!F124,'Trial Rows'!$G$2:$G$201,'Trial Rows'!G124,'Trial Rows'!$Y$2:$Y$201,'Trial Rows'!Y124,'Trial Rows'!$N$2:$N$201,"&gt;=0",'Trial Rows'!$N$2:$N$201,"&lt;=4",'Trial Rows'!$N$2:$N$201,"&lt;&gt;")=4),SUMIFS('Trial Rows'!$N$2:$N$201,'Trial Rows'!$B$2:$B$201,'Trial Rows'!B124,'Trial Rows'!$C$2:$C$201,'Trial Rows'!C124,'Trial Rows'!$F$2:$F$201,'Trial Rows'!F124,'Trial Rows'!$G$2:$G$201,'Trial Rows'!G124,'Trial Rows'!$Y$2:$Y$201,'Trial Rows'!Y124,'Trial Rows'!$I$2:$I$201,1)+4-SUMIFS('Trial Rows'!$N$2:$N$201,'Trial Rows'!$B$2:$B$201,'Trial Rows'!B124,'Trial Rows'!$C$2:$C$201,'Trial Rows'!C124,'Trial Rows'!$F$2:$F$201,'Trial Rows'!F124,'Trial Rows'!$G$2:$G$201,'Trial Rows'!G124,'Trial Rows'!$Y$2:$Y$201,'Trial Rows'!Y124,'Trial Rows'!$I$2:$I$201,2)+4-SUMIFS('Trial Rows'!$N$2:$N$201,'Trial Rows'!$B$2:$B$201,'Trial Rows'!B124,'Trial Rows'!$C$2:$C$201,'Trial Rows'!C124,'Trial Rows'!$F$2:$F$201,'Trial Rows'!F124,'Trial Rows'!$G$2:$G$201,'Trial Rows'!G124,'Trial Rows'!$Y$2:$Y$201,'Trial Rows'!Y124,'Trial Rows'!$I$2:$I$201,3)+SUMIFS('Trial Rows'!$N$2:$N$201,'Trial Rows'!$B$2:$B$201,'Trial Rows'!B124,'Trial Rows'!$C$2:$C$201,'Trial Rows'!C124,'Trial Rows'!$F$2:$F$201,'Trial Rows'!F124,'Trial Rows'!$G$2:$G$201,'Trial Rows'!G124,'Trial Rows'!$Y$2:$Y$201,'Trial Rows'!Y124,'Trial Rows'!$I$2:$I$201,4),"")</x:f>
      </x:c>
      <x:c r="S124" s="2" t="n">
        <x:f>IF(AND(B124=1,COUNTIFS('Trial Rows'!$C$2:C124,'Trial Rows'!C124,'Trial Rows'!$F$2:F124,Summary!$B$5,'Trial Rows'!$Y$2:Y124,Summary!$B$4)=1),1,0)</x:f>
        <x:v>0</x:v>
      </x:c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 t="str">
        <x:f>IF('Trial Rows'!A125="","",'Trial Rows'!F125&amp;"|"&amp;'Trial Rows'!B125&amp;"|"&amp;'Trial Rows'!C125&amp;"|"&amp;'Trial Rows'!I125)</x:f>
      </x:c>
      <x:c r="B125" s="2" t="n">
        <x:f>IF(AND('Trial Rows'!A125&lt;&gt;"",'Trial Rows'!Y125=Summary!$B$4,'Trial Rows'!F125=Summary!$B$5),1,0)</x:f>
        <x:v>0</x:v>
      </x:c>
      <x:c r="C125" s="2" t="n">
        <x:f>IF(B125=1,COUNTIFS('Trial Rows'!$B$2:$B$201,'Trial Rows'!B125,'Trial Rows'!$C$2:$C$201,'Trial Rows'!C125,'Trial Rows'!$F$2:$F$201,'Trial Rows'!F125,'Trial Rows'!$I$2:$I$201,'Trial Rows'!I125,'Trial Rows'!$Y$2:$Y$201,'Trial Rows'!Y125,'Trial Rows'!$G$2:$G$201,"A"),0)</x:f>
        <x:v>0</x:v>
      </x:c>
      <x:c r="D125" s="2" t="n">
        <x:f>IF(B125=1,COUNTIFS('Trial Rows'!$B$2:$B$201,'Trial Rows'!B125,'Trial Rows'!$C$2:$C$201,'Trial Rows'!C125,'Trial Rows'!$F$2:$F$201,'Trial Rows'!F125,'Trial Rows'!$I$2:$I$201,'Trial Rows'!I125,'Trial Rows'!$Y$2:$Y$201,'Trial Rows'!Y125,'Trial Rows'!$G$2:$G$201,"B"),0)</x:f>
        <x:v>0</x:v>
      </x:c>
      <x:c r="E125" s="2" t="str">
        <x:f>IF(AND(C125=1,COUNTIFS('Trial Rows'!$B$2:$B$201,'Trial Rows'!B125,'Trial Rows'!$C$2:$C$201,'Trial Rows'!C125,'Trial Rows'!$F$2:$F$201,'Trial Rows'!F125,'Trial Rows'!$I$2:$I$201,'Trial Rows'!I125,'Trial Rows'!$Y$2:$Y$201,'Trial Rows'!Y125,'Trial Rows'!$G$2:$G$201,"A",'Trial Rows'!$K$2:$K$201,"&gt;=0",'Trial Rows'!$K$2:$K$201,"&lt;=4",'Trial Rows'!$K$2:$K$201,"&lt;&gt;")=1),SUMIFS('Trial Rows'!$K$2:$K$201,'Trial Rows'!$B$2:$B$201,'Trial Rows'!B125,'Trial Rows'!$C$2:$C$201,'Trial Rows'!C125,'Trial Rows'!$F$2:$F$201,'Trial Rows'!F125,'Trial Rows'!$I$2:$I$201,'Trial Rows'!I125,'Trial Rows'!$Y$2:$Y$201,'Trial Rows'!Y125,'Trial Rows'!$G$2:$G$201,"A"),"")</x:f>
      </x:c>
      <x:c r="F125" s="2" t="n">
        <x:f>IF(AND(B125=1,'Trial Rows'!G125="B",C125=1,D125=1,ISNUMBER(E125),ISNUMBER('Trial Rows'!M125),'Trial Rows'!M125&gt;=0,'Trial Rows'!M125&lt;=4,'Trial Rows'!Q125=0,'Trial Rows'!S125=0),1,0)</x:f>
        <x:v>0</x:v>
      </x:c>
      <x:c r="G125" s="2" t="n">
        <x:f>IF(F125=1,IF(E125='Trial Rows'!M125,1,0),0)</x:f>
        <x:v>0</x:v>
      </x:c>
      <x:c r="H125" s="2" t="n">
        <x:f>IF(AND(B125=1,'Trial Rows'!G125="B",C125=1,D125=1,ISNUMBER(E125),'Trial Rows'!R125=1,'Trial Rows'!Q125=0,'Trial Rows'!S125=0,ISNUMBER('Trial Rows'!L125),'Trial Rows'!L125&gt;=0,'Trial Rows'!L125&lt;=4),1,0)</x:f>
        <x:v>0</x:v>
      </x:c>
      <x:c r="I125" s="2" t="n">
        <x:f>IF(H125=1,IF(E125='Trial Rows'!L125,1,0),0)</x:f>
        <x:v>0</x:v>
      </x:c>
      <x:c r="J125" s="2" t="n">
        <x:f>IF(AND(B125=1,'Trial Rows'!G125="B",'Trial Rows'!P125&gt;0),1,0)</x:f>
        <x:v>0</x:v>
      </x:c>
      <x:c r="K125" s="2" t="n">
        <x:f>IF(AND(B125=1,'Trial Rows'!G125="B",'Trial Rows'!Q125=1),1,0)</x:f>
        <x:v>0</x:v>
      </x:c>
      <x:c r="L125" s="2" t="n">
        <x:f>IF(AND(B125=1,'Trial Rows'!G125="B",'Trial Rows'!R125=1,'Trial Rows'!Q125=0,'Trial Rows'!S125=0),1,0)</x:f>
        <x:v>0</x:v>
      </x:c>
      <x:c r="M125" s="2" t="n">
        <x:f>IF(AND(B125=1,'Trial Rows'!G125="B"),1,0)</x:f>
        <x:v>0</x:v>
      </x:c>
      <x:c r="N125" s="2" t="n">
        <x:f>IF(AND(B125=1,'Trial Rows'!I125=1,COUNTIFS('Trial Rows'!$B$2:$B$201,'Trial Rows'!B125,'Trial Rows'!$C$2:$C$201,'Trial Rows'!C125,'Trial Rows'!$F$2:$F$201,'Trial Rows'!F125,'Trial Rows'!$G$2:$G$201,'Trial Rows'!G125,'Trial Rows'!$Y$2:$Y$201,'Trial Rows'!Y125)=4,COUNTIFS('Trial Rows'!$B$2:$B$201,'Trial Rows'!B125,'Trial Rows'!$C$2:$C$201,'Trial Rows'!C125,'Trial Rows'!$F$2:$F$201,'Trial Rows'!F125,'Trial Rows'!$G$2:$G$201,'Trial Rows'!G125,'Trial Rows'!$Y$2:$Y$201,'Trial Rows'!Y125,'Trial Rows'!$I$2:$I$201,1)=1,COUNTIFS('Trial Rows'!$B$2:$B$201,'Trial Rows'!B125,'Trial Rows'!$C$2:$C$201,'Trial Rows'!C125,'Trial Rows'!$F$2:$F$201,'Trial Rows'!F125,'Trial Rows'!$G$2:$G$201,'Trial Rows'!G125,'Trial Rows'!$Y$2:$Y$201,'Trial Rows'!Y125,'Trial Rows'!$I$2:$I$201,2)=1,COUNTIFS('Trial Rows'!$B$2:$B$201,'Trial Rows'!B125,'Trial Rows'!$C$2:$C$201,'Trial Rows'!C125,'Trial Rows'!$F$2:$F$201,'Trial Rows'!F125,'Trial Rows'!$G$2:$G$201,'Trial Rows'!G125,'Trial Rows'!$Y$2:$Y$201,'Trial Rows'!Y125,'Trial Rows'!$I$2:$I$201,3)=1,COUNTIFS('Trial Rows'!$B$2:$B$201,'Trial Rows'!B125,'Trial Rows'!$C$2:$C$201,'Trial Rows'!C125,'Trial Rows'!$F$2:$F$201,'Trial Rows'!F125,'Trial Rows'!$G$2:$G$201,'Trial Rows'!G125,'Trial Rows'!$Y$2:$Y$201,'Trial Rows'!Y125,'Trial Rows'!$I$2:$I$201,4)=1,COUNTIFS('Trial Rows'!$B$2:$B$201,'Trial Rows'!B125,'Trial Rows'!$C$2:$C$201,'Trial Rows'!C125,'Trial Rows'!$F$2:$F$201,'Trial Rows'!F125,'Trial Rows'!$G$2:$G$201,'Trial Rows'!G125,'Trial Rows'!$Y$2:$Y$201,'Trial Rows'!Y125,'Trial Rows'!$W$2:$W$201,"&lt;&gt;")=4,ISNUMBER('Trial Rows'!U125),COUNTIFS('Trial Rows'!$B$2:$B$201,'Trial Rows'!B125,'Trial Rows'!$C$2:$C$201,'Trial Rows'!C125,'Trial Rows'!$F$2:$F$201,'Trial Rows'!F125,'Trial Rows'!$G$2:$G$201,'Trial Rows'!G125,'Trial Rows'!$Y$2:$Y$201,'Trial Rows'!Y125,'Trial Rows'!$U$2:$U$201,'Trial Rows'!U125)=4,'Trial Rows'!U125&gt;=0),1,0)</x:f>
        <x:v>0</x:v>
      </x:c>
      <x:c r="O125" s="2" t="str">
        <x:f>IF(N125=1,'Trial Rows'!U125/1000,"")</x:f>
      </x:c>
      <x:c r="P125" s="2" t="str">
        <x:f>IF(AND(N125=1,'Trial Rows'!G125="A"),O125,"")</x:f>
      </x:c>
      <x:c r="Q125" s="2" t="str">
        <x:f>IF(AND(N125=1,'Trial Rows'!G125="B"),O125,"")</x:f>
      </x:c>
      <x:c r="R125" s="2" t="str">
        <x:f>IF(AND(N125=1,COUNTIFS('Trial Rows'!$B$2:$B$201,'Trial Rows'!B125,'Trial Rows'!$C$2:$C$201,'Trial Rows'!C125,'Trial Rows'!$F$2:$F$201,'Trial Rows'!F125,'Trial Rows'!$G$2:$G$201,'Trial Rows'!G125,'Trial Rows'!$Y$2:$Y$201,'Trial Rows'!Y125,'Trial Rows'!$N$2:$N$201,"&gt;=0",'Trial Rows'!$N$2:$N$201,"&lt;=4",'Trial Rows'!$N$2:$N$201,"&lt;&gt;")=4),SUMIFS('Trial Rows'!$N$2:$N$201,'Trial Rows'!$B$2:$B$201,'Trial Rows'!B125,'Trial Rows'!$C$2:$C$201,'Trial Rows'!C125,'Trial Rows'!$F$2:$F$201,'Trial Rows'!F125,'Trial Rows'!$G$2:$G$201,'Trial Rows'!G125,'Trial Rows'!$Y$2:$Y$201,'Trial Rows'!Y125,'Trial Rows'!$I$2:$I$201,1)+4-SUMIFS('Trial Rows'!$N$2:$N$201,'Trial Rows'!$B$2:$B$201,'Trial Rows'!B125,'Trial Rows'!$C$2:$C$201,'Trial Rows'!C125,'Trial Rows'!$F$2:$F$201,'Trial Rows'!F125,'Trial Rows'!$G$2:$G$201,'Trial Rows'!G125,'Trial Rows'!$Y$2:$Y$201,'Trial Rows'!Y125,'Trial Rows'!$I$2:$I$201,2)+4-SUMIFS('Trial Rows'!$N$2:$N$201,'Trial Rows'!$B$2:$B$201,'Trial Rows'!B125,'Trial Rows'!$C$2:$C$201,'Trial Rows'!C125,'Trial Rows'!$F$2:$F$201,'Trial Rows'!F125,'Trial Rows'!$G$2:$G$201,'Trial Rows'!G125,'Trial Rows'!$Y$2:$Y$201,'Trial Rows'!Y125,'Trial Rows'!$I$2:$I$201,3)+SUMIFS('Trial Rows'!$N$2:$N$201,'Trial Rows'!$B$2:$B$201,'Trial Rows'!B125,'Trial Rows'!$C$2:$C$201,'Trial Rows'!C125,'Trial Rows'!$F$2:$F$201,'Trial Rows'!F125,'Trial Rows'!$G$2:$G$201,'Trial Rows'!G125,'Trial Rows'!$Y$2:$Y$201,'Trial Rows'!Y125,'Trial Rows'!$I$2:$I$201,4),"")</x:f>
      </x:c>
      <x:c r="S125" s="2" t="n">
        <x:f>IF(AND(B125=1,COUNTIFS('Trial Rows'!$C$2:C125,'Trial Rows'!C125,'Trial Rows'!$F$2:F125,Summary!$B$5,'Trial Rows'!$Y$2:Y125,Summary!$B$4)=1),1,0)</x:f>
        <x:v>0</x:v>
      </x:c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 t="str">
        <x:f>IF('Trial Rows'!A126="","",'Trial Rows'!F126&amp;"|"&amp;'Trial Rows'!B126&amp;"|"&amp;'Trial Rows'!C126&amp;"|"&amp;'Trial Rows'!I126)</x:f>
      </x:c>
      <x:c r="B126" s="2" t="n">
        <x:f>IF(AND('Trial Rows'!A126&lt;&gt;"",'Trial Rows'!Y126=Summary!$B$4,'Trial Rows'!F126=Summary!$B$5),1,0)</x:f>
        <x:v>0</x:v>
      </x:c>
      <x:c r="C126" s="2" t="n">
        <x:f>IF(B126=1,COUNTIFS('Trial Rows'!$B$2:$B$201,'Trial Rows'!B126,'Trial Rows'!$C$2:$C$201,'Trial Rows'!C126,'Trial Rows'!$F$2:$F$201,'Trial Rows'!F126,'Trial Rows'!$I$2:$I$201,'Trial Rows'!I126,'Trial Rows'!$Y$2:$Y$201,'Trial Rows'!Y126,'Trial Rows'!$G$2:$G$201,"A"),0)</x:f>
        <x:v>0</x:v>
      </x:c>
      <x:c r="D126" s="2" t="n">
        <x:f>IF(B126=1,COUNTIFS('Trial Rows'!$B$2:$B$201,'Trial Rows'!B126,'Trial Rows'!$C$2:$C$201,'Trial Rows'!C126,'Trial Rows'!$F$2:$F$201,'Trial Rows'!F126,'Trial Rows'!$I$2:$I$201,'Trial Rows'!I126,'Trial Rows'!$Y$2:$Y$201,'Trial Rows'!Y126,'Trial Rows'!$G$2:$G$201,"B"),0)</x:f>
        <x:v>0</x:v>
      </x:c>
      <x:c r="E126" s="2" t="str">
        <x:f>IF(AND(C126=1,COUNTIFS('Trial Rows'!$B$2:$B$201,'Trial Rows'!B126,'Trial Rows'!$C$2:$C$201,'Trial Rows'!C126,'Trial Rows'!$F$2:$F$201,'Trial Rows'!F126,'Trial Rows'!$I$2:$I$201,'Trial Rows'!I126,'Trial Rows'!$Y$2:$Y$201,'Trial Rows'!Y126,'Trial Rows'!$G$2:$G$201,"A",'Trial Rows'!$K$2:$K$201,"&gt;=0",'Trial Rows'!$K$2:$K$201,"&lt;=4",'Trial Rows'!$K$2:$K$201,"&lt;&gt;")=1),SUMIFS('Trial Rows'!$K$2:$K$201,'Trial Rows'!$B$2:$B$201,'Trial Rows'!B126,'Trial Rows'!$C$2:$C$201,'Trial Rows'!C126,'Trial Rows'!$F$2:$F$201,'Trial Rows'!F126,'Trial Rows'!$I$2:$I$201,'Trial Rows'!I126,'Trial Rows'!$Y$2:$Y$201,'Trial Rows'!Y126,'Trial Rows'!$G$2:$G$201,"A"),"")</x:f>
      </x:c>
      <x:c r="F126" s="2" t="n">
        <x:f>IF(AND(B126=1,'Trial Rows'!G126="B",C126=1,D126=1,ISNUMBER(E126),ISNUMBER('Trial Rows'!M126),'Trial Rows'!M126&gt;=0,'Trial Rows'!M126&lt;=4,'Trial Rows'!Q126=0,'Trial Rows'!S126=0),1,0)</x:f>
        <x:v>0</x:v>
      </x:c>
      <x:c r="G126" s="2" t="n">
        <x:f>IF(F126=1,IF(E126='Trial Rows'!M126,1,0),0)</x:f>
        <x:v>0</x:v>
      </x:c>
      <x:c r="H126" s="2" t="n">
        <x:f>IF(AND(B126=1,'Trial Rows'!G126="B",C126=1,D126=1,ISNUMBER(E126),'Trial Rows'!R126=1,'Trial Rows'!Q126=0,'Trial Rows'!S126=0,ISNUMBER('Trial Rows'!L126),'Trial Rows'!L126&gt;=0,'Trial Rows'!L126&lt;=4),1,0)</x:f>
        <x:v>0</x:v>
      </x:c>
      <x:c r="I126" s="2" t="n">
        <x:f>IF(H126=1,IF(E126='Trial Rows'!L126,1,0),0)</x:f>
        <x:v>0</x:v>
      </x:c>
      <x:c r="J126" s="2" t="n">
        <x:f>IF(AND(B126=1,'Trial Rows'!G126="B",'Trial Rows'!P126&gt;0),1,0)</x:f>
        <x:v>0</x:v>
      </x:c>
      <x:c r="K126" s="2" t="n">
        <x:f>IF(AND(B126=1,'Trial Rows'!G126="B",'Trial Rows'!Q126=1),1,0)</x:f>
        <x:v>0</x:v>
      </x:c>
      <x:c r="L126" s="2" t="n">
        <x:f>IF(AND(B126=1,'Trial Rows'!G126="B",'Trial Rows'!R126=1,'Trial Rows'!Q126=0,'Trial Rows'!S126=0),1,0)</x:f>
        <x:v>0</x:v>
      </x:c>
      <x:c r="M126" s="2" t="n">
        <x:f>IF(AND(B126=1,'Trial Rows'!G126="B"),1,0)</x:f>
        <x:v>0</x:v>
      </x:c>
      <x:c r="N126" s="2" t="n">
        <x:f>IF(AND(B126=1,'Trial Rows'!I126=1,COUNTIFS('Trial Rows'!$B$2:$B$201,'Trial Rows'!B126,'Trial Rows'!$C$2:$C$201,'Trial Rows'!C126,'Trial Rows'!$F$2:$F$201,'Trial Rows'!F126,'Trial Rows'!$G$2:$G$201,'Trial Rows'!G126,'Trial Rows'!$Y$2:$Y$201,'Trial Rows'!Y126)=4,COUNTIFS('Trial Rows'!$B$2:$B$201,'Trial Rows'!B126,'Trial Rows'!$C$2:$C$201,'Trial Rows'!C126,'Trial Rows'!$F$2:$F$201,'Trial Rows'!F126,'Trial Rows'!$G$2:$G$201,'Trial Rows'!G126,'Trial Rows'!$Y$2:$Y$201,'Trial Rows'!Y126,'Trial Rows'!$I$2:$I$201,1)=1,COUNTIFS('Trial Rows'!$B$2:$B$201,'Trial Rows'!B126,'Trial Rows'!$C$2:$C$201,'Trial Rows'!C126,'Trial Rows'!$F$2:$F$201,'Trial Rows'!F126,'Trial Rows'!$G$2:$G$201,'Trial Rows'!G126,'Trial Rows'!$Y$2:$Y$201,'Trial Rows'!Y126,'Trial Rows'!$I$2:$I$201,2)=1,COUNTIFS('Trial Rows'!$B$2:$B$201,'Trial Rows'!B126,'Trial Rows'!$C$2:$C$201,'Trial Rows'!C126,'Trial Rows'!$F$2:$F$201,'Trial Rows'!F126,'Trial Rows'!$G$2:$G$201,'Trial Rows'!G126,'Trial Rows'!$Y$2:$Y$201,'Trial Rows'!Y126,'Trial Rows'!$I$2:$I$201,3)=1,COUNTIFS('Trial Rows'!$B$2:$B$201,'Trial Rows'!B126,'Trial Rows'!$C$2:$C$201,'Trial Rows'!C126,'Trial Rows'!$F$2:$F$201,'Trial Rows'!F126,'Trial Rows'!$G$2:$G$201,'Trial Rows'!G126,'Trial Rows'!$Y$2:$Y$201,'Trial Rows'!Y126,'Trial Rows'!$I$2:$I$201,4)=1,COUNTIFS('Trial Rows'!$B$2:$B$201,'Trial Rows'!B126,'Trial Rows'!$C$2:$C$201,'Trial Rows'!C126,'Trial Rows'!$F$2:$F$201,'Trial Rows'!F126,'Trial Rows'!$G$2:$G$201,'Trial Rows'!G126,'Trial Rows'!$Y$2:$Y$201,'Trial Rows'!Y126,'Trial Rows'!$W$2:$W$201,"&lt;&gt;")=4,ISNUMBER('Trial Rows'!U126),COUNTIFS('Trial Rows'!$B$2:$B$201,'Trial Rows'!B126,'Trial Rows'!$C$2:$C$201,'Trial Rows'!C126,'Trial Rows'!$F$2:$F$201,'Trial Rows'!F126,'Trial Rows'!$G$2:$G$201,'Trial Rows'!G126,'Trial Rows'!$Y$2:$Y$201,'Trial Rows'!Y126,'Trial Rows'!$U$2:$U$201,'Trial Rows'!U126)=4,'Trial Rows'!U126&gt;=0),1,0)</x:f>
        <x:v>0</x:v>
      </x:c>
      <x:c r="O126" s="2" t="str">
        <x:f>IF(N126=1,'Trial Rows'!U126/1000,"")</x:f>
      </x:c>
      <x:c r="P126" s="2" t="str">
        <x:f>IF(AND(N126=1,'Trial Rows'!G126="A"),O126,"")</x:f>
      </x:c>
      <x:c r="Q126" s="2" t="str">
        <x:f>IF(AND(N126=1,'Trial Rows'!G126="B"),O126,"")</x:f>
      </x:c>
      <x:c r="R126" s="2" t="str">
        <x:f>IF(AND(N126=1,COUNTIFS('Trial Rows'!$B$2:$B$201,'Trial Rows'!B126,'Trial Rows'!$C$2:$C$201,'Trial Rows'!C126,'Trial Rows'!$F$2:$F$201,'Trial Rows'!F126,'Trial Rows'!$G$2:$G$201,'Trial Rows'!G126,'Trial Rows'!$Y$2:$Y$201,'Trial Rows'!Y126,'Trial Rows'!$N$2:$N$201,"&gt;=0",'Trial Rows'!$N$2:$N$201,"&lt;=4",'Trial Rows'!$N$2:$N$201,"&lt;&gt;")=4),SUMIFS('Trial Rows'!$N$2:$N$201,'Trial Rows'!$B$2:$B$201,'Trial Rows'!B126,'Trial Rows'!$C$2:$C$201,'Trial Rows'!C126,'Trial Rows'!$F$2:$F$201,'Trial Rows'!F126,'Trial Rows'!$G$2:$G$201,'Trial Rows'!G126,'Trial Rows'!$Y$2:$Y$201,'Trial Rows'!Y126,'Trial Rows'!$I$2:$I$201,1)+4-SUMIFS('Trial Rows'!$N$2:$N$201,'Trial Rows'!$B$2:$B$201,'Trial Rows'!B126,'Trial Rows'!$C$2:$C$201,'Trial Rows'!C126,'Trial Rows'!$F$2:$F$201,'Trial Rows'!F126,'Trial Rows'!$G$2:$G$201,'Trial Rows'!G126,'Trial Rows'!$Y$2:$Y$201,'Trial Rows'!Y126,'Trial Rows'!$I$2:$I$201,2)+4-SUMIFS('Trial Rows'!$N$2:$N$201,'Trial Rows'!$B$2:$B$201,'Trial Rows'!B126,'Trial Rows'!$C$2:$C$201,'Trial Rows'!C126,'Trial Rows'!$F$2:$F$201,'Trial Rows'!F126,'Trial Rows'!$G$2:$G$201,'Trial Rows'!G126,'Trial Rows'!$Y$2:$Y$201,'Trial Rows'!Y126,'Trial Rows'!$I$2:$I$201,3)+SUMIFS('Trial Rows'!$N$2:$N$201,'Trial Rows'!$B$2:$B$201,'Trial Rows'!B126,'Trial Rows'!$C$2:$C$201,'Trial Rows'!C126,'Trial Rows'!$F$2:$F$201,'Trial Rows'!F126,'Trial Rows'!$G$2:$G$201,'Trial Rows'!G126,'Trial Rows'!$Y$2:$Y$201,'Trial Rows'!Y126,'Trial Rows'!$I$2:$I$201,4),"")</x:f>
      </x:c>
      <x:c r="S126" s="2" t="n">
        <x:f>IF(AND(B126=1,COUNTIFS('Trial Rows'!$C$2:C126,'Trial Rows'!C126,'Trial Rows'!$F$2:F126,Summary!$B$5,'Trial Rows'!$Y$2:Y126,Summary!$B$4)=1),1,0)</x:f>
        <x:v>0</x:v>
      </x:c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 t="str">
        <x:f>IF('Trial Rows'!A127="","",'Trial Rows'!F127&amp;"|"&amp;'Trial Rows'!B127&amp;"|"&amp;'Trial Rows'!C127&amp;"|"&amp;'Trial Rows'!I127)</x:f>
      </x:c>
      <x:c r="B127" s="2" t="n">
        <x:f>IF(AND('Trial Rows'!A127&lt;&gt;"",'Trial Rows'!Y127=Summary!$B$4,'Trial Rows'!F127=Summary!$B$5),1,0)</x:f>
        <x:v>0</x:v>
      </x:c>
      <x:c r="C127" s="2" t="n">
        <x:f>IF(B127=1,COUNTIFS('Trial Rows'!$B$2:$B$201,'Trial Rows'!B127,'Trial Rows'!$C$2:$C$201,'Trial Rows'!C127,'Trial Rows'!$F$2:$F$201,'Trial Rows'!F127,'Trial Rows'!$I$2:$I$201,'Trial Rows'!I127,'Trial Rows'!$Y$2:$Y$201,'Trial Rows'!Y127,'Trial Rows'!$G$2:$G$201,"A"),0)</x:f>
        <x:v>0</x:v>
      </x:c>
      <x:c r="D127" s="2" t="n">
        <x:f>IF(B127=1,COUNTIFS('Trial Rows'!$B$2:$B$201,'Trial Rows'!B127,'Trial Rows'!$C$2:$C$201,'Trial Rows'!C127,'Trial Rows'!$F$2:$F$201,'Trial Rows'!F127,'Trial Rows'!$I$2:$I$201,'Trial Rows'!I127,'Trial Rows'!$Y$2:$Y$201,'Trial Rows'!Y127,'Trial Rows'!$G$2:$G$201,"B"),0)</x:f>
        <x:v>0</x:v>
      </x:c>
      <x:c r="E127" s="2" t="str">
        <x:f>IF(AND(C127=1,COUNTIFS('Trial Rows'!$B$2:$B$201,'Trial Rows'!B127,'Trial Rows'!$C$2:$C$201,'Trial Rows'!C127,'Trial Rows'!$F$2:$F$201,'Trial Rows'!F127,'Trial Rows'!$I$2:$I$201,'Trial Rows'!I127,'Trial Rows'!$Y$2:$Y$201,'Trial Rows'!Y127,'Trial Rows'!$G$2:$G$201,"A",'Trial Rows'!$K$2:$K$201,"&gt;=0",'Trial Rows'!$K$2:$K$201,"&lt;=4",'Trial Rows'!$K$2:$K$201,"&lt;&gt;")=1),SUMIFS('Trial Rows'!$K$2:$K$201,'Trial Rows'!$B$2:$B$201,'Trial Rows'!B127,'Trial Rows'!$C$2:$C$201,'Trial Rows'!C127,'Trial Rows'!$F$2:$F$201,'Trial Rows'!F127,'Trial Rows'!$I$2:$I$201,'Trial Rows'!I127,'Trial Rows'!$Y$2:$Y$201,'Trial Rows'!Y127,'Trial Rows'!$G$2:$G$201,"A"),"")</x:f>
      </x:c>
      <x:c r="F127" s="2" t="n">
        <x:f>IF(AND(B127=1,'Trial Rows'!G127="B",C127=1,D127=1,ISNUMBER(E127),ISNUMBER('Trial Rows'!M127),'Trial Rows'!M127&gt;=0,'Trial Rows'!M127&lt;=4,'Trial Rows'!Q127=0,'Trial Rows'!S127=0),1,0)</x:f>
        <x:v>0</x:v>
      </x:c>
      <x:c r="G127" s="2" t="n">
        <x:f>IF(F127=1,IF(E127='Trial Rows'!M127,1,0),0)</x:f>
        <x:v>0</x:v>
      </x:c>
      <x:c r="H127" s="2" t="n">
        <x:f>IF(AND(B127=1,'Trial Rows'!G127="B",C127=1,D127=1,ISNUMBER(E127),'Trial Rows'!R127=1,'Trial Rows'!Q127=0,'Trial Rows'!S127=0,ISNUMBER('Trial Rows'!L127),'Trial Rows'!L127&gt;=0,'Trial Rows'!L127&lt;=4),1,0)</x:f>
        <x:v>0</x:v>
      </x:c>
      <x:c r="I127" s="2" t="n">
        <x:f>IF(H127=1,IF(E127='Trial Rows'!L127,1,0),0)</x:f>
        <x:v>0</x:v>
      </x:c>
      <x:c r="J127" s="2" t="n">
        <x:f>IF(AND(B127=1,'Trial Rows'!G127="B",'Trial Rows'!P127&gt;0),1,0)</x:f>
        <x:v>0</x:v>
      </x:c>
      <x:c r="K127" s="2" t="n">
        <x:f>IF(AND(B127=1,'Trial Rows'!G127="B",'Trial Rows'!Q127=1),1,0)</x:f>
        <x:v>0</x:v>
      </x:c>
      <x:c r="L127" s="2" t="n">
        <x:f>IF(AND(B127=1,'Trial Rows'!G127="B",'Trial Rows'!R127=1,'Trial Rows'!Q127=0,'Trial Rows'!S127=0),1,0)</x:f>
        <x:v>0</x:v>
      </x:c>
      <x:c r="M127" s="2" t="n">
        <x:f>IF(AND(B127=1,'Trial Rows'!G127="B"),1,0)</x:f>
        <x:v>0</x:v>
      </x:c>
      <x:c r="N127" s="2" t="n">
        <x:f>IF(AND(B127=1,'Trial Rows'!I127=1,COUNTIFS('Trial Rows'!$B$2:$B$201,'Trial Rows'!B127,'Trial Rows'!$C$2:$C$201,'Trial Rows'!C127,'Trial Rows'!$F$2:$F$201,'Trial Rows'!F127,'Trial Rows'!$G$2:$G$201,'Trial Rows'!G127,'Trial Rows'!$Y$2:$Y$201,'Trial Rows'!Y127)=4,COUNTIFS('Trial Rows'!$B$2:$B$201,'Trial Rows'!B127,'Trial Rows'!$C$2:$C$201,'Trial Rows'!C127,'Trial Rows'!$F$2:$F$201,'Trial Rows'!F127,'Trial Rows'!$G$2:$G$201,'Trial Rows'!G127,'Trial Rows'!$Y$2:$Y$201,'Trial Rows'!Y127,'Trial Rows'!$I$2:$I$201,1)=1,COUNTIFS('Trial Rows'!$B$2:$B$201,'Trial Rows'!B127,'Trial Rows'!$C$2:$C$201,'Trial Rows'!C127,'Trial Rows'!$F$2:$F$201,'Trial Rows'!F127,'Trial Rows'!$G$2:$G$201,'Trial Rows'!G127,'Trial Rows'!$Y$2:$Y$201,'Trial Rows'!Y127,'Trial Rows'!$I$2:$I$201,2)=1,COUNTIFS('Trial Rows'!$B$2:$B$201,'Trial Rows'!B127,'Trial Rows'!$C$2:$C$201,'Trial Rows'!C127,'Trial Rows'!$F$2:$F$201,'Trial Rows'!F127,'Trial Rows'!$G$2:$G$201,'Trial Rows'!G127,'Trial Rows'!$Y$2:$Y$201,'Trial Rows'!Y127,'Trial Rows'!$I$2:$I$201,3)=1,COUNTIFS('Trial Rows'!$B$2:$B$201,'Trial Rows'!B127,'Trial Rows'!$C$2:$C$201,'Trial Rows'!C127,'Trial Rows'!$F$2:$F$201,'Trial Rows'!F127,'Trial Rows'!$G$2:$G$201,'Trial Rows'!G127,'Trial Rows'!$Y$2:$Y$201,'Trial Rows'!Y127,'Trial Rows'!$I$2:$I$201,4)=1,COUNTIFS('Trial Rows'!$B$2:$B$201,'Trial Rows'!B127,'Trial Rows'!$C$2:$C$201,'Trial Rows'!C127,'Trial Rows'!$F$2:$F$201,'Trial Rows'!F127,'Trial Rows'!$G$2:$G$201,'Trial Rows'!G127,'Trial Rows'!$Y$2:$Y$201,'Trial Rows'!Y127,'Trial Rows'!$W$2:$W$201,"&lt;&gt;")=4,ISNUMBER('Trial Rows'!U127),COUNTIFS('Trial Rows'!$B$2:$B$201,'Trial Rows'!B127,'Trial Rows'!$C$2:$C$201,'Trial Rows'!C127,'Trial Rows'!$F$2:$F$201,'Trial Rows'!F127,'Trial Rows'!$G$2:$G$201,'Trial Rows'!G127,'Trial Rows'!$Y$2:$Y$201,'Trial Rows'!Y127,'Trial Rows'!$U$2:$U$201,'Trial Rows'!U127)=4,'Trial Rows'!U127&gt;=0),1,0)</x:f>
        <x:v>0</x:v>
      </x:c>
      <x:c r="O127" s="2" t="str">
        <x:f>IF(N127=1,'Trial Rows'!U127/1000,"")</x:f>
      </x:c>
      <x:c r="P127" s="2" t="str">
        <x:f>IF(AND(N127=1,'Trial Rows'!G127="A"),O127,"")</x:f>
      </x:c>
      <x:c r="Q127" s="2" t="str">
        <x:f>IF(AND(N127=1,'Trial Rows'!G127="B"),O127,"")</x:f>
      </x:c>
      <x:c r="R127" s="2" t="str">
        <x:f>IF(AND(N127=1,COUNTIFS('Trial Rows'!$B$2:$B$201,'Trial Rows'!B127,'Trial Rows'!$C$2:$C$201,'Trial Rows'!C127,'Trial Rows'!$F$2:$F$201,'Trial Rows'!F127,'Trial Rows'!$G$2:$G$201,'Trial Rows'!G127,'Trial Rows'!$Y$2:$Y$201,'Trial Rows'!Y127,'Trial Rows'!$N$2:$N$201,"&gt;=0",'Trial Rows'!$N$2:$N$201,"&lt;=4",'Trial Rows'!$N$2:$N$201,"&lt;&gt;")=4),SUMIFS('Trial Rows'!$N$2:$N$201,'Trial Rows'!$B$2:$B$201,'Trial Rows'!B127,'Trial Rows'!$C$2:$C$201,'Trial Rows'!C127,'Trial Rows'!$F$2:$F$201,'Trial Rows'!F127,'Trial Rows'!$G$2:$G$201,'Trial Rows'!G127,'Trial Rows'!$Y$2:$Y$201,'Trial Rows'!Y127,'Trial Rows'!$I$2:$I$201,1)+4-SUMIFS('Trial Rows'!$N$2:$N$201,'Trial Rows'!$B$2:$B$201,'Trial Rows'!B127,'Trial Rows'!$C$2:$C$201,'Trial Rows'!C127,'Trial Rows'!$F$2:$F$201,'Trial Rows'!F127,'Trial Rows'!$G$2:$G$201,'Trial Rows'!G127,'Trial Rows'!$Y$2:$Y$201,'Trial Rows'!Y127,'Trial Rows'!$I$2:$I$201,2)+4-SUMIFS('Trial Rows'!$N$2:$N$201,'Trial Rows'!$B$2:$B$201,'Trial Rows'!B127,'Trial Rows'!$C$2:$C$201,'Trial Rows'!C127,'Trial Rows'!$F$2:$F$201,'Trial Rows'!F127,'Trial Rows'!$G$2:$G$201,'Trial Rows'!G127,'Trial Rows'!$Y$2:$Y$201,'Trial Rows'!Y127,'Trial Rows'!$I$2:$I$201,3)+SUMIFS('Trial Rows'!$N$2:$N$201,'Trial Rows'!$B$2:$B$201,'Trial Rows'!B127,'Trial Rows'!$C$2:$C$201,'Trial Rows'!C127,'Trial Rows'!$F$2:$F$201,'Trial Rows'!F127,'Trial Rows'!$G$2:$G$201,'Trial Rows'!G127,'Trial Rows'!$Y$2:$Y$201,'Trial Rows'!Y127,'Trial Rows'!$I$2:$I$201,4),"")</x:f>
      </x:c>
      <x:c r="S127" s="2" t="n">
        <x:f>IF(AND(B127=1,COUNTIFS('Trial Rows'!$C$2:C127,'Trial Rows'!C127,'Trial Rows'!$F$2:F127,Summary!$B$5,'Trial Rows'!$Y$2:Y127,Summary!$B$4)=1),1,0)</x:f>
        <x:v>0</x:v>
      </x:c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 t="str">
        <x:f>IF('Trial Rows'!A128="","",'Trial Rows'!F128&amp;"|"&amp;'Trial Rows'!B128&amp;"|"&amp;'Trial Rows'!C128&amp;"|"&amp;'Trial Rows'!I128)</x:f>
      </x:c>
      <x:c r="B128" s="2" t="n">
        <x:f>IF(AND('Trial Rows'!A128&lt;&gt;"",'Trial Rows'!Y128=Summary!$B$4,'Trial Rows'!F128=Summary!$B$5),1,0)</x:f>
        <x:v>0</x:v>
      </x:c>
      <x:c r="C128" s="2" t="n">
        <x:f>IF(B128=1,COUNTIFS('Trial Rows'!$B$2:$B$201,'Trial Rows'!B128,'Trial Rows'!$C$2:$C$201,'Trial Rows'!C128,'Trial Rows'!$F$2:$F$201,'Trial Rows'!F128,'Trial Rows'!$I$2:$I$201,'Trial Rows'!I128,'Trial Rows'!$Y$2:$Y$201,'Trial Rows'!Y128,'Trial Rows'!$G$2:$G$201,"A"),0)</x:f>
        <x:v>0</x:v>
      </x:c>
      <x:c r="D128" s="2" t="n">
        <x:f>IF(B128=1,COUNTIFS('Trial Rows'!$B$2:$B$201,'Trial Rows'!B128,'Trial Rows'!$C$2:$C$201,'Trial Rows'!C128,'Trial Rows'!$F$2:$F$201,'Trial Rows'!F128,'Trial Rows'!$I$2:$I$201,'Trial Rows'!I128,'Trial Rows'!$Y$2:$Y$201,'Trial Rows'!Y128,'Trial Rows'!$G$2:$G$201,"B"),0)</x:f>
        <x:v>0</x:v>
      </x:c>
      <x:c r="E128" s="2" t="str">
        <x:f>IF(AND(C128=1,COUNTIFS('Trial Rows'!$B$2:$B$201,'Trial Rows'!B128,'Trial Rows'!$C$2:$C$201,'Trial Rows'!C128,'Trial Rows'!$F$2:$F$201,'Trial Rows'!F128,'Trial Rows'!$I$2:$I$201,'Trial Rows'!I128,'Trial Rows'!$Y$2:$Y$201,'Trial Rows'!Y128,'Trial Rows'!$G$2:$G$201,"A",'Trial Rows'!$K$2:$K$201,"&gt;=0",'Trial Rows'!$K$2:$K$201,"&lt;=4",'Trial Rows'!$K$2:$K$201,"&lt;&gt;")=1),SUMIFS('Trial Rows'!$K$2:$K$201,'Trial Rows'!$B$2:$B$201,'Trial Rows'!B128,'Trial Rows'!$C$2:$C$201,'Trial Rows'!C128,'Trial Rows'!$F$2:$F$201,'Trial Rows'!F128,'Trial Rows'!$I$2:$I$201,'Trial Rows'!I128,'Trial Rows'!$Y$2:$Y$201,'Trial Rows'!Y128,'Trial Rows'!$G$2:$G$201,"A"),"")</x:f>
      </x:c>
      <x:c r="F128" s="2" t="n">
        <x:f>IF(AND(B128=1,'Trial Rows'!G128="B",C128=1,D128=1,ISNUMBER(E128),ISNUMBER('Trial Rows'!M128),'Trial Rows'!M128&gt;=0,'Trial Rows'!M128&lt;=4,'Trial Rows'!Q128=0,'Trial Rows'!S128=0),1,0)</x:f>
        <x:v>0</x:v>
      </x:c>
      <x:c r="G128" s="2" t="n">
        <x:f>IF(F128=1,IF(E128='Trial Rows'!M128,1,0),0)</x:f>
        <x:v>0</x:v>
      </x:c>
      <x:c r="H128" s="2" t="n">
        <x:f>IF(AND(B128=1,'Trial Rows'!G128="B",C128=1,D128=1,ISNUMBER(E128),'Trial Rows'!R128=1,'Trial Rows'!Q128=0,'Trial Rows'!S128=0,ISNUMBER('Trial Rows'!L128),'Trial Rows'!L128&gt;=0,'Trial Rows'!L128&lt;=4),1,0)</x:f>
        <x:v>0</x:v>
      </x:c>
      <x:c r="I128" s="2" t="n">
        <x:f>IF(H128=1,IF(E128='Trial Rows'!L128,1,0),0)</x:f>
        <x:v>0</x:v>
      </x:c>
      <x:c r="J128" s="2" t="n">
        <x:f>IF(AND(B128=1,'Trial Rows'!G128="B",'Trial Rows'!P128&gt;0),1,0)</x:f>
        <x:v>0</x:v>
      </x:c>
      <x:c r="K128" s="2" t="n">
        <x:f>IF(AND(B128=1,'Trial Rows'!G128="B",'Trial Rows'!Q128=1),1,0)</x:f>
        <x:v>0</x:v>
      </x:c>
      <x:c r="L128" s="2" t="n">
        <x:f>IF(AND(B128=1,'Trial Rows'!G128="B",'Trial Rows'!R128=1,'Trial Rows'!Q128=0,'Trial Rows'!S128=0),1,0)</x:f>
        <x:v>0</x:v>
      </x:c>
      <x:c r="M128" s="2" t="n">
        <x:f>IF(AND(B128=1,'Trial Rows'!G128="B"),1,0)</x:f>
        <x:v>0</x:v>
      </x:c>
      <x:c r="N128" s="2" t="n">
        <x:f>IF(AND(B128=1,'Trial Rows'!I128=1,COUNTIFS('Trial Rows'!$B$2:$B$201,'Trial Rows'!B128,'Trial Rows'!$C$2:$C$201,'Trial Rows'!C128,'Trial Rows'!$F$2:$F$201,'Trial Rows'!F128,'Trial Rows'!$G$2:$G$201,'Trial Rows'!G128,'Trial Rows'!$Y$2:$Y$201,'Trial Rows'!Y128)=4,COUNTIFS('Trial Rows'!$B$2:$B$201,'Trial Rows'!B128,'Trial Rows'!$C$2:$C$201,'Trial Rows'!C128,'Trial Rows'!$F$2:$F$201,'Trial Rows'!F128,'Trial Rows'!$G$2:$G$201,'Trial Rows'!G128,'Trial Rows'!$Y$2:$Y$201,'Trial Rows'!Y128,'Trial Rows'!$I$2:$I$201,1)=1,COUNTIFS('Trial Rows'!$B$2:$B$201,'Trial Rows'!B128,'Trial Rows'!$C$2:$C$201,'Trial Rows'!C128,'Trial Rows'!$F$2:$F$201,'Trial Rows'!F128,'Trial Rows'!$G$2:$G$201,'Trial Rows'!G128,'Trial Rows'!$Y$2:$Y$201,'Trial Rows'!Y128,'Trial Rows'!$I$2:$I$201,2)=1,COUNTIFS('Trial Rows'!$B$2:$B$201,'Trial Rows'!B128,'Trial Rows'!$C$2:$C$201,'Trial Rows'!C128,'Trial Rows'!$F$2:$F$201,'Trial Rows'!F128,'Trial Rows'!$G$2:$G$201,'Trial Rows'!G128,'Trial Rows'!$Y$2:$Y$201,'Trial Rows'!Y128,'Trial Rows'!$I$2:$I$201,3)=1,COUNTIFS('Trial Rows'!$B$2:$B$201,'Trial Rows'!B128,'Trial Rows'!$C$2:$C$201,'Trial Rows'!C128,'Trial Rows'!$F$2:$F$201,'Trial Rows'!F128,'Trial Rows'!$G$2:$G$201,'Trial Rows'!G128,'Trial Rows'!$Y$2:$Y$201,'Trial Rows'!Y128,'Trial Rows'!$I$2:$I$201,4)=1,COUNTIFS('Trial Rows'!$B$2:$B$201,'Trial Rows'!B128,'Trial Rows'!$C$2:$C$201,'Trial Rows'!C128,'Trial Rows'!$F$2:$F$201,'Trial Rows'!F128,'Trial Rows'!$G$2:$G$201,'Trial Rows'!G128,'Trial Rows'!$Y$2:$Y$201,'Trial Rows'!Y128,'Trial Rows'!$W$2:$W$201,"&lt;&gt;")=4,ISNUMBER('Trial Rows'!U128),COUNTIFS('Trial Rows'!$B$2:$B$201,'Trial Rows'!B128,'Trial Rows'!$C$2:$C$201,'Trial Rows'!C128,'Trial Rows'!$F$2:$F$201,'Trial Rows'!F128,'Trial Rows'!$G$2:$G$201,'Trial Rows'!G128,'Trial Rows'!$Y$2:$Y$201,'Trial Rows'!Y128,'Trial Rows'!$U$2:$U$201,'Trial Rows'!U128)=4,'Trial Rows'!U128&gt;=0),1,0)</x:f>
        <x:v>0</x:v>
      </x:c>
      <x:c r="O128" s="2" t="str">
        <x:f>IF(N128=1,'Trial Rows'!U128/1000,"")</x:f>
      </x:c>
      <x:c r="P128" s="2" t="str">
        <x:f>IF(AND(N128=1,'Trial Rows'!G128="A"),O128,"")</x:f>
      </x:c>
      <x:c r="Q128" s="2" t="str">
        <x:f>IF(AND(N128=1,'Trial Rows'!G128="B"),O128,"")</x:f>
      </x:c>
      <x:c r="R128" s="2" t="str">
        <x:f>IF(AND(N128=1,COUNTIFS('Trial Rows'!$B$2:$B$201,'Trial Rows'!B128,'Trial Rows'!$C$2:$C$201,'Trial Rows'!C128,'Trial Rows'!$F$2:$F$201,'Trial Rows'!F128,'Trial Rows'!$G$2:$G$201,'Trial Rows'!G128,'Trial Rows'!$Y$2:$Y$201,'Trial Rows'!Y128,'Trial Rows'!$N$2:$N$201,"&gt;=0",'Trial Rows'!$N$2:$N$201,"&lt;=4",'Trial Rows'!$N$2:$N$201,"&lt;&gt;")=4),SUMIFS('Trial Rows'!$N$2:$N$201,'Trial Rows'!$B$2:$B$201,'Trial Rows'!B128,'Trial Rows'!$C$2:$C$201,'Trial Rows'!C128,'Trial Rows'!$F$2:$F$201,'Trial Rows'!F128,'Trial Rows'!$G$2:$G$201,'Trial Rows'!G128,'Trial Rows'!$Y$2:$Y$201,'Trial Rows'!Y128,'Trial Rows'!$I$2:$I$201,1)+4-SUMIFS('Trial Rows'!$N$2:$N$201,'Trial Rows'!$B$2:$B$201,'Trial Rows'!B128,'Trial Rows'!$C$2:$C$201,'Trial Rows'!C128,'Trial Rows'!$F$2:$F$201,'Trial Rows'!F128,'Trial Rows'!$G$2:$G$201,'Trial Rows'!G128,'Trial Rows'!$Y$2:$Y$201,'Trial Rows'!Y128,'Trial Rows'!$I$2:$I$201,2)+4-SUMIFS('Trial Rows'!$N$2:$N$201,'Trial Rows'!$B$2:$B$201,'Trial Rows'!B128,'Trial Rows'!$C$2:$C$201,'Trial Rows'!C128,'Trial Rows'!$F$2:$F$201,'Trial Rows'!F128,'Trial Rows'!$G$2:$G$201,'Trial Rows'!G128,'Trial Rows'!$Y$2:$Y$201,'Trial Rows'!Y128,'Trial Rows'!$I$2:$I$201,3)+SUMIFS('Trial Rows'!$N$2:$N$201,'Trial Rows'!$B$2:$B$201,'Trial Rows'!B128,'Trial Rows'!$C$2:$C$201,'Trial Rows'!C128,'Trial Rows'!$F$2:$F$201,'Trial Rows'!F128,'Trial Rows'!$G$2:$G$201,'Trial Rows'!G128,'Trial Rows'!$Y$2:$Y$201,'Trial Rows'!Y128,'Trial Rows'!$I$2:$I$201,4),"")</x:f>
      </x:c>
      <x:c r="S128" s="2" t="n">
        <x:f>IF(AND(B128=1,COUNTIFS('Trial Rows'!$C$2:C128,'Trial Rows'!C128,'Trial Rows'!$F$2:F128,Summary!$B$5,'Trial Rows'!$Y$2:Y128,Summary!$B$4)=1),1,0)</x:f>
        <x:v>0</x:v>
      </x:c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 t="str">
        <x:f>IF('Trial Rows'!A129="","",'Trial Rows'!F129&amp;"|"&amp;'Trial Rows'!B129&amp;"|"&amp;'Trial Rows'!C129&amp;"|"&amp;'Trial Rows'!I129)</x:f>
      </x:c>
      <x:c r="B129" s="2" t="n">
        <x:f>IF(AND('Trial Rows'!A129&lt;&gt;"",'Trial Rows'!Y129=Summary!$B$4,'Trial Rows'!F129=Summary!$B$5),1,0)</x:f>
        <x:v>0</x:v>
      </x:c>
      <x:c r="C129" s="2" t="n">
        <x:f>IF(B129=1,COUNTIFS('Trial Rows'!$B$2:$B$201,'Trial Rows'!B129,'Trial Rows'!$C$2:$C$201,'Trial Rows'!C129,'Trial Rows'!$F$2:$F$201,'Trial Rows'!F129,'Trial Rows'!$I$2:$I$201,'Trial Rows'!I129,'Trial Rows'!$Y$2:$Y$201,'Trial Rows'!Y129,'Trial Rows'!$G$2:$G$201,"A"),0)</x:f>
        <x:v>0</x:v>
      </x:c>
      <x:c r="D129" s="2" t="n">
        <x:f>IF(B129=1,COUNTIFS('Trial Rows'!$B$2:$B$201,'Trial Rows'!B129,'Trial Rows'!$C$2:$C$201,'Trial Rows'!C129,'Trial Rows'!$F$2:$F$201,'Trial Rows'!F129,'Trial Rows'!$I$2:$I$201,'Trial Rows'!I129,'Trial Rows'!$Y$2:$Y$201,'Trial Rows'!Y129,'Trial Rows'!$G$2:$G$201,"B"),0)</x:f>
        <x:v>0</x:v>
      </x:c>
      <x:c r="E129" s="2" t="str">
        <x:f>IF(AND(C129=1,COUNTIFS('Trial Rows'!$B$2:$B$201,'Trial Rows'!B129,'Trial Rows'!$C$2:$C$201,'Trial Rows'!C129,'Trial Rows'!$F$2:$F$201,'Trial Rows'!F129,'Trial Rows'!$I$2:$I$201,'Trial Rows'!I129,'Trial Rows'!$Y$2:$Y$201,'Trial Rows'!Y129,'Trial Rows'!$G$2:$G$201,"A",'Trial Rows'!$K$2:$K$201,"&gt;=0",'Trial Rows'!$K$2:$K$201,"&lt;=4",'Trial Rows'!$K$2:$K$201,"&lt;&gt;")=1),SUMIFS('Trial Rows'!$K$2:$K$201,'Trial Rows'!$B$2:$B$201,'Trial Rows'!B129,'Trial Rows'!$C$2:$C$201,'Trial Rows'!C129,'Trial Rows'!$F$2:$F$201,'Trial Rows'!F129,'Trial Rows'!$I$2:$I$201,'Trial Rows'!I129,'Trial Rows'!$Y$2:$Y$201,'Trial Rows'!Y129,'Trial Rows'!$G$2:$G$201,"A"),"")</x:f>
      </x:c>
      <x:c r="F129" s="2" t="n">
        <x:f>IF(AND(B129=1,'Trial Rows'!G129="B",C129=1,D129=1,ISNUMBER(E129),ISNUMBER('Trial Rows'!M129),'Trial Rows'!M129&gt;=0,'Trial Rows'!M129&lt;=4,'Trial Rows'!Q129=0,'Trial Rows'!S129=0),1,0)</x:f>
        <x:v>0</x:v>
      </x:c>
      <x:c r="G129" s="2" t="n">
        <x:f>IF(F129=1,IF(E129='Trial Rows'!M129,1,0),0)</x:f>
        <x:v>0</x:v>
      </x:c>
      <x:c r="H129" s="2" t="n">
        <x:f>IF(AND(B129=1,'Trial Rows'!G129="B",C129=1,D129=1,ISNUMBER(E129),'Trial Rows'!R129=1,'Trial Rows'!Q129=0,'Trial Rows'!S129=0,ISNUMBER('Trial Rows'!L129),'Trial Rows'!L129&gt;=0,'Trial Rows'!L129&lt;=4),1,0)</x:f>
        <x:v>0</x:v>
      </x:c>
      <x:c r="I129" s="2" t="n">
        <x:f>IF(H129=1,IF(E129='Trial Rows'!L129,1,0),0)</x:f>
        <x:v>0</x:v>
      </x:c>
      <x:c r="J129" s="2" t="n">
        <x:f>IF(AND(B129=1,'Trial Rows'!G129="B",'Trial Rows'!P129&gt;0),1,0)</x:f>
        <x:v>0</x:v>
      </x:c>
      <x:c r="K129" s="2" t="n">
        <x:f>IF(AND(B129=1,'Trial Rows'!G129="B",'Trial Rows'!Q129=1),1,0)</x:f>
        <x:v>0</x:v>
      </x:c>
      <x:c r="L129" s="2" t="n">
        <x:f>IF(AND(B129=1,'Trial Rows'!G129="B",'Trial Rows'!R129=1,'Trial Rows'!Q129=0,'Trial Rows'!S129=0),1,0)</x:f>
        <x:v>0</x:v>
      </x:c>
      <x:c r="M129" s="2" t="n">
        <x:f>IF(AND(B129=1,'Trial Rows'!G129="B"),1,0)</x:f>
        <x:v>0</x:v>
      </x:c>
      <x:c r="N129" s="2" t="n">
        <x:f>IF(AND(B129=1,'Trial Rows'!I129=1,COUNTIFS('Trial Rows'!$B$2:$B$201,'Trial Rows'!B129,'Trial Rows'!$C$2:$C$201,'Trial Rows'!C129,'Trial Rows'!$F$2:$F$201,'Trial Rows'!F129,'Trial Rows'!$G$2:$G$201,'Trial Rows'!G129,'Trial Rows'!$Y$2:$Y$201,'Trial Rows'!Y129)=4,COUNTIFS('Trial Rows'!$B$2:$B$201,'Trial Rows'!B129,'Trial Rows'!$C$2:$C$201,'Trial Rows'!C129,'Trial Rows'!$F$2:$F$201,'Trial Rows'!F129,'Trial Rows'!$G$2:$G$201,'Trial Rows'!G129,'Trial Rows'!$Y$2:$Y$201,'Trial Rows'!Y129,'Trial Rows'!$I$2:$I$201,1)=1,COUNTIFS('Trial Rows'!$B$2:$B$201,'Trial Rows'!B129,'Trial Rows'!$C$2:$C$201,'Trial Rows'!C129,'Trial Rows'!$F$2:$F$201,'Trial Rows'!F129,'Trial Rows'!$G$2:$G$201,'Trial Rows'!G129,'Trial Rows'!$Y$2:$Y$201,'Trial Rows'!Y129,'Trial Rows'!$I$2:$I$201,2)=1,COUNTIFS('Trial Rows'!$B$2:$B$201,'Trial Rows'!B129,'Trial Rows'!$C$2:$C$201,'Trial Rows'!C129,'Trial Rows'!$F$2:$F$201,'Trial Rows'!F129,'Trial Rows'!$G$2:$G$201,'Trial Rows'!G129,'Trial Rows'!$Y$2:$Y$201,'Trial Rows'!Y129,'Trial Rows'!$I$2:$I$201,3)=1,COUNTIFS('Trial Rows'!$B$2:$B$201,'Trial Rows'!B129,'Trial Rows'!$C$2:$C$201,'Trial Rows'!C129,'Trial Rows'!$F$2:$F$201,'Trial Rows'!F129,'Trial Rows'!$G$2:$G$201,'Trial Rows'!G129,'Trial Rows'!$Y$2:$Y$201,'Trial Rows'!Y129,'Trial Rows'!$I$2:$I$201,4)=1,COUNTIFS('Trial Rows'!$B$2:$B$201,'Trial Rows'!B129,'Trial Rows'!$C$2:$C$201,'Trial Rows'!C129,'Trial Rows'!$F$2:$F$201,'Trial Rows'!F129,'Trial Rows'!$G$2:$G$201,'Trial Rows'!G129,'Trial Rows'!$Y$2:$Y$201,'Trial Rows'!Y129,'Trial Rows'!$W$2:$W$201,"&lt;&gt;")=4,ISNUMBER('Trial Rows'!U129),COUNTIFS('Trial Rows'!$B$2:$B$201,'Trial Rows'!B129,'Trial Rows'!$C$2:$C$201,'Trial Rows'!C129,'Trial Rows'!$F$2:$F$201,'Trial Rows'!F129,'Trial Rows'!$G$2:$G$201,'Trial Rows'!G129,'Trial Rows'!$Y$2:$Y$201,'Trial Rows'!Y129,'Trial Rows'!$U$2:$U$201,'Trial Rows'!U129)=4,'Trial Rows'!U129&gt;=0),1,0)</x:f>
        <x:v>0</x:v>
      </x:c>
      <x:c r="O129" s="2" t="str">
        <x:f>IF(N129=1,'Trial Rows'!U129/1000,"")</x:f>
      </x:c>
      <x:c r="P129" s="2" t="str">
        <x:f>IF(AND(N129=1,'Trial Rows'!G129="A"),O129,"")</x:f>
      </x:c>
      <x:c r="Q129" s="2" t="str">
        <x:f>IF(AND(N129=1,'Trial Rows'!G129="B"),O129,"")</x:f>
      </x:c>
      <x:c r="R129" s="2" t="str">
        <x:f>IF(AND(N129=1,COUNTIFS('Trial Rows'!$B$2:$B$201,'Trial Rows'!B129,'Trial Rows'!$C$2:$C$201,'Trial Rows'!C129,'Trial Rows'!$F$2:$F$201,'Trial Rows'!F129,'Trial Rows'!$G$2:$G$201,'Trial Rows'!G129,'Trial Rows'!$Y$2:$Y$201,'Trial Rows'!Y129,'Trial Rows'!$N$2:$N$201,"&gt;=0",'Trial Rows'!$N$2:$N$201,"&lt;=4",'Trial Rows'!$N$2:$N$201,"&lt;&gt;")=4),SUMIFS('Trial Rows'!$N$2:$N$201,'Trial Rows'!$B$2:$B$201,'Trial Rows'!B129,'Trial Rows'!$C$2:$C$201,'Trial Rows'!C129,'Trial Rows'!$F$2:$F$201,'Trial Rows'!F129,'Trial Rows'!$G$2:$G$201,'Trial Rows'!G129,'Trial Rows'!$Y$2:$Y$201,'Trial Rows'!Y129,'Trial Rows'!$I$2:$I$201,1)+4-SUMIFS('Trial Rows'!$N$2:$N$201,'Trial Rows'!$B$2:$B$201,'Trial Rows'!B129,'Trial Rows'!$C$2:$C$201,'Trial Rows'!C129,'Trial Rows'!$F$2:$F$201,'Trial Rows'!F129,'Trial Rows'!$G$2:$G$201,'Trial Rows'!G129,'Trial Rows'!$Y$2:$Y$201,'Trial Rows'!Y129,'Trial Rows'!$I$2:$I$201,2)+4-SUMIFS('Trial Rows'!$N$2:$N$201,'Trial Rows'!$B$2:$B$201,'Trial Rows'!B129,'Trial Rows'!$C$2:$C$201,'Trial Rows'!C129,'Trial Rows'!$F$2:$F$201,'Trial Rows'!F129,'Trial Rows'!$G$2:$G$201,'Trial Rows'!G129,'Trial Rows'!$Y$2:$Y$201,'Trial Rows'!Y129,'Trial Rows'!$I$2:$I$201,3)+SUMIFS('Trial Rows'!$N$2:$N$201,'Trial Rows'!$B$2:$B$201,'Trial Rows'!B129,'Trial Rows'!$C$2:$C$201,'Trial Rows'!C129,'Trial Rows'!$F$2:$F$201,'Trial Rows'!F129,'Trial Rows'!$G$2:$G$201,'Trial Rows'!G129,'Trial Rows'!$Y$2:$Y$201,'Trial Rows'!Y129,'Trial Rows'!$I$2:$I$201,4),"")</x:f>
      </x:c>
      <x:c r="S129" s="2" t="n">
        <x:f>IF(AND(B129=1,COUNTIFS('Trial Rows'!$C$2:C129,'Trial Rows'!C129,'Trial Rows'!$F$2:F129,Summary!$B$5,'Trial Rows'!$Y$2:Y129,Summary!$B$4)=1),1,0)</x:f>
        <x:v>0</x:v>
      </x:c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 t="str">
        <x:f>IF('Trial Rows'!A130="","",'Trial Rows'!F130&amp;"|"&amp;'Trial Rows'!B130&amp;"|"&amp;'Trial Rows'!C130&amp;"|"&amp;'Trial Rows'!I130)</x:f>
      </x:c>
      <x:c r="B130" s="2" t="n">
        <x:f>IF(AND('Trial Rows'!A130&lt;&gt;"",'Trial Rows'!Y130=Summary!$B$4,'Trial Rows'!F130=Summary!$B$5),1,0)</x:f>
        <x:v>0</x:v>
      </x:c>
      <x:c r="C130" s="2" t="n">
        <x:f>IF(B130=1,COUNTIFS('Trial Rows'!$B$2:$B$201,'Trial Rows'!B130,'Trial Rows'!$C$2:$C$201,'Trial Rows'!C130,'Trial Rows'!$F$2:$F$201,'Trial Rows'!F130,'Trial Rows'!$I$2:$I$201,'Trial Rows'!I130,'Trial Rows'!$Y$2:$Y$201,'Trial Rows'!Y130,'Trial Rows'!$G$2:$G$201,"A"),0)</x:f>
        <x:v>0</x:v>
      </x:c>
      <x:c r="D130" s="2" t="n">
        <x:f>IF(B130=1,COUNTIFS('Trial Rows'!$B$2:$B$201,'Trial Rows'!B130,'Trial Rows'!$C$2:$C$201,'Trial Rows'!C130,'Trial Rows'!$F$2:$F$201,'Trial Rows'!F130,'Trial Rows'!$I$2:$I$201,'Trial Rows'!I130,'Trial Rows'!$Y$2:$Y$201,'Trial Rows'!Y130,'Trial Rows'!$G$2:$G$201,"B"),0)</x:f>
        <x:v>0</x:v>
      </x:c>
      <x:c r="E130" s="2" t="str">
        <x:f>IF(AND(C130=1,COUNTIFS('Trial Rows'!$B$2:$B$201,'Trial Rows'!B130,'Trial Rows'!$C$2:$C$201,'Trial Rows'!C130,'Trial Rows'!$F$2:$F$201,'Trial Rows'!F130,'Trial Rows'!$I$2:$I$201,'Trial Rows'!I130,'Trial Rows'!$Y$2:$Y$201,'Trial Rows'!Y130,'Trial Rows'!$G$2:$G$201,"A",'Trial Rows'!$K$2:$K$201,"&gt;=0",'Trial Rows'!$K$2:$K$201,"&lt;=4",'Trial Rows'!$K$2:$K$201,"&lt;&gt;")=1),SUMIFS('Trial Rows'!$K$2:$K$201,'Trial Rows'!$B$2:$B$201,'Trial Rows'!B130,'Trial Rows'!$C$2:$C$201,'Trial Rows'!C130,'Trial Rows'!$F$2:$F$201,'Trial Rows'!F130,'Trial Rows'!$I$2:$I$201,'Trial Rows'!I130,'Trial Rows'!$Y$2:$Y$201,'Trial Rows'!Y130,'Trial Rows'!$G$2:$G$201,"A"),"")</x:f>
      </x:c>
      <x:c r="F130" s="2" t="n">
        <x:f>IF(AND(B130=1,'Trial Rows'!G130="B",C130=1,D130=1,ISNUMBER(E130),ISNUMBER('Trial Rows'!M130),'Trial Rows'!M130&gt;=0,'Trial Rows'!M130&lt;=4,'Trial Rows'!Q130=0,'Trial Rows'!S130=0),1,0)</x:f>
        <x:v>0</x:v>
      </x:c>
      <x:c r="G130" s="2" t="n">
        <x:f>IF(F130=1,IF(E130='Trial Rows'!M130,1,0),0)</x:f>
        <x:v>0</x:v>
      </x:c>
      <x:c r="H130" s="2" t="n">
        <x:f>IF(AND(B130=1,'Trial Rows'!G130="B",C130=1,D130=1,ISNUMBER(E130),'Trial Rows'!R130=1,'Trial Rows'!Q130=0,'Trial Rows'!S130=0,ISNUMBER('Trial Rows'!L130),'Trial Rows'!L130&gt;=0,'Trial Rows'!L130&lt;=4),1,0)</x:f>
        <x:v>0</x:v>
      </x:c>
      <x:c r="I130" s="2" t="n">
        <x:f>IF(H130=1,IF(E130='Trial Rows'!L130,1,0),0)</x:f>
        <x:v>0</x:v>
      </x:c>
      <x:c r="J130" s="2" t="n">
        <x:f>IF(AND(B130=1,'Trial Rows'!G130="B",'Trial Rows'!P130&gt;0),1,0)</x:f>
        <x:v>0</x:v>
      </x:c>
      <x:c r="K130" s="2" t="n">
        <x:f>IF(AND(B130=1,'Trial Rows'!G130="B",'Trial Rows'!Q130=1),1,0)</x:f>
        <x:v>0</x:v>
      </x:c>
      <x:c r="L130" s="2" t="n">
        <x:f>IF(AND(B130=1,'Trial Rows'!G130="B",'Trial Rows'!R130=1,'Trial Rows'!Q130=0,'Trial Rows'!S130=0),1,0)</x:f>
        <x:v>0</x:v>
      </x:c>
      <x:c r="M130" s="2" t="n">
        <x:f>IF(AND(B130=1,'Trial Rows'!G130="B"),1,0)</x:f>
        <x:v>0</x:v>
      </x:c>
      <x:c r="N130" s="2" t="n">
        <x:f>IF(AND(B130=1,'Trial Rows'!I130=1,COUNTIFS('Trial Rows'!$B$2:$B$201,'Trial Rows'!B130,'Trial Rows'!$C$2:$C$201,'Trial Rows'!C130,'Trial Rows'!$F$2:$F$201,'Trial Rows'!F130,'Trial Rows'!$G$2:$G$201,'Trial Rows'!G130,'Trial Rows'!$Y$2:$Y$201,'Trial Rows'!Y130)=4,COUNTIFS('Trial Rows'!$B$2:$B$201,'Trial Rows'!B130,'Trial Rows'!$C$2:$C$201,'Trial Rows'!C130,'Trial Rows'!$F$2:$F$201,'Trial Rows'!F130,'Trial Rows'!$G$2:$G$201,'Trial Rows'!G130,'Trial Rows'!$Y$2:$Y$201,'Trial Rows'!Y130,'Trial Rows'!$I$2:$I$201,1)=1,COUNTIFS('Trial Rows'!$B$2:$B$201,'Trial Rows'!B130,'Trial Rows'!$C$2:$C$201,'Trial Rows'!C130,'Trial Rows'!$F$2:$F$201,'Trial Rows'!F130,'Trial Rows'!$G$2:$G$201,'Trial Rows'!G130,'Trial Rows'!$Y$2:$Y$201,'Trial Rows'!Y130,'Trial Rows'!$I$2:$I$201,2)=1,COUNTIFS('Trial Rows'!$B$2:$B$201,'Trial Rows'!B130,'Trial Rows'!$C$2:$C$201,'Trial Rows'!C130,'Trial Rows'!$F$2:$F$201,'Trial Rows'!F130,'Trial Rows'!$G$2:$G$201,'Trial Rows'!G130,'Trial Rows'!$Y$2:$Y$201,'Trial Rows'!Y130,'Trial Rows'!$I$2:$I$201,3)=1,COUNTIFS('Trial Rows'!$B$2:$B$201,'Trial Rows'!B130,'Trial Rows'!$C$2:$C$201,'Trial Rows'!C130,'Trial Rows'!$F$2:$F$201,'Trial Rows'!F130,'Trial Rows'!$G$2:$G$201,'Trial Rows'!G130,'Trial Rows'!$Y$2:$Y$201,'Trial Rows'!Y130,'Trial Rows'!$I$2:$I$201,4)=1,COUNTIFS('Trial Rows'!$B$2:$B$201,'Trial Rows'!B130,'Trial Rows'!$C$2:$C$201,'Trial Rows'!C130,'Trial Rows'!$F$2:$F$201,'Trial Rows'!F130,'Trial Rows'!$G$2:$G$201,'Trial Rows'!G130,'Trial Rows'!$Y$2:$Y$201,'Trial Rows'!Y130,'Trial Rows'!$W$2:$W$201,"&lt;&gt;")=4,ISNUMBER('Trial Rows'!U130),COUNTIFS('Trial Rows'!$B$2:$B$201,'Trial Rows'!B130,'Trial Rows'!$C$2:$C$201,'Trial Rows'!C130,'Trial Rows'!$F$2:$F$201,'Trial Rows'!F130,'Trial Rows'!$G$2:$G$201,'Trial Rows'!G130,'Trial Rows'!$Y$2:$Y$201,'Trial Rows'!Y130,'Trial Rows'!$U$2:$U$201,'Trial Rows'!U130)=4,'Trial Rows'!U130&gt;=0),1,0)</x:f>
        <x:v>0</x:v>
      </x:c>
      <x:c r="O130" s="2" t="str">
        <x:f>IF(N130=1,'Trial Rows'!U130/1000,"")</x:f>
      </x:c>
      <x:c r="P130" s="2" t="str">
        <x:f>IF(AND(N130=1,'Trial Rows'!G130="A"),O130,"")</x:f>
      </x:c>
      <x:c r="Q130" s="2" t="str">
        <x:f>IF(AND(N130=1,'Trial Rows'!G130="B"),O130,"")</x:f>
      </x:c>
      <x:c r="R130" s="2" t="str">
        <x:f>IF(AND(N130=1,COUNTIFS('Trial Rows'!$B$2:$B$201,'Trial Rows'!B130,'Trial Rows'!$C$2:$C$201,'Trial Rows'!C130,'Trial Rows'!$F$2:$F$201,'Trial Rows'!F130,'Trial Rows'!$G$2:$G$201,'Trial Rows'!G130,'Trial Rows'!$Y$2:$Y$201,'Trial Rows'!Y130,'Trial Rows'!$N$2:$N$201,"&gt;=0",'Trial Rows'!$N$2:$N$201,"&lt;=4",'Trial Rows'!$N$2:$N$201,"&lt;&gt;")=4),SUMIFS('Trial Rows'!$N$2:$N$201,'Trial Rows'!$B$2:$B$201,'Trial Rows'!B130,'Trial Rows'!$C$2:$C$201,'Trial Rows'!C130,'Trial Rows'!$F$2:$F$201,'Trial Rows'!F130,'Trial Rows'!$G$2:$G$201,'Trial Rows'!G130,'Trial Rows'!$Y$2:$Y$201,'Trial Rows'!Y130,'Trial Rows'!$I$2:$I$201,1)+4-SUMIFS('Trial Rows'!$N$2:$N$201,'Trial Rows'!$B$2:$B$201,'Trial Rows'!B130,'Trial Rows'!$C$2:$C$201,'Trial Rows'!C130,'Trial Rows'!$F$2:$F$201,'Trial Rows'!F130,'Trial Rows'!$G$2:$G$201,'Trial Rows'!G130,'Trial Rows'!$Y$2:$Y$201,'Trial Rows'!Y130,'Trial Rows'!$I$2:$I$201,2)+4-SUMIFS('Trial Rows'!$N$2:$N$201,'Trial Rows'!$B$2:$B$201,'Trial Rows'!B130,'Trial Rows'!$C$2:$C$201,'Trial Rows'!C130,'Trial Rows'!$F$2:$F$201,'Trial Rows'!F130,'Trial Rows'!$G$2:$G$201,'Trial Rows'!G130,'Trial Rows'!$Y$2:$Y$201,'Trial Rows'!Y130,'Trial Rows'!$I$2:$I$201,3)+SUMIFS('Trial Rows'!$N$2:$N$201,'Trial Rows'!$B$2:$B$201,'Trial Rows'!B130,'Trial Rows'!$C$2:$C$201,'Trial Rows'!C130,'Trial Rows'!$F$2:$F$201,'Trial Rows'!F130,'Trial Rows'!$G$2:$G$201,'Trial Rows'!G130,'Trial Rows'!$Y$2:$Y$201,'Trial Rows'!Y130,'Trial Rows'!$I$2:$I$201,4),"")</x:f>
      </x:c>
      <x:c r="S130" s="2" t="n">
        <x:f>IF(AND(B130=1,COUNTIFS('Trial Rows'!$C$2:C130,'Trial Rows'!C130,'Trial Rows'!$F$2:F130,Summary!$B$5,'Trial Rows'!$Y$2:Y130,Summary!$B$4)=1),1,0)</x:f>
        <x:v>0</x:v>
      </x:c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 t="str">
        <x:f>IF('Trial Rows'!A131="","",'Trial Rows'!F131&amp;"|"&amp;'Trial Rows'!B131&amp;"|"&amp;'Trial Rows'!C131&amp;"|"&amp;'Trial Rows'!I131)</x:f>
      </x:c>
      <x:c r="B131" s="2" t="n">
        <x:f>IF(AND('Trial Rows'!A131&lt;&gt;"",'Trial Rows'!Y131=Summary!$B$4,'Trial Rows'!F131=Summary!$B$5),1,0)</x:f>
        <x:v>0</x:v>
      </x:c>
      <x:c r="C131" s="2" t="n">
        <x:f>IF(B131=1,COUNTIFS('Trial Rows'!$B$2:$B$201,'Trial Rows'!B131,'Trial Rows'!$C$2:$C$201,'Trial Rows'!C131,'Trial Rows'!$F$2:$F$201,'Trial Rows'!F131,'Trial Rows'!$I$2:$I$201,'Trial Rows'!I131,'Trial Rows'!$Y$2:$Y$201,'Trial Rows'!Y131,'Trial Rows'!$G$2:$G$201,"A"),0)</x:f>
        <x:v>0</x:v>
      </x:c>
      <x:c r="D131" s="2" t="n">
        <x:f>IF(B131=1,COUNTIFS('Trial Rows'!$B$2:$B$201,'Trial Rows'!B131,'Trial Rows'!$C$2:$C$201,'Trial Rows'!C131,'Trial Rows'!$F$2:$F$201,'Trial Rows'!F131,'Trial Rows'!$I$2:$I$201,'Trial Rows'!I131,'Trial Rows'!$Y$2:$Y$201,'Trial Rows'!Y131,'Trial Rows'!$G$2:$G$201,"B"),0)</x:f>
        <x:v>0</x:v>
      </x:c>
      <x:c r="E131" s="2" t="str">
        <x:f>IF(AND(C131=1,COUNTIFS('Trial Rows'!$B$2:$B$201,'Trial Rows'!B131,'Trial Rows'!$C$2:$C$201,'Trial Rows'!C131,'Trial Rows'!$F$2:$F$201,'Trial Rows'!F131,'Trial Rows'!$I$2:$I$201,'Trial Rows'!I131,'Trial Rows'!$Y$2:$Y$201,'Trial Rows'!Y131,'Trial Rows'!$G$2:$G$201,"A",'Trial Rows'!$K$2:$K$201,"&gt;=0",'Trial Rows'!$K$2:$K$201,"&lt;=4",'Trial Rows'!$K$2:$K$201,"&lt;&gt;")=1),SUMIFS('Trial Rows'!$K$2:$K$201,'Trial Rows'!$B$2:$B$201,'Trial Rows'!B131,'Trial Rows'!$C$2:$C$201,'Trial Rows'!C131,'Trial Rows'!$F$2:$F$201,'Trial Rows'!F131,'Trial Rows'!$I$2:$I$201,'Trial Rows'!I131,'Trial Rows'!$Y$2:$Y$201,'Trial Rows'!Y131,'Trial Rows'!$G$2:$G$201,"A"),"")</x:f>
      </x:c>
      <x:c r="F131" s="2" t="n">
        <x:f>IF(AND(B131=1,'Trial Rows'!G131="B",C131=1,D131=1,ISNUMBER(E131),ISNUMBER('Trial Rows'!M131),'Trial Rows'!M131&gt;=0,'Trial Rows'!M131&lt;=4,'Trial Rows'!Q131=0,'Trial Rows'!S131=0),1,0)</x:f>
        <x:v>0</x:v>
      </x:c>
      <x:c r="G131" s="2" t="n">
        <x:f>IF(F131=1,IF(E131='Trial Rows'!M131,1,0),0)</x:f>
        <x:v>0</x:v>
      </x:c>
      <x:c r="H131" s="2" t="n">
        <x:f>IF(AND(B131=1,'Trial Rows'!G131="B",C131=1,D131=1,ISNUMBER(E131),'Trial Rows'!R131=1,'Trial Rows'!Q131=0,'Trial Rows'!S131=0,ISNUMBER('Trial Rows'!L131),'Trial Rows'!L131&gt;=0,'Trial Rows'!L131&lt;=4),1,0)</x:f>
        <x:v>0</x:v>
      </x:c>
      <x:c r="I131" s="2" t="n">
        <x:f>IF(H131=1,IF(E131='Trial Rows'!L131,1,0),0)</x:f>
        <x:v>0</x:v>
      </x:c>
      <x:c r="J131" s="2" t="n">
        <x:f>IF(AND(B131=1,'Trial Rows'!G131="B",'Trial Rows'!P131&gt;0),1,0)</x:f>
        <x:v>0</x:v>
      </x:c>
      <x:c r="K131" s="2" t="n">
        <x:f>IF(AND(B131=1,'Trial Rows'!G131="B",'Trial Rows'!Q131=1),1,0)</x:f>
        <x:v>0</x:v>
      </x:c>
      <x:c r="L131" s="2" t="n">
        <x:f>IF(AND(B131=1,'Trial Rows'!G131="B",'Trial Rows'!R131=1,'Trial Rows'!Q131=0,'Trial Rows'!S131=0),1,0)</x:f>
        <x:v>0</x:v>
      </x:c>
      <x:c r="M131" s="2" t="n">
        <x:f>IF(AND(B131=1,'Trial Rows'!G131="B"),1,0)</x:f>
        <x:v>0</x:v>
      </x:c>
      <x:c r="N131" s="2" t="n">
        <x:f>IF(AND(B131=1,'Trial Rows'!I131=1,COUNTIFS('Trial Rows'!$B$2:$B$201,'Trial Rows'!B131,'Trial Rows'!$C$2:$C$201,'Trial Rows'!C131,'Trial Rows'!$F$2:$F$201,'Trial Rows'!F131,'Trial Rows'!$G$2:$G$201,'Trial Rows'!G131,'Trial Rows'!$Y$2:$Y$201,'Trial Rows'!Y131)=4,COUNTIFS('Trial Rows'!$B$2:$B$201,'Trial Rows'!B131,'Trial Rows'!$C$2:$C$201,'Trial Rows'!C131,'Trial Rows'!$F$2:$F$201,'Trial Rows'!F131,'Trial Rows'!$G$2:$G$201,'Trial Rows'!G131,'Trial Rows'!$Y$2:$Y$201,'Trial Rows'!Y131,'Trial Rows'!$I$2:$I$201,1)=1,COUNTIFS('Trial Rows'!$B$2:$B$201,'Trial Rows'!B131,'Trial Rows'!$C$2:$C$201,'Trial Rows'!C131,'Trial Rows'!$F$2:$F$201,'Trial Rows'!F131,'Trial Rows'!$G$2:$G$201,'Trial Rows'!G131,'Trial Rows'!$Y$2:$Y$201,'Trial Rows'!Y131,'Trial Rows'!$I$2:$I$201,2)=1,COUNTIFS('Trial Rows'!$B$2:$B$201,'Trial Rows'!B131,'Trial Rows'!$C$2:$C$201,'Trial Rows'!C131,'Trial Rows'!$F$2:$F$201,'Trial Rows'!F131,'Trial Rows'!$G$2:$G$201,'Trial Rows'!G131,'Trial Rows'!$Y$2:$Y$201,'Trial Rows'!Y131,'Trial Rows'!$I$2:$I$201,3)=1,COUNTIFS('Trial Rows'!$B$2:$B$201,'Trial Rows'!B131,'Trial Rows'!$C$2:$C$201,'Trial Rows'!C131,'Trial Rows'!$F$2:$F$201,'Trial Rows'!F131,'Trial Rows'!$G$2:$G$201,'Trial Rows'!G131,'Trial Rows'!$Y$2:$Y$201,'Trial Rows'!Y131,'Trial Rows'!$I$2:$I$201,4)=1,COUNTIFS('Trial Rows'!$B$2:$B$201,'Trial Rows'!B131,'Trial Rows'!$C$2:$C$201,'Trial Rows'!C131,'Trial Rows'!$F$2:$F$201,'Trial Rows'!F131,'Trial Rows'!$G$2:$G$201,'Trial Rows'!G131,'Trial Rows'!$Y$2:$Y$201,'Trial Rows'!Y131,'Trial Rows'!$W$2:$W$201,"&lt;&gt;")=4,ISNUMBER('Trial Rows'!U131),COUNTIFS('Trial Rows'!$B$2:$B$201,'Trial Rows'!B131,'Trial Rows'!$C$2:$C$201,'Trial Rows'!C131,'Trial Rows'!$F$2:$F$201,'Trial Rows'!F131,'Trial Rows'!$G$2:$G$201,'Trial Rows'!G131,'Trial Rows'!$Y$2:$Y$201,'Trial Rows'!Y131,'Trial Rows'!$U$2:$U$201,'Trial Rows'!U131)=4,'Trial Rows'!U131&gt;=0),1,0)</x:f>
        <x:v>0</x:v>
      </x:c>
      <x:c r="O131" s="2" t="str">
        <x:f>IF(N131=1,'Trial Rows'!U131/1000,"")</x:f>
      </x:c>
      <x:c r="P131" s="2" t="str">
        <x:f>IF(AND(N131=1,'Trial Rows'!G131="A"),O131,"")</x:f>
      </x:c>
      <x:c r="Q131" s="2" t="str">
        <x:f>IF(AND(N131=1,'Trial Rows'!G131="B"),O131,"")</x:f>
      </x:c>
      <x:c r="R131" s="2" t="str">
        <x:f>IF(AND(N131=1,COUNTIFS('Trial Rows'!$B$2:$B$201,'Trial Rows'!B131,'Trial Rows'!$C$2:$C$201,'Trial Rows'!C131,'Trial Rows'!$F$2:$F$201,'Trial Rows'!F131,'Trial Rows'!$G$2:$G$201,'Trial Rows'!G131,'Trial Rows'!$Y$2:$Y$201,'Trial Rows'!Y131,'Trial Rows'!$N$2:$N$201,"&gt;=0",'Trial Rows'!$N$2:$N$201,"&lt;=4",'Trial Rows'!$N$2:$N$201,"&lt;&gt;")=4),SUMIFS('Trial Rows'!$N$2:$N$201,'Trial Rows'!$B$2:$B$201,'Trial Rows'!B131,'Trial Rows'!$C$2:$C$201,'Trial Rows'!C131,'Trial Rows'!$F$2:$F$201,'Trial Rows'!F131,'Trial Rows'!$G$2:$G$201,'Trial Rows'!G131,'Trial Rows'!$Y$2:$Y$201,'Trial Rows'!Y131,'Trial Rows'!$I$2:$I$201,1)+4-SUMIFS('Trial Rows'!$N$2:$N$201,'Trial Rows'!$B$2:$B$201,'Trial Rows'!B131,'Trial Rows'!$C$2:$C$201,'Trial Rows'!C131,'Trial Rows'!$F$2:$F$201,'Trial Rows'!F131,'Trial Rows'!$G$2:$G$201,'Trial Rows'!G131,'Trial Rows'!$Y$2:$Y$201,'Trial Rows'!Y131,'Trial Rows'!$I$2:$I$201,2)+4-SUMIFS('Trial Rows'!$N$2:$N$201,'Trial Rows'!$B$2:$B$201,'Trial Rows'!B131,'Trial Rows'!$C$2:$C$201,'Trial Rows'!C131,'Trial Rows'!$F$2:$F$201,'Trial Rows'!F131,'Trial Rows'!$G$2:$G$201,'Trial Rows'!G131,'Trial Rows'!$Y$2:$Y$201,'Trial Rows'!Y131,'Trial Rows'!$I$2:$I$201,3)+SUMIFS('Trial Rows'!$N$2:$N$201,'Trial Rows'!$B$2:$B$201,'Trial Rows'!B131,'Trial Rows'!$C$2:$C$201,'Trial Rows'!C131,'Trial Rows'!$F$2:$F$201,'Trial Rows'!F131,'Trial Rows'!$G$2:$G$201,'Trial Rows'!G131,'Trial Rows'!$Y$2:$Y$201,'Trial Rows'!Y131,'Trial Rows'!$I$2:$I$201,4),"")</x:f>
      </x:c>
      <x:c r="S131" s="2" t="n">
        <x:f>IF(AND(B131=1,COUNTIFS('Trial Rows'!$C$2:C131,'Trial Rows'!C131,'Trial Rows'!$F$2:F131,Summary!$B$5,'Trial Rows'!$Y$2:Y131,Summary!$B$4)=1),1,0)</x:f>
        <x:v>0</x:v>
      </x:c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 t="str">
        <x:f>IF('Trial Rows'!A132="","",'Trial Rows'!F132&amp;"|"&amp;'Trial Rows'!B132&amp;"|"&amp;'Trial Rows'!C132&amp;"|"&amp;'Trial Rows'!I132)</x:f>
      </x:c>
      <x:c r="B132" s="2" t="n">
        <x:f>IF(AND('Trial Rows'!A132&lt;&gt;"",'Trial Rows'!Y132=Summary!$B$4,'Trial Rows'!F132=Summary!$B$5),1,0)</x:f>
        <x:v>0</x:v>
      </x:c>
      <x:c r="C132" s="2" t="n">
        <x:f>IF(B132=1,COUNTIFS('Trial Rows'!$B$2:$B$201,'Trial Rows'!B132,'Trial Rows'!$C$2:$C$201,'Trial Rows'!C132,'Trial Rows'!$F$2:$F$201,'Trial Rows'!F132,'Trial Rows'!$I$2:$I$201,'Trial Rows'!I132,'Trial Rows'!$Y$2:$Y$201,'Trial Rows'!Y132,'Trial Rows'!$G$2:$G$201,"A"),0)</x:f>
        <x:v>0</x:v>
      </x:c>
      <x:c r="D132" s="2" t="n">
        <x:f>IF(B132=1,COUNTIFS('Trial Rows'!$B$2:$B$201,'Trial Rows'!B132,'Trial Rows'!$C$2:$C$201,'Trial Rows'!C132,'Trial Rows'!$F$2:$F$201,'Trial Rows'!F132,'Trial Rows'!$I$2:$I$201,'Trial Rows'!I132,'Trial Rows'!$Y$2:$Y$201,'Trial Rows'!Y132,'Trial Rows'!$G$2:$G$201,"B"),0)</x:f>
        <x:v>0</x:v>
      </x:c>
      <x:c r="E132" s="2" t="str">
        <x:f>IF(AND(C132=1,COUNTIFS('Trial Rows'!$B$2:$B$201,'Trial Rows'!B132,'Trial Rows'!$C$2:$C$201,'Trial Rows'!C132,'Trial Rows'!$F$2:$F$201,'Trial Rows'!F132,'Trial Rows'!$I$2:$I$201,'Trial Rows'!I132,'Trial Rows'!$Y$2:$Y$201,'Trial Rows'!Y132,'Trial Rows'!$G$2:$G$201,"A",'Trial Rows'!$K$2:$K$201,"&gt;=0",'Trial Rows'!$K$2:$K$201,"&lt;=4",'Trial Rows'!$K$2:$K$201,"&lt;&gt;")=1),SUMIFS('Trial Rows'!$K$2:$K$201,'Trial Rows'!$B$2:$B$201,'Trial Rows'!B132,'Trial Rows'!$C$2:$C$201,'Trial Rows'!C132,'Trial Rows'!$F$2:$F$201,'Trial Rows'!F132,'Trial Rows'!$I$2:$I$201,'Trial Rows'!I132,'Trial Rows'!$Y$2:$Y$201,'Trial Rows'!Y132,'Trial Rows'!$G$2:$G$201,"A"),"")</x:f>
      </x:c>
      <x:c r="F132" s="2" t="n">
        <x:f>IF(AND(B132=1,'Trial Rows'!G132="B",C132=1,D132=1,ISNUMBER(E132),ISNUMBER('Trial Rows'!M132),'Trial Rows'!M132&gt;=0,'Trial Rows'!M132&lt;=4,'Trial Rows'!Q132=0,'Trial Rows'!S132=0),1,0)</x:f>
        <x:v>0</x:v>
      </x:c>
      <x:c r="G132" s="2" t="n">
        <x:f>IF(F132=1,IF(E132='Trial Rows'!M132,1,0),0)</x:f>
        <x:v>0</x:v>
      </x:c>
      <x:c r="H132" s="2" t="n">
        <x:f>IF(AND(B132=1,'Trial Rows'!G132="B",C132=1,D132=1,ISNUMBER(E132),'Trial Rows'!R132=1,'Trial Rows'!Q132=0,'Trial Rows'!S132=0,ISNUMBER('Trial Rows'!L132),'Trial Rows'!L132&gt;=0,'Trial Rows'!L132&lt;=4),1,0)</x:f>
        <x:v>0</x:v>
      </x:c>
      <x:c r="I132" s="2" t="n">
        <x:f>IF(H132=1,IF(E132='Trial Rows'!L132,1,0),0)</x:f>
        <x:v>0</x:v>
      </x:c>
      <x:c r="J132" s="2" t="n">
        <x:f>IF(AND(B132=1,'Trial Rows'!G132="B",'Trial Rows'!P132&gt;0),1,0)</x:f>
        <x:v>0</x:v>
      </x:c>
      <x:c r="K132" s="2" t="n">
        <x:f>IF(AND(B132=1,'Trial Rows'!G132="B",'Trial Rows'!Q132=1),1,0)</x:f>
        <x:v>0</x:v>
      </x:c>
      <x:c r="L132" s="2" t="n">
        <x:f>IF(AND(B132=1,'Trial Rows'!G132="B",'Trial Rows'!R132=1,'Trial Rows'!Q132=0,'Trial Rows'!S132=0),1,0)</x:f>
        <x:v>0</x:v>
      </x:c>
      <x:c r="M132" s="2" t="n">
        <x:f>IF(AND(B132=1,'Trial Rows'!G132="B"),1,0)</x:f>
        <x:v>0</x:v>
      </x:c>
      <x:c r="N132" s="2" t="n">
        <x:f>IF(AND(B132=1,'Trial Rows'!I132=1,COUNTIFS('Trial Rows'!$B$2:$B$201,'Trial Rows'!B132,'Trial Rows'!$C$2:$C$201,'Trial Rows'!C132,'Trial Rows'!$F$2:$F$201,'Trial Rows'!F132,'Trial Rows'!$G$2:$G$201,'Trial Rows'!G132,'Trial Rows'!$Y$2:$Y$201,'Trial Rows'!Y132)=4,COUNTIFS('Trial Rows'!$B$2:$B$201,'Trial Rows'!B132,'Trial Rows'!$C$2:$C$201,'Trial Rows'!C132,'Trial Rows'!$F$2:$F$201,'Trial Rows'!F132,'Trial Rows'!$G$2:$G$201,'Trial Rows'!G132,'Trial Rows'!$Y$2:$Y$201,'Trial Rows'!Y132,'Trial Rows'!$I$2:$I$201,1)=1,COUNTIFS('Trial Rows'!$B$2:$B$201,'Trial Rows'!B132,'Trial Rows'!$C$2:$C$201,'Trial Rows'!C132,'Trial Rows'!$F$2:$F$201,'Trial Rows'!F132,'Trial Rows'!$G$2:$G$201,'Trial Rows'!G132,'Trial Rows'!$Y$2:$Y$201,'Trial Rows'!Y132,'Trial Rows'!$I$2:$I$201,2)=1,COUNTIFS('Trial Rows'!$B$2:$B$201,'Trial Rows'!B132,'Trial Rows'!$C$2:$C$201,'Trial Rows'!C132,'Trial Rows'!$F$2:$F$201,'Trial Rows'!F132,'Trial Rows'!$G$2:$G$201,'Trial Rows'!G132,'Trial Rows'!$Y$2:$Y$201,'Trial Rows'!Y132,'Trial Rows'!$I$2:$I$201,3)=1,COUNTIFS('Trial Rows'!$B$2:$B$201,'Trial Rows'!B132,'Trial Rows'!$C$2:$C$201,'Trial Rows'!C132,'Trial Rows'!$F$2:$F$201,'Trial Rows'!F132,'Trial Rows'!$G$2:$G$201,'Trial Rows'!G132,'Trial Rows'!$Y$2:$Y$201,'Trial Rows'!Y132,'Trial Rows'!$I$2:$I$201,4)=1,COUNTIFS('Trial Rows'!$B$2:$B$201,'Trial Rows'!B132,'Trial Rows'!$C$2:$C$201,'Trial Rows'!C132,'Trial Rows'!$F$2:$F$201,'Trial Rows'!F132,'Trial Rows'!$G$2:$G$201,'Trial Rows'!G132,'Trial Rows'!$Y$2:$Y$201,'Trial Rows'!Y132,'Trial Rows'!$W$2:$W$201,"&lt;&gt;")=4,ISNUMBER('Trial Rows'!U132),COUNTIFS('Trial Rows'!$B$2:$B$201,'Trial Rows'!B132,'Trial Rows'!$C$2:$C$201,'Trial Rows'!C132,'Trial Rows'!$F$2:$F$201,'Trial Rows'!F132,'Trial Rows'!$G$2:$G$201,'Trial Rows'!G132,'Trial Rows'!$Y$2:$Y$201,'Trial Rows'!Y132,'Trial Rows'!$U$2:$U$201,'Trial Rows'!U132)=4,'Trial Rows'!U132&gt;=0),1,0)</x:f>
        <x:v>0</x:v>
      </x:c>
      <x:c r="O132" s="2" t="str">
        <x:f>IF(N132=1,'Trial Rows'!U132/1000,"")</x:f>
      </x:c>
      <x:c r="P132" s="2" t="str">
        <x:f>IF(AND(N132=1,'Trial Rows'!G132="A"),O132,"")</x:f>
      </x:c>
      <x:c r="Q132" s="2" t="str">
        <x:f>IF(AND(N132=1,'Trial Rows'!G132="B"),O132,"")</x:f>
      </x:c>
      <x:c r="R132" s="2" t="str">
        <x:f>IF(AND(N132=1,COUNTIFS('Trial Rows'!$B$2:$B$201,'Trial Rows'!B132,'Trial Rows'!$C$2:$C$201,'Trial Rows'!C132,'Trial Rows'!$F$2:$F$201,'Trial Rows'!F132,'Trial Rows'!$G$2:$G$201,'Trial Rows'!G132,'Trial Rows'!$Y$2:$Y$201,'Trial Rows'!Y132,'Trial Rows'!$N$2:$N$201,"&gt;=0",'Trial Rows'!$N$2:$N$201,"&lt;=4",'Trial Rows'!$N$2:$N$201,"&lt;&gt;")=4),SUMIFS('Trial Rows'!$N$2:$N$201,'Trial Rows'!$B$2:$B$201,'Trial Rows'!B132,'Trial Rows'!$C$2:$C$201,'Trial Rows'!C132,'Trial Rows'!$F$2:$F$201,'Trial Rows'!F132,'Trial Rows'!$G$2:$G$201,'Trial Rows'!G132,'Trial Rows'!$Y$2:$Y$201,'Trial Rows'!Y132,'Trial Rows'!$I$2:$I$201,1)+4-SUMIFS('Trial Rows'!$N$2:$N$201,'Trial Rows'!$B$2:$B$201,'Trial Rows'!B132,'Trial Rows'!$C$2:$C$201,'Trial Rows'!C132,'Trial Rows'!$F$2:$F$201,'Trial Rows'!F132,'Trial Rows'!$G$2:$G$201,'Trial Rows'!G132,'Trial Rows'!$Y$2:$Y$201,'Trial Rows'!Y132,'Trial Rows'!$I$2:$I$201,2)+4-SUMIFS('Trial Rows'!$N$2:$N$201,'Trial Rows'!$B$2:$B$201,'Trial Rows'!B132,'Trial Rows'!$C$2:$C$201,'Trial Rows'!C132,'Trial Rows'!$F$2:$F$201,'Trial Rows'!F132,'Trial Rows'!$G$2:$G$201,'Trial Rows'!G132,'Trial Rows'!$Y$2:$Y$201,'Trial Rows'!Y132,'Trial Rows'!$I$2:$I$201,3)+SUMIFS('Trial Rows'!$N$2:$N$201,'Trial Rows'!$B$2:$B$201,'Trial Rows'!B132,'Trial Rows'!$C$2:$C$201,'Trial Rows'!C132,'Trial Rows'!$F$2:$F$201,'Trial Rows'!F132,'Trial Rows'!$G$2:$G$201,'Trial Rows'!G132,'Trial Rows'!$Y$2:$Y$201,'Trial Rows'!Y132,'Trial Rows'!$I$2:$I$201,4),"")</x:f>
      </x:c>
      <x:c r="S132" s="2" t="n">
        <x:f>IF(AND(B132=1,COUNTIFS('Trial Rows'!$C$2:C132,'Trial Rows'!C132,'Trial Rows'!$F$2:F132,Summary!$B$5,'Trial Rows'!$Y$2:Y132,Summary!$B$4)=1),1,0)</x:f>
        <x:v>0</x:v>
      </x:c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 t="str">
        <x:f>IF('Trial Rows'!A133="","",'Trial Rows'!F133&amp;"|"&amp;'Trial Rows'!B133&amp;"|"&amp;'Trial Rows'!C133&amp;"|"&amp;'Trial Rows'!I133)</x:f>
      </x:c>
      <x:c r="B133" s="2" t="n">
        <x:f>IF(AND('Trial Rows'!A133&lt;&gt;"",'Trial Rows'!Y133=Summary!$B$4,'Trial Rows'!F133=Summary!$B$5),1,0)</x:f>
        <x:v>0</x:v>
      </x:c>
      <x:c r="C133" s="2" t="n">
        <x:f>IF(B133=1,COUNTIFS('Trial Rows'!$B$2:$B$201,'Trial Rows'!B133,'Trial Rows'!$C$2:$C$201,'Trial Rows'!C133,'Trial Rows'!$F$2:$F$201,'Trial Rows'!F133,'Trial Rows'!$I$2:$I$201,'Trial Rows'!I133,'Trial Rows'!$Y$2:$Y$201,'Trial Rows'!Y133,'Trial Rows'!$G$2:$G$201,"A"),0)</x:f>
        <x:v>0</x:v>
      </x:c>
      <x:c r="D133" s="2" t="n">
        <x:f>IF(B133=1,COUNTIFS('Trial Rows'!$B$2:$B$201,'Trial Rows'!B133,'Trial Rows'!$C$2:$C$201,'Trial Rows'!C133,'Trial Rows'!$F$2:$F$201,'Trial Rows'!F133,'Trial Rows'!$I$2:$I$201,'Trial Rows'!I133,'Trial Rows'!$Y$2:$Y$201,'Trial Rows'!Y133,'Trial Rows'!$G$2:$G$201,"B"),0)</x:f>
        <x:v>0</x:v>
      </x:c>
      <x:c r="E133" s="2" t="str">
        <x:f>IF(AND(C133=1,COUNTIFS('Trial Rows'!$B$2:$B$201,'Trial Rows'!B133,'Trial Rows'!$C$2:$C$201,'Trial Rows'!C133,'Trial Rows'!$F$2:$F$201,'Trial Rows'!F133,'Trial Rows'!$I$2:$I$201,'Trial Rows'!I133,'Trial Rows'!$Y$2:$Y$201,'Trial Rows'!Y133,'Trial Rows'!$G$2:$G$201,"A",'Trial Rows'!$K$2:$K$201,"&gt;=0",'Trial Rows'!$K$2:$K$201,"&lt;=4",'Trial Rows'!$K$2:$K$201,"&lt;&gt;")=1),SUMIFS('Trial Rows'!$K$2:$K$201,'Trial Rows'!$B$2:$B$201,'Trial Rows'!B133,'Trial Rows'!$C$2:$C$201,'Trial Rows'!C133,'Trial Rows'!$F$2:$F$201,'Trial Rows'!F133,'Trial Rows'!$I$2:$I$201,'Trial Rows'!I133,'Trial Rows'!$Y$2:$Y$201,'Trial Rows'!Y133,'Trial Rows'!$G$2:$G$201,"A"),"")</x:f>
      </x:c>
      <x:c r="F133" s="2" t="n">
        <x:f>IF(AND(B133=1,'Trial Rows'!G133="B",C133=1,D133=1,ISNUMBER(E133),ISNUMBER('Trial Rows'!M133),'Trial Rows'!M133&gt;=0,'Trial Rows'!M133&lt;=4,'Trial Rows'!Q133=0,'Trial Rows'!S133=0),1,0)</x:f>
        <x:v>0</x:v>
      </x:c>
      <x:c r="G133" s="2" t="n">
        <x:f>IF(F133=1,IF(E133='Trial Rows'!M133,1,0),0)</x:f>
        <x:v>0</x:v>
      </x:c>
      <x:c r="H133" s="2" t="n">
        <x:f>IF(AND(B133=1,'Trial Rows'!G133="B",C133=1,D133=1,ISNUMBER(E133),'Trial Rows'!R133=1,'Trial Rows'!Q133=0,'Trial Rows'!S133=0,ISNUMBER('Trial Rows'!L133),'Trial Rows'!L133&gt;=0,'Trial Rows'!L133&lt;=4),1,0)</x:f>
        <x:v>0</x:v>
      </x:c>
      <x:c r="I133" s="2" t="n">
        <x:f>IF(H133=1,IF(E133='Trial Rows'!L133,1,0),0)</x:f>
        <x:v>0</x:v>
      </x:c>
      <x:c r="J133" s="2" t="n">
        <x:f>IF(AND(B133=1,'Trial Rows'!G133="B",'Trial Rows'!P133&gt;0),1,0)</x:f>
        <x:v>0</x:v>
      </x:c>
      <x:c r="K133" s="2" t="n">
        <x:f>IF(AND(B133=1,'Trial Rows'!G133="B",'Trial Rows'!Q133=1),1,0)</x:f>
        <x:v>0</x:v>
      </x:c>
      <x:c r="L133" s="2" t="n">
        <x:f>IF(AND(B133=1,'Trial Rows'!G133="B",'Trial Rows'!R133=1,'Trial Rows'!Q133=0,'Trial Rows'!S133=0),1,0)</x:f>
        <x:v>0</x:v>
      </x:c>
      <x:c r="M133" s="2" t="n">
        <x:f>IF(AND(B133=1,'Trial Rows'!G133="B"),1,0)</x:f>
        <x:v>0</x:v>
      </x:c>
      <x:c r="N133" s="2" t="n">
        <x:f>IF(AND(B133=1,'Trial Rows'!I133=1,COUNTIFS('Trial Rows'!$B$2:$B$201,'Trial Rows'!B133,'Trial Rows'!$C$2:$C$201,'Trial Rows'!C133,'Trial Rows'!$F$2:$F$201,'Trial Rows'!F133,'Trial Rows'!$G$2:$G$201,'Trial Rows'!G133,'Trial Rows'!$Y$2:$Y$201,'Trial Rows'!Y133)=4,COUNTIFS('Trial Rows'!$B$2:$B$201,'Trial Rows'!B133,'Trial Rows'!$C$2:$C$201,'Trial Rows'!C133,'Trial Rows'!$F$2:$F$201,'Trial Rows'!F133,'Trial Rows'!$G$2:$G$201,'Trial Rows'!G133,'Trial Rows'!$Y$2:$Y$201,'Trial Rows'!Y133,'Trial Rows'!$I$2:$I$201,1)=1,COUNTIFS('Trial Rows'!$B$2:$B$201,'Trial Rows'!B133,'Trial Rows'!$C$2:$C$201,'Trial Rows'!C133,'Trial Rows'!$F$2:$F$201,'Trial Rows'!F133,'Trial Rows'!$G$2:$G$201,'Trial Rows'!G133,'Trial Rows'!$Y$2:$Y$201,'Trial Rows'!Y133,'Trial Rows'!$I$2:$I$201,2)=1,COUNTIFS('Trial Rows'!$B$2:$B$201,'Trial Rows'!B133,'Trial Rows'!$C$2:$C$201,'Trial Rows'!C133,'Trial Rows'!$F$2:$F$201,'Trial Rows'!F133,'Trial Rows'!$G$2:$G$201,'Trial Rows'!G133,'Trial Rows'!$Y$2:$Y$201,'Trial Rows'!Y133,'Trial Rows'!$I$2:$I$201,3)=1,COUNTIFS('Trial Rows'!$B$2:$B$201,'Trial Rows'!B133,'Trial Rows'!$C$2:$C$201,'Trial Rows'!C133,'Trial Rows'!$F$2:$F$201,'Trial Rows'!F133,'Trial Rows'!$G$2:$G$201,'Trial Rows'!G133,'Trial Rows'!$Y$2:$Y$201,'Trial Rows'!Y133,'Trial Rows'!$I$2:$I$201,4)=1,COUNTIFS('Trial Rows'!$B$2:$B$201,'Trial Rows'!B133,'Trial Rows'!$C$2:$C$201,'Trial Rows'!C133,'Trial Rows'!$F$2:$F$201,'Trial Rows'!F133,'Trial Rows'!$G$2:$G$201,'Trial Rows'!G133,'Trial Rows'!$Y$2:$Y$201,'Trial Rows'!Y133,'Trial Rows'!$W$2:$W$201,"&lt;&gt;")=4,ISNUMBER('Trial Rows'!U133),COUNTIFS('Trial Rows'!$B$2:$B$201,'Trial Rows'!B133,'Trial Rows'!$C$2:$C$201,'Trial Rows'!C133,'Trial Rows'!$F$2:$F$201,'Trial Rows'!F133,'Trial Rows'!$G$2:$G$201,'Trial Rows'!G133,'Trial Rows'!$Y$2:$Y$201,'Trial Rows'!Y133,'Trial Rows'!$U$2:$U$201,'Trial Rows'!U133)=4,'Trial Rows'!U133&gt;=0),1,0)</x:f>
        <x:v>0</x:v>
      </x:c>
      <x:c r="O133" s="2" t="str">
        <x:f>IF(N133=1,'Trial Rows'!U133/1000,"")</x:f>
      </x:c>
      <x:c r="P133" s="2" t="str">
        <x:f>IF(AND(N133=1,'Trial Rows'!G133="A"),O133,"")</x:f>
      </x:c>
      <x:c r="Q133" s="2" t="str">
        <x:f>IF(AND(N133=1,'Trial Rows'!G133="B"),O133,"")</x:f>
      </x:c>
      <x:c r="R133" s="2" t="str">
        <x:f>IF(AND(N133=1,COUNTIFS('Trial Rows'!$B$2:$B$201,'Trial Rows'!B133,'Trial Rows'!$C$2:$C$201,'Trial Rows'!C133,'Trial Rows'!$F$2:$F$201,'Trial Rows'!F133,'Trial Rows'!$G$2:$G$201,'Trial Rows'!G133,'Trial Rows'!$Y$2:$Y$201,'Trial Rows'!Y133,'Trial Rows'!$N$2:$N$201,"&gt;=0",'Trial Rows'!$N$2:$N$201,"&lt;=4",'Trial Rows'!$N$2:$N$201,"&lt;&gt;")=4),SUMIFS('Trial Rows'!$N$2:$N$201,'Trial Rows'!$B$2:$B$201,'Trial Rows'!B133,'Trial Rows'!$C$2:$C$201,'Trial Rows'!C133,'Trial Rows'!$F$2:$F$201,'Trial Rows'!F133,'Trial Rows'!$G$2:$G$201,'Trial Rows'!G133,'Trial Rows'!$Y$2:$Y$201,'Trial Rows'!Y133,'Trial Rows'!$I$2:$I$201,1)+4-SUMIFS('Trial Rows'!$N$2:$N$201,'Trial Rows'!$B$2:$B$201,'Trial Rows'!B133,'Trial Rows'!$C$2:$C$201,'Trial Rows'!C133,'Trial Rows'!$F$2:$F$201,'Trial Rows'!F133,'Trial Rows'!$G$2:$G$201,'Trial Rows'!G133,'Trial Rows'!$Y$2:$Y$201,'Trial Rows'!Y133,'Trial Rows'!$I$2:$I$201,2)+4-SUMIFS('Trial Rows'!$N$2:$N$201,'Trial Rows'!$B$2:$B$201,'Trial Rows'!B133,'Trial Rows'!$C$2:$C$201,'Trial Rows'!C133,'Trial Rows'!$F$2:$F$201,'Trial Rows'!F133,'Trial Rows'!$G$2:$G$201,'Trial Rows'!G133,'Trial Rows'!$Y$2:$Y$201,'Trial Rows'!Y133,'Trial Rows'!$I$2:$I$201,3)+SUMIFS('Trial Rows'!$N$2:$N$201,'Trial Rows'!$B$2:$B$201,'Trial Rows'!B133,'Trial Rows'!$C$2:$C$201,'Trial Rows'!C133,'Trial Rows'!$F$2:$F$201,'Trial Rows'!F133,'Trial Rows'!$G$2:$G$201,'Trial Rows'!G133,'Trial Rows'!$Y$2:$Y$201,'Trial Rows'!Y133,'Trial Rows'!$I$2:$I$201,4),"")</x:f>
      </x:c>
      <x:c r="S133" s="2" t="n">
        <x:f>IF(AND(B133=1,COUNTIFS('Trial Rows'!$C$2:C133,'Trial Rows'!C133,'Trial Rows'!$F$2:F133,Summary!$B$5,'Trial Rows'!$Y$2:Y133,Summary!$B$4)=1),1,0)</x:f>
        <x:v>0</x:v>
      </x:c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 t="str">
        <x:f>IF('Trial Rows'!A134="","",'Trial Rows'!F134&amp;"|"&amp;'Trial Rows'!B134&amp;"|"&amp;'Trial Rows'!C134&amp;"|"&amp;'Trial Rows'!I134)</x:f>
      </x:c>
      <x:c r="B134" s="2" t="n">
        <x:f>IF(AND('Trial Rows'!A134&lt;&gt;"",'Trial Rows'!Y134=Summary!$B$4,'Trial Rows'!F134=Summary!$B$5),1,0)</x:f>
        <x:v>0</x:v>
      </x:c>
      <x:c r="C134" s="2" t="n">
        <x:f>IF(B134=1,COUNTIFS('Trial Rows'!$B$2:$B$201,'Trial Rows'!B134,'Trial Rows'!$C$2:$C$201,'Trial Rows'!C134,'Trial Rows'!$F$2:$F$201,'Trial Rows'!F134,'Trial Rows'!$I$2:$I$201,'Trial Rows'!I134,'Trial Rows'!$Y$2:$Y$201,'Trial Rows'!Y134,'Trial Rows'!$G$2:$G$201,"A"),0)</x:f>
        <x:v>0</x:v>
      </x:c>
      <x:c r="D134" s="2" t="n">
        <x:f>IF(B134=1,COUNTIFS('Trial Rows'!$B$2:$B$201,'Trial Rows'!B134,'Trial Rows'!$C$2:$C$201,'Trial Rows'!C134,'Trial Rows'!$F$2:$F$201,'Trial Rows'!F134,'Trial Rows'!$I$2:$I$201,'Trial Rows'!I134,'Trial Rows'!$Y$2:$Y$201,'Trial Rows'!Y134,'Trial Rows'!$G$2:$G$201,"B"),0)</x:f>
        <x:v>0</x:v>
      </x:c>
      <x:c r="E134" s="2" t="str">
        <x:f>IF(AND(C134=1,COUNTIFS('Trial Rows'!$B$2:$B$201,'Trial Rows'!B134,'Trial Rows'!$C$2:$C$201,'Trial Rows'!C134,'Trial Rows'!$F$2:$F$201,'Trial Rows'!F134,'Trial Rows'!$I$2:$I$201,'Trial Rows'!I134,'Trial Rows'!$Y$2:$Y$201,'Trial Rows'!Y134,'Trial Rows'!$G$2:$G$201,"A",'Trial Rows'!$K$2:$K$201,"&gt;=0",'Trial Rows'!$K$2:$K$201,"&lt;=4",'Trial Rows'!$K$2:$K$201,"&lt;&gt;")=1),SUMIFS('Trial Rows'!$K$2:$K$201,'Trial Rows'!$B$2:$B$201,'Trial Rows'!B134,'Trial Rows'!$C$2:$C$201,'Trial Rows'!C134,'Trial Rows'!$F$2:$F$201,'Trial Rows'!F134,'Trial Rows'!$I$2:$I$201,'Trial Rows'!I134,'Trial Rows'!$Y$2:$Y$201,'Trial Rows'!Y134,'Trial Rows'!$G$2:$G$201,"A"),"")</x:f>
      </x:c>
      <x:c r="F134" s="2" t="n">
        <x:f>IF(AND(B134=1,'Trial Rows'!G134="B",C134=1,D134=1,ISNUMBER(E134),ISNUMBER('Trial Rows'!M134),'Trial Rows'!M134&gt;=0,'Trial Rows'!M134&lt;=4,'Trial Rows'!Q134=0,'Trial Rows'!S134=0),1,0)</x:f>
        <x:v>0</x:v>
      </x:c>
      <x:c r="G134" s="2" t="n">
        <x:f>IF(F134=1,IF(E134='Trial Rows'!M134,1,0),0)</x:f>
        <x:v>0</x:v>
      </x:c>
      <x:c r="H134" s="2" t="n">
        <x:f>IF(AND(B134=1,'Trial Rows'!G134="B",C134=1,D134=1,ISNUMBER(E134),'Trial Rows'!R134=1,'Trial Rows'!Q134=0,'Trial Rows'!S134=0,ISNUMBER('Trial Rows'!L134),'Trial Rows'!L134&gt;=0,'Trial Rows'!L134&lt;=4),1,0)</x:f>
        <x:v>0</x:v>
      </x:c>
      <x:c r="I134" s="2" t="n">
        <x:f>IF(H134=1,IF(E134='Trial Rows'!L134,1,0),0)</x:f>
        <x:v>0</x:v>
      </x:c>
      <x:c r="J134" s="2" t="n">
        <x:f>IF(AND(B134=1,'Trial Rows'!G134="B",'Trial Rows'!P134&gt;0),1,0)</x:f>
        <x:v>0</x:v>
      </x:c>
      <x:c r="K134" s="2" t="n">
        <x:f>IF(AND(B134=1,'Trial Rows'!G134="B",'Trial Rows'!Q134=1),1,0)</x:f>
        <x:v>0</x:v>
      </x:c>
      <x:c r="L134" s="2" t="n">
        <x:f>IF(AND(B134=1,'Trial Rows'!G134="B",'Trial Rows'!R134=1,'Trial Rows'!Q134=0,'Trial Rows'!S134=0),1,0)</x:f>
        <x:v>0</x:v>
      </x:c>
      <x:c r="M134" s="2" t="n">
        <x:f>IF(AND(B134=1,'Trial Rows'!G134="B"),1,0)</x:f>
        <x:v>0</x:v>
      </x:c>
      <x:c r="N134" s="2" t="n">
        <x:f>IF(AND(B134=1,'Trial Rows'!I134=1,COUNTIFS('Trial Rows'!$B$2:$B$201,'Trial Rows'!B134,'Trial Rows'!$C$2:$C$201,'Trial Rows'!C134,'Trial Rows'!$F$2:$F$201,'Trial Rows'!F134,'Trial Rows'!$G$2:$G$201,'Trial Rows'!G134,'Trial Rows'!$Y$2:$Y$201,'Trial Rows'!Y134)=4,COUNTIFS('Trial Rows'!$B$2:$B$201,'Trial Rows'!B134,'Trial Rows'!$C$2:$C$201,'Trial Rows'!C134,'Trial Rows'!$F$2:$F$201,'Trial Rows'!F134,'Trial Rows'!$G$2:$G$201,'Trial Rows'!G134,'Trial Rows'!$Y$2:$Y$201,'Trial Rows'!Y134,'Trial Rows'!$I$2:$I$201,1)=1,COUNTIFS('Trial Rows'!$B$2:$B$201,'Trial Rows'!B134,'Trial Rows'!$C$2:$C$201,'Trial Rows'!C134,'Trial Rows'!$F$2:$F$201,'Trial Rows'!F134,'Trial Rows'!$G$2:$G$201,'Trial Rows'!G134,'Trial Rows'!$Y$2:$Y$201,'Trial Rows'!Y134,'Trial Rows'!$I$2:$I$201,2)=1,COUNTIFS('Trial Rows'!$B$2:$B$201,'Trial Rows'!B134,'Trial Rows'!$C$2:$C$201,'Trial Rows'!C134,'Trial Rows'!$F$2:$F$201,'Trial Rows'!F134,'Trial Rows'!$G$2:$G$201,'Trial Rows'!G134,'Trial Rows'!$Y$2:$Y$201,'Trial Rows'!Y134,'Trial Rows'!$I$2:$I$201,3)=1,COUNTIFS('Trial Rows'!$B$2:$B$201,'Trial Rows'!B134,'Trial Rows'!$C$2:$C$201,'Trial Rows'!C134,'Trial Rows'!$F$2:$F$201,'Trial Rows'!F134,'Trial Rows'!$G$2:$G$201,'Trial Rows'!G134,'Trial Rows'!$Y$2:$Y$201,'Trial Rows'!Y134,'Trial Rows'!$I$2:$I$201,4)=1,COUNTIFS('Trial Rows'!$B$2:$B$201,'Trial Rows'!B134,'Trial Rows'!$C$2:$C$201,'Trial Rows'!C134,'Trial Rows'!$F$2:$F$201,'Trial Rows'!F134,'Trial Rows'!$G$2:$G$201,'Trial Rows'!G134,'Trial Rows'!$Y$2:$Y$201,'Trial Rows'!Y134,'Trial Rows'!$W$2:$W$201,"&lt;&gt;")=4,ISNUMBER('Trial Rows'!U134),COUNTIFS('Trial Rows'!$B$2:$B$201,'Trial Rows'!B134,'Trial Rows'!$C$2:$C$201,'Trial Rows'!C134,'Trial Rows'!$F$2:$F$201,'Trial Rows'!F134,'Trial Rows'!$G$2:$G$201,'Trial Rows'!G134,'Trial Rows'!$Y$2:$Y$201,'Trial Rows'!Y134,'Trial Rows'!$U$2:$U$201,'Trial Rows'!U134)=4,'Trial Rows'!U134&gt;=0),1,0)</x:f>
        <x:v>0</x:v>
      </x:c>
      <x:c r="O134" s="2" t="str">
        <x:f>IF(N134=1,'Trial Rows'!U134/1000,"")</x:f>
      </x:c>
      <x:c r="P134" s="2" t="str">
        <x:f>IF(AND(N134=1,'Trial Rows'!G134="A"),O134,"")</x:f>
      </x:c>
      <x:c r="Q134" s="2" t="str">
        <x:f>IF(AND(N134=1,'Trial Rows'!G134="B"),O134,"")</x:f>
      </x:c>
      <x:c r="R134" s="2" t="str">
        <x:f>IF(AND(N134=1,COUNTIFS('Trial Rows'!$B$2:$B$201,'Trial Rows'!B134,'Trial Rows'!$C$2:$C$201,'Trial Rows'!C134,'Trial Rows'!$F$2:$F$201,'Trial Rows'!F134,'Trial Rows'!$G$2:$G$201,'Trial Rows'!G134,'Trial Rows'!$Y$2:$Y$201,'Trial Rows'!Y134,'Trial Rows'!$N$2:$N$201,"&gt;=0",'Trial Rows'!$N$2:$N$201,"&lt;=4",'Trial Rows'!$N$2:$N$201,"&lt;&gt;")=4),SUMIFS('Trial Rows'!$N$2:$N$201,'Trial Rows'!$B$2:$B$201,'Trial Rows'!B134,'Trial Rows'!$C$2:$C$201,'Trial Rows'!C134,'Trial Rows'!$F$2:$F$201,'Trial Rows'!F134,'Trial Rows'!$G$2:$G$201,'Trial Rows'!G134,'Trial Rows'!$Y$2:$Y$201,'Trial Rows'!Y134,'Trial Rows'!$I$2:$I$201,1)+4-SUMIFS('Trial Rows'!$N$2:$N$201,'Trial Rows'!$B$2:$B$201,'Trial Rows'!B134,'Trial Rows'!$C$2:$C$201,'Trial Rows'!C134,'Trial Rows'!$F$2:$F$201,'Trial Rows'!F134,'Trial Rows'!$G$2:$G$201,'Trial Rows'!G134,'Trial Rows'!$Y$2:$Y$201,'Trial Rows'!Y134,'Trial Rows'!$I$2:$I$201,2)+4-SUMIFS('Trial Rows'!$N$2:$N$201,'Trial Rows'!$B$2:$B$201,'Trial Rows'!B134,'Trial Rows'!$C$2:$C$201,'Trial Rows'!C134,'Trial Rows'!$F$2:$F$201,'Trial Rows'!F134,'Trial Rows'!$G$2:$G$201,'Trial Rows'!G134,'Trial Rows'!$Y$2:$Y$201,'Trial Rows'!Y134,'Trial Rows'!$I$2:$I$201,3)+SUMIFS('Trial Rows'!$N$2:$N$201,'Trial Rows'!$B$2:$B$201,'Trial Rows'!B134,'Trial Rows'!$C$2:$C$201,'Trial Rows'!C134,'Trial Rows'!$F$2:$F$201,'Trial Rows'!F134,'Trial Rows'!$G$2:$G$201,'Trial Rows'!G134,'Trial Rows'!$Y$2:$Y$201,'Trial Rows'!Y134,'Trial Rows'!$I$2:$I$201,4),"")</x:f>
      </x:c>
      <x:c r="S134" s="2" t="n">
        <x:f>IF(AND(B134=1,COUNTIFS('Trial Rows'!$C$2:C134,'Trial Rows'!C134,'Trial Rows'!$F$2:F134,Summary!$B$5,'Trial Rows'!$Y$2:Y134,Summary!$B$4)=1),1,0)</x:f>
        <x:v>0</x:v>
      </x:c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 t="str">
        <x:f>IF('Trial Rows'!A135="","",'Trial Rows'!F135&amp;"|"&amp;'Trial Rows'!B135&amp;"|"&amp;'Trial Rows'!C135&amp;"|"&amp;'Trial Rows'!I135)</x:f>
      </x:c>
      <x:c r="B135" s="2" t="n">
        <x:f>IF(AND('Trial Rows'!A135&lt;&gt;"",'Trial Rows'!Y135=Summary!$B$4,'Trial Rows'!F135=Summary!$B$5),1,0)</x:f>
        <x:v>0</x:v>
      </x:c>
      <x:c r="C135" s="2" t="n">
        <x:f>IF(B135=1,COUNTIFS('Trial Rows'!$B$2:$B$201,'Trial Rows'!B135,'Trial Rows'!$C$2:$C$201,'Trial Rows'!C135,'Trial Rows'!$F$2:$F$201,'Trial Rows'!F135,'Trial Rows'!$I$2:$I$201,'Trial Rows'!I135,'Trial Rows'!$Y$2:$Y$201,'Trial Rows'!Y135,'Trial Rows'!$G$2:$G$201,"A"),0)</x:f>
        <x:v>0</x:v>
      </x:c>
      <x:c r="D135" s="2" t="n">
        <x:f>IF(B135=1,COUNTIFS('Trial Rows'!$B$2:$B$201,'Trial Rows'!B135,'Trial Rows'!$C$2:$C$201,'Trial Rows'!C135,'Trial Rows'!$F$2:$F$201,'Trial Rows'!F135,'Trial Rows'!$I$2:$I$201,'Trial Rows'!I135,'Trial Rows'!$Y$2:$Y$201,'Trial Rows'!Y135,'Trial Rows'!$G$2:$G$201,"B"),0)</x:f>
        <x:v>0</x:v>
      </x:c>
      <x:c r="E135" s="2" t="str">
        <x:f>IF(AND(C135=1,COUNTIFS('Trial Rows'!$B$2:$B$201,'Trial Rows'!B135,'Trial Rows'!$C$2:$C$201,'Trial Rows'!C135,'Trial Rows'!$F$2:$F$201,'Trial Rows'!F135,'Trial Rows'!$I$2:$I$201,'Trial Rows'!I135,'Trial Rows'!$Y$2:$Y$201,'Trial Rows'!Y135,'Trial Rows'!$G$2:$G$201,"A",'Trial Rows'!$K$2:$K$201,"&gt;=0",'Trial Rows'!$K$2:$K$201,"&lt;=4",'Trial Rows'!$K$2:$K$201,"&lt;&gt;")=1),SUMIFS('Trial Rows'!$K$2:$K$201,'Trial Rows'!$B$2:$B$201,'Trial Rows'!B135,'Trial Rows'!$C$2:$C$201,'Trial Rows'!C135,'Trial Rows'!$F$2:$F$201,'Trial Rows'!F135,'Trial Rows'!$I$2:$I$201,'Trial Rows'!I135,'Trial Rows'!$Y$2:$Y$201,'Trial Rows'!Y135,'Trial Rows'!$G$2:$G$201,"A"),"")</x:f>
      </x:c>
      <x:c r="F135" s="2" t="n">
        <x:f>IF(AND(B135=1,'Trial Rows'!G135="B",C135=1,D135=1,ISNUMBER(E135),ISNUMBER('Trial Rows'!M135),'Trial Rows'!M135&gt;=0,'Trial Rows'!M135&lt;=4,'Trial Rows'!Q135=0,'Trial Rows'!S135=0),1,0)</x:f>
        <x:v>0</x:v>
      </x:c>
      <x:c r="G135" s="2" t="n">
        <x:f>IF(F135=1,IF(E135='Trial Rows'!M135,1,0),0)</x:f>
        <x:v>0</x:v>
      </x:c>
      <x:c r="H135" s="2" t="n">
        <x:f>IF(AND(B135=1,'Trial Rows'!G135="B",C135=1,D135=1,ISNUMBER(E135),'Trial Rows'!R135=1,'Trial Rows'!Q135=0,'Trial Rows'!S135=0,ISNUMBER('Trial Rows'!L135),'Trial Rows'!L135&gt;=0,'Trial Rows'!L135&lt;=4),1,0)</x:f>
        <x:v>0</x:v>
      </x:c>
      <x:c r="I135" s="2" t="n">
        <x:f>IF(H135=1,IF(E135='Trial Rows'!L135,1,0),0)</x:f>
        <x:v>0</x:v>
      </x:c>
      <x:c r="J135" s="2" t="n">
        <x:f>IF(AND(B135=1,'Trial Rows'!G135="B",'Trial Rows'!P135&gt;0),1,0)</x:f>
        <x:v>0</x:v>
      </x:c>
      <x:c r="K135" s="2" t="n">
        <x:f>IF(AND(B135=1,'Trial Rows'!G135="B",'Trial Rows'!Q135=1),1,0)</x:f>
        <x:v>0</x:v>
      </x:c>
      <x:c r="L135" s="2" t="n">
        <x:f>IF(AND(B135=1,'Trial Rows'!G135="B",'Trial Rows'!R135=1,'Trial Rows'!Q135=0,'Trial Rows'!S135=0),1,0)</x:f>
        <x:v>0</x:v>
      </x:c>
      <x:c r="M135" s="2" t="n">
        <x:f>IF(AND(B135=1,'Trial Rows'!G135="B"),1,0)</x:f>
        <x:v>0</x:v>
      </x:c>
      <x:c r="N135" s="2" t="n">
        <x:f>IF(AND(B135=1,'Trial Rows'!I135=1,COUNTIFS('Trial Rows'!$B$2:$B$201,'Trial Rows'!B135,'Trial Rows'!$C$2:$C$201,'Trial Rows'!C135,'Trial Rows'!$F$2:$F$201,'Trial Rows'!F135,'Trial Rows'!$G$2:$G$201,'Trial Rows'!G135,'Trial Rows'!$Y$2:$Y$201,'Trial Rows'!Y135)=4,COUNTIFS('Trial Rows'!$B$2:$B$201,'Trial Rows'!B135,'Trial Rows'!$C$2:$C$201,'Trial Rows'!C135,'Trial Rows'!$F$2:$F$201,'Trial Rows'!F135,'Trial Rows'!$G$2:$G$201,'Trial Rows'!G135,'Trial Rows'!$Y$2:$Y$201,'Trial Rows'!Y135,'Trial Rows'!$I$2:$I$201,1)=1,COUNTIFS('Trial Rows'!$B$2:$B$201,'Trial Rows'!B135,'Trial Rows'!$C$2:$C$201,'Trial Rows'!C135,'Trial Rows'!$F$2:$F$201,'Trial Rows'!F135,'Trial Rows'!$G$2:$G$201,'Trial Rows'!G135,'Trial Rows'!$Y$2:$Y$201,'Trial Rows'!Y135,'Trial Rows'!$I$2:$I$201,2)=1,COUNTIFS('Trial Rows'!$B$2:$B$201,'Trial Rows'!B135,'Trial Rows'!$C$2:$C$201,'Trial Rows'!C135,'Trial Rows'!$F$2:$F$201,'Trial Rows'!F135,'Trial Rows'!$G$2:$G$201,'Trial Rows'!G135,'Trial Rows'!$Y$2:$Y$201,'Trial Rows'!Y135,'Trial Rows'!$I$2:$I$201,3)=1,COUNTIFS('Trial Rows'!$B$2:$B$201,'Trial Rows'!B135,'Trial Rows'!$C$2:$C$201,'Trial Rows'!C135,'Trial Rows'!$F$2:$F$201,'Trial Rows'!F135,'Trial Rows'!$G$2:$G$201,'Trial Rows'!G135,'Trial Rows'!$Y$2:$Y$201,'Trial Rows'!Y135,'Trial Rows'!$I$2:$I$201,4)=1,COUNTIFS('Trial Rows'!$B$2:$B$201,'Trial Rows'!B135,'Trial Rows'!$C$2:$C$201,'Trial Rows'!C135,'Trial Rows'!$F$2:$F$201,'Trial Rows'!F135,'Trial Rows'!$G$2:$G$201,'Trial Rows'!G135,'Trial Rows'!$Y$2:$Y$201,'Trial Rows'!Y135,'Trial Rows'!$W$2:$W$201,"&lt;&gt;")=4,ISNUMBER('Trial Rows'!U135),COUNTIFS('Trial Rows'!$B$2:$B$201,'Trial Rows'!B135,'Trial Rows'!$C$2:$C$201,'Trial Rows'!C135,'Trial Rows'!$F$2:$F$201,'Trial Rows'!F135,'Trial Rows'!$G$2:$G$201,'Trial Rows'!G135,'Trial Rows'!$Y$2:$Y$201,'Trial Rows'!Y135,'Trial Rows'!$U$2:$U$201,'Trial Rows'!U135)=4,'Trial Rows'!U135&gt;=0),1,0)</x:f>
        <x:v>0</x:v>
      </x:c>
      <x:c r="O135" s="2" t="str">
        <x:f>IF(N135=1,'Trial Rows'!U135/1000,"")</x:f>
      </x:c>
      <x:c r="P135" s="2" t="str">
        <x:f>IF(AND(N135=1,'Trial Rows'!G135="A"),O135,"")</x:f>
      </x:c>
      <x:c r="Q135" s="2" t="str">
        <x:f>IF(AND(N135=1,'Trial Rows'!G135="B"),O135,"")</x:f>
      </x:c>
      <x:c r="R135" s="2" t="str">
        <x:f>IF(AND(N135=1,COUNTIFS('Trial Rows'!$B$2:$B$201,'Trial Rows'!B135,'Trial Rows'!$C$2:$C$201,'Trial Rows'!C135,'Trial Rows'!$F$2:$F$201,'Trial Rows'!F135,'Trial Rows'!$G$2:$G$201,'Trial Rows'!G135,'Trial Rows'!$Y$2:$Y$201,'Trial Rows'!Y135,'Trial Rows'!$N$2:$N$201,"&gt;=0",'Trial Rows'!$N$2:$N$201,"&lt;=4",'Trial Rows'!$N$2:$N$201,"&lt;&gt;")=4),SUMIFS('Trial Rows'!$N$2:$N$201,'Trial Rows'!$B$2:$B$201,'Trial Rows'!B135,'Trial Rows'!$C$2:$C$201,'Trial Rows'!C135,'Trial Rows'!$F$2:$F$201,'Trial Rows'!F135,'Trial Rows'!$G$2:$G$201,'Trial Rows'!G135,'Trial Rows'!$Y$2:$Y$201,'Trial Rows'!Y135,'Trial Rows'!$I$2:$I$201,1)+4-SUMIFS('Trial Rows'!$N$2:$N$201,'Trial Rows'!$B$2:$B$201,'Trial Rows'!B135,'Trial Rows'!$C$2:$C$201,'Trial Rows'!C135,'Trial Rows'!$F$2:$F$201,'Trial Rows'!F135,'Trial Rows'!$G$2:$G$201,'Trial Rows'!G135,'Trial Rows'!$Y$2:$Y$201,'Trial Rows'!Y135,'Trial Rows'!$I$2:$I$201,2)+4-SUMIFS('Trial Rows'!$N$2:$N$201,'Trial Rows'!$B$2:$B$201,'Trial Rows'!B135,'Trial Rows'!$C$2:$C$201,'Trial Rows'!C135,'Trial Rows'!$F$2:$F$201,'Trial Rows'!F135,'Trial Rows'!$G$2:$G$201,'Trial Rows'!G135,'Trial Rows'!$Y$2:$Y$201,'Trial Rows'!Y135,'Trial Rows'!$I$2:$I$201,3)+SUMIFS('Trial Rows'!$N$2:$N$201,'Trial Rows'!$B$2:$B$201,'Trial Rows'!B135,'Trial Rows'!$C$2:$C$201,'Trial Rows'!C135,'Trial Rows'!$F$2:$F$201,'Trial Rows'!F135,'Trial Rows'!$G$2:$G$201,'Trial Rows'!G135,'Trial Rows'!$Y$2:$Y$201,'Trial Rows'!Y135,'Trial Rows'!$I$2:$I$201,4),"")</x:f>
      </x:c>
      <x:c r="S135" s="2" t="n">
        <x:f>IF(AND(B135=1,COUNTIFS('Trial Rows'!$C$2:C135,'Trial Rows'!C135,'Trial Rows'!$F$2:F135,Summary!$B$5,'Trial Rows'!$Y$2:Y135,Summary!$B$4)=1),1,0)</x:f>
        <x:v>0</x:v>
      </x:c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 t="str">
        <x:f>IF('Trial Rows'!A136="","",'Trial Rows'!F136&amp;"|"&amp;'Trial Rows'!B136&amp;"|"&amp;'Trial Rows'!C136&amp;"|"&amp;'Trial Rows'!I136)</x:f>
      </x:c>
      <x:c r="B136" s="2" t="n">
        <x:f>IF(AND('Trial Rows'!A136&lt;&gt;"",'Trial Rows'!Y136=Summary!$B$4,'Trial Rows'!F136=Summary!$B$5),1,0)</x:f>
        <x:v>0</x:v>
      </x:c>
      <x:c r="C136" s="2" t="n">
        <x:f>IF(B136=1,COUNTIFS('Trial Rows'!$B$2:$B$201,'Trial Rows'!B136,'Trial Rows'!$C$2:$C$201,'Trial Rows'!C136,'Trial Rows'!$F$2:$F$201,'Trial Rows'!F136,'Trial Rows'!$I$2:$I$201,'Trial Rows'!I136,'Trial Rows'!$Y$2:$Y$201,'Trial Rows'!Y136,'Trial Rows'!$G$2:$G$201,"A"),0)</x:f>
        <x:v>0</x:v>
      </x:c>
      <x:c r="D136" s="2" t="n">
        <x:f>IF(B136=1,COUNTIFS('Trial Rows'!$B$2:$B$201,'Trial Rows'!B136,'Trial Rows'!$C$2:$C$201,'Trial Rows'!C136,'Trial Rows'!$F$2:$F$201,'Trial Rows'!F136,'Trial Rows'!$I$2:$I$201,'Trial Rows'!I136,'Trial Rows'!$Y$2:$Y$201,'Trial Rows'!Y136,'Trial Rows'!$G$2:$G$201,"B"),0)</x:f>
        <x:v>0</x:v>
      </x:c>
      <x:c r="E136" s="2" t="str">
        <x:f>IF(AND(C136=1,COUNTIFS('Trial Rows'!$B$2:$B$201,'Trial Rows'!B136,'Trial Rows'!$C$2:$C$201,'Trial Rows'!C136,'Trial Rows'!$F$2:$F$201,'Trial Rows'!F136,'Trial Rows'!$I$2:$I$201,'Trial Rows'!I136,'Trial Rows'!$Y$2:$Y$201,'Trial Rows'!Y136,'Trial Rows'!$G$2:$G$201,"A",'Trial Rows'!$K$2:$K$201,"&gt;=0",'Trial Rows'!$K$2:$K$201,"&lt;=4",'Trial Rows'!$K$2:$K$201,"&lt;&gt;")=1),SUMIFS('Trial Rows'!$K$2:$K$201,'Trial Rows'!$B$2:$B$201,'Trial Rows'!B136,'Trial Rows'!$C$2:$C$201,'Trial Rows'!C136,'Trial Rows'!$F$2:$F$201,'Trial Rows'!F136,'Trial Rows'!$I$2:$I$201,'Trial Rows'!I136,'Trial Rows'!$Y$2:$Y$201,'Trial Rows'!Y136,'Trial Rows'!$G$2:$G$201,"A"),"")</x:f>
      </x:c>
      <x:c r="F136" s="2" t="n">
        <x:f>IF(AND(B136=1,'Trial Rows'!G136="B",C136=1,D136=1,ISNUMBER(E136),ISNUMBER('Trial Rows'!M136),'Trial Rows'!M136&gt;=0,'Trial Rows'!M136&lt;=4,'Trial Rows'!Q136=0,'Trial Rows'!S136=0),1,0)</x:f>
        <x:v>0</x:v>
      </x:c>
      <x:c r="G136" s="2" t="n">
        <x:f>IF(F136=1,IF(E136='Trial Rows'!M136,1,0),0)</x:f>
        <x:v>0</x:v>
      </x:c>
      <x:c r="H136" s="2" t="n">
        <x:f>IF(AND(B136=1,'Trial Rows'!G136="B",C136=1,D136=1,ISNUMBER(E136),'Trial Rows'!R136=1,'Trial Rows'!Q136=0,'Trial Rows'!S136=0,ISNUMBER('Trial Rows'!L136),'Trial Rows'!L136&gt;=0,'Trial Rows'!L136&lt;=4),1,0)</x:f>
        <x:v>0</x:v>
      </x:c>
      <x:c r="I136" s="2" t="n">
        <x:f>IF(H136=1,IF(E136='Trial Rows'!L136,1,0),0)</x:f>
        <x:v>0</x:v>
      </x:c>
      <x:c r="J136" s="2" t="n">
        <x:f>IF(AND(B136=1,'Trial Rows'!G136="B",'Trial Rows'!P136&gt;0),1,0)</x:f>
        <x:v>0</x:v>
      </x:c>
      <x:c r="K136" s="2" t="n">
        <x:f>IF(AND(B136=1,'Trial Rows'!G136="B",'Trial Rows'!Q136=1),1,0)</x:f>
        <x:v>0</x:v>
      </x:c>
      <x:c r="L136" s="2" t="n">
        <x:f>IF(AND(B136=1,'Trial Rows'!G136="B",'Trial Rows'!R136=1,'Trial Rows'!Q136=0,'Trial Rows'!S136=0),1,0)</x:f>
        <x:v>0</x:v>
      </x:c>
      <x:c r="M136" s="2" t="n">
        <x:f>IF(AND(B136=1,'Trial Rows'!G136="B"),1,0)</x:f>
        <x:v>0</x:v>
      </x:c>
      <x:c r="N136" s="2" t="n">
        <x:f>IF(AND(B136=1,'Trial Rows'!I136=1,COUNTIFS('Trial Rows'!$B$2:$B$201,'Trial Rows'!B136,'Trial Rows'!$C$2:$C$201,'Trial Rows'!C136,'Trial Rows'!$F$2:$F$201,'Trial Rows'!F136,'Trial Rows'!$G$2:$G$201,'Trial Rows'!G136,'Trial Rows'!$Y$2:$Y$201,'Trial Rows'!Y136)=4,COUNTIFS('Trial Rows'!$B$2:$B$201,'Trial Rows'!B136,'Trial Rows'!$C$2:$C$201,'Trial Rows'!C136,'Trial Rows'!$F$2:$F$201,'Trial Rows'!F136,'Trial Rows'!$G$2:$G$201,'Trial Rows'!G136,'Trial Rows'!$Y$2:$Y$201,'Trial Rows'!Y136,'Trial Rows'!$I$2:$I$201,1)=1,COUNTIFS('Trial Rows'!$B$2:$B$201,'Trial Rows'!B136,'Trial Rows'!$C$2:$C$201,'Trial Rows'!C136,'Trial Rows'!$F$2:$F$201,'Trial Rows'!F136,'Trial Rows'!$G$2:$G$201,'Trial Rows'!G136,'Trial Rows'!$Y$2:$Y$201,'Trial Rows'!Y136,'Trial Rows'!$I$2:$I$201,2)=1,COUNTIFS('Trial Rows'!$B$2:$B$201,'Trial Rows'!B136,'Trial Rows'!$C$2:$C$201,'Trial Rows'!C136,'Trial Rows'!$F$2:$F$201,'Trial Rows'!F136,'Trial Rows'!$G$2:$G$201,'Trial Rows'!G136,'Trial Rows'!$Y$2:$Y$201,'Trial Rows'!Y136,'Trial Rows'!$I$2:$I$201,3)=1,COUNTIFS('Trial Rows'!$B$2:$B$201,'Trial Rows'!B136,'Trial Rows'!$C$2:$C$201,'Trial Rows'!C136,'Trial Rows'!$F$2:$F$201,'Trial Rows'!F136,'Trial Rows'!$G$2:$G$201,'Trial Rows'!G136,'Trial Rows'!$Y$2:$Y$201,'Trial Rows'!Y136,'Trial Rows'!$I$2:$I$201,4)=1,COUNTIFS('Trial Rows'!$B$2:$B$201,'Trial Rows'!B136,'Trial Rows'!$C$2:$C$201,'Trial Rows'!C136,'Trial Rows'!$F$2:$F$201,'Trial Rows'!F136,'Trial Rows'!$G$2:$G$201,'Trial Rows'!G136,'Trial Rows'!$Y$2:$Y$201,'Trial Rows'!Y136,'Trial Rows'!$W$2:$W$201,"&lt;&gt;")=4,ISNUMBER('Trial Rows'!U136),COUNTIFS('Trial Rows'!$B$2:$B$201,'Trial Rows'!B136,'Trial Rows'!$C$2:$C$201,'Trial Rows'!C136,'Trial Rows'!$F$2:$F$201,'Trial Rows'!F136,'Trial Rows'!$G$2:$G$201,'Trial Rows'!G136,'Trial Rows'!$Y$2:$Y$201,'Trial Rows'!Y136,'Trial Rows'!$U$2:$U$201,'Trial Rows'!U136)=4,'Trial Rows'!U136&gt;=0),1,0)</x:f>
        <x:v>0</x:v>
      </x:c>
      <x:c r="O136" s="2" t="str">
        <x:f>IF(N136=1,'Trial Rows'!U136/1000,"")</x:f>
      </x:c>
      <x:c r="P136" s="2" t="str">
        <x:f>IF(AND(N136=1,'Trial Rows'!G136="A"),O136,"")</x:f>
      </x:c>
      <x:c r="Q136" s="2" t="str">
        <x:f>IF(AND(N136=1,'Trial Rows'!G136="B"),O136,"")</x:f>
      </x:c>
      <x:c r="R136" s="2" t="str">
        <x:f>IF(AND(N136=1,COUNTIFS('Trial Rows'!$B$2:$B$201,'Trial Rows'!B136,'Trial Rows'!$C$2:$C$201,'Trial Rows'!C136,'Trial Rows'!$F$2:$F$201,'Trial Rows'!F136,'Trial Rows'!$G$2:$G$201,'Trial Rows'!G136,'Trial Rows'!$Y$2:$Y$201,'Trial Rows'!Y136,'Trial Rows'!$N$2:$N$201,"&gt;=0",'Trial Rows'!$N$2:$N$201,"&lt;=4",'Trial Rows'!$N$2:$N$201,"&lt;&gt;")=4),SUMIFS('Trial Rows'!$N$2:$N$201,'Trial Rows'!$B$2:$B$201,'Trial Rows'!B136,'Trial Rows'!$C$2:$C$201,'Trial Rows'!C136,'Trial Rows'!$F$2:$F$201,'Trial Rows'!F136,'Trial Rows'!$G$2:$G$201,'Trial Rows'!G136,'Trial Rows'!$Y$2:$Y$201,'Trial Rows'!Y136,'Trial Rows'!$I$2:$I$201,1)+4-SUMIFS('Trial Rows'!$N$2:$N$201,'Trial Rows'!$B$2:$B$201,'Trial Rows'!B136,'Trial Rows'!$C$2:$C$201,'Trial Rows'!C136,'Trial Rows'!$F$2:$F$201,'Trial Rows'!F136,'Trial Rows'!$G$2:$G$201,'Trial Rows'!G136,'Trial Rows'!$Y$2:$Y$201,'Trial Rows'!Y136,'Trial Rows'!$I$2:$I$201,2)+4-SUMIFS('Trial Rows'!$N$2:$N$201,'Trial Rows'!$B$2:$B$201,'Trial Rows'!B136,'Trial Rows'!$C$2:$C$201,'Trial Rows'!C136,'Trial Rows'!$F$2:$F$201,'Trial Rows'!F136,'Trial Rows'!$G$2:$G$201,'Trial Rows'!G136,'Trial Rows'!$Y$2:$Y$201,'Trial Rows'!Y136,'Trial Rows'!$I$2:$I$201,3)+SUMIFS('Trial Rows'!$N$2:$N$201,'Trial Rows'!$B$2:$B$201,'Trial Rows'!B136,'Trial Rows'!$C$2:$C$201,'Trial Rows'!C136,'Trial Rows'!$F$2:$F$201,'Trial Rows'!F136,'Trial Rows'!$G$2:$G$201,'Trial Rows'!G136,'Trial Rows'!$Y$2:$Y$201,'Trial Rows'!Y136,'Trial Rows'!$I$2:$I$201,4),"")</x:f>
      </x:c>
      <x:c r="S136" s="2" t="n">
        <x:f>IF(AND(B136=1,COUNTIFS('Trial Rows'!$C$2:C136,'Trial Rows'!C136,'Trial Rows'!$F$2:F136,Summary!$B$5,'Trial Rows'!$Y$2:Y136,Summary!$B$4)=1),1,0)</x:f>
        <x:v>0</x:v>
      </x:c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 t="str">
        <x:f>IF('Trial Rows'!A137="","",'Trial Rows'!F137&amp;"|"&amp;'Trial Rows'!B137&amp;"|"&amp;'Trial Rows'!C137&amp;"|"&amp;'Trial Rows'!I137)</x:f>
      </x:c>
      <x:c r="B137" s="2" t="n">
        <x:f>IF(AND('Trial Rows'!A137&lt;&gt;"",'Trial Rows'!Y137=Summary!$B$4,'Trial Rows'!F137=Summary!$B$5),1,0)</x:f>
        <x:v>0</x:v>
      </x:c>
      <x:c r="C137" s="2" t="n">
        <x:f>IF(B137=1,COUNTIFS('Trial Rows'!$B$2:$B$201,'Trial Rows'!B137,'Trial Rows'!$C$2:$C$201,'Trial Rows'!C137,'Trial Rows'!$F$2:$F$201,'Trial Rows'!F137,'Trial Rows'!$I$2:$I$201,'Trial Rows'!I137,'Trial Rows'!$Y$2:$Y$201,'Trial Rows'!Y137,'Trial Rows'!$G$2:$G$201,"A"),0)</x:f>
        <x:v>0</x:v>
      </x:c>
      <x:c r="D137" s="2" t="n">
        <x:f>IF(B137=1,COUNTIFS('Trial Rows'!$B$2:$B$201,'Trial Rows'!B137,'Trial Rows'!$C$2:$C$201,'Trial Rows'!C137,'Trial Rows'!$F$2:$F$201,'Trial Rows'!F137,'Trial Rows'!$I$2:$I$201,'Trial Rows'!I137,'Trial Rows'!$Y$2:$Y$201,'Trial Rows'!Y137,'Trial Rows'!$G$2:$G$201,"B"),0)</x:f>
        <x:v>0</x:v>
      </x:c>
      <x:c r="E137" s="2" t="str">
        <x:f>IF(AND(C137=1,COUNTIFS('Trial Rows'!$B$2:$B$201,'Trial Rows'!B137,'Trial Rows'!$C$2:$C$201,'Trial Rows'!C137,'Trial Rows'!$F$2:$F$201,'Trial Rows'!F137,'Trial Rows'!$I$2:$I$201,'Trial Rows'!I137,'Trial Rows'!$Y$2:$Y$201,'Trial Rows'!Y137,'Trial Rows'!$G$2:$G$201,"A",'Trial Rows'!$K$2:$K$201,"&gt;=0",'Trial Rows'!$K$2:$K$201,"&lt;=4",'Trial Rows'!$K$2:$K$201,"&lt;&gt;")=1),SUMIFS('Trial Rows'!$K$2:$K$201,'Trial Rows'!$B$2:$B$201,'Trial Rows'!B137,'Trial Rows'!$C$2:$C$201,'Trial Rows'!C137,'Trial Rows'!$F$2:$F$201,'Trial Rows'!F137,'Trial Rows'!$I$2:$I$201,'Trial Rows'!I137,'Trial Rows'!$Y$2:$Y$201,'Trial Rows'!Y137,'Trial Rows'!$G$2:$G$201,"A"),"")</x:f>
      </x:c>
      <x:c r="F137" s="2" t="n">
        <x:f>IF(AND(B137=1,'Trial Rows'!G137="B",C137=1,D137=1,ISNUMBER(E137),ISNUMBER('Trial Rows'!M137),'Trial Rows'!M137&gt;=0,'Trial Rows'!M137&lt;=4,'Trial Rows'!Q137=0,'Trial Rows'!S137=0),1,0)</x:f>
        <x:v>0</x:v>
      </x:c>
      <x:c r="G137" s="2" t="n">
        <x:f>IF(F137=1,IF(E137='Trial Rows'!M137,1,0),0)</x:f>
        <x:v>0</x:v>
      </x:c>
      <x:c r="H137" s="2" t="n">
        <x:f>IF(AND(B137=1,'Trial Rows'!G137="B",C137=1,D137=1,ISNUMBER(E137),'Trial Rows'!R137=1,'Trial Rows'!Q137=0,'Trial Rows'!S137=0,ISNUMBER('Trial Rows'!L137),'Trial Rows'!L137&gt;=0,'Trial Rows'!L137&lt;=4),1,0)</x:f>
        <x:v>0</x:v>
      </x:c>
      <x:c r="I137" s="2" t="n">
        <x:f>IF(H137=1,IF(E137='Trial Rows'!L137,1,0),0)</x:f>
        <x:v>0</x:v>
      </x:c>
      <x:c r="J137" s="2" t="n">
        <x:f>IF(AND(B137=1,'Trial Rows'!G137="B",'Trial Rows'!P137&gt;0),1,0)</x:f>
        <x:v>0</x:v>
      </x:c>
      <x:c r="K137" s="2" t="n">
        <x:f>IF(AND(B137=1,'Trial Rows'!G137="B",'Trial Rows'!Q137=1),1,0)</x:f>
        <x:v>0</x:v>
      </x:c>
      <x:c r="L137" s="2" t="n">
        <x:f>IF(AND(B137=1,'Trial Rows'!G137="B",'Trial Rows'!R137=1,'Trial Rows'!Q137=0,'Trial Rows'!S137=0),1,0)</x:f>
        <x:v>0</x:v>
      </x:c>
      <x:c r="M137" s="2" t="n">
        <x:f>IF(AND(B137=1,'Trial Rows'!G137="B"),1,0)</x:f>
        <x:v>0</x:v>
      </x:c>
      <x:c r="N137" s="2" t="n">
        <x:f>IF(AND(B137=1,'Trial Rows'!I137=1,COUNTIFS('Trial Rows'!$B$2:$B$201,'Trial Rows'!B137,'Trial Rows'!$C$2:$C$201,'Trial Rows'!C137,'Trial Rows'!$F$2:$F$201,'Trial Rows'!F137,'Trial Rows'!$G$2:$G$201,'Trial Rows'!G137,'Trial Rows'!$Y$2:$Y$201,'Trial Rows'!Y137)=4,COUNTIFS('Trial Rows'!$B$2:$B$201,'Trial Rows'!B137,'Trial Rows'!$C$2:$C$201,'Trial Rows'!C137,'Trial Rows'!$F$2:$F$201,'Trial Rows'!F137,'Trial Rows'!$G$2:$G$201,'Trial Rows'!G137,'Trial Rows'!$Y$2:$Y$201,'Trial Rows'!Y137,'Trial Rows'!$I$2:$I$201,1)=1,COUNTIFS('Trial Rows'!$B$2:$B$201,'Trial Rows'!B137,'Trial Rows'!$C$2:$C$201,'Trial Rows'!C137,'Trial Rows'!$F$2:$F$201,'Trial Rows'!F137,'Trial Rows'!$G$2:$G$201,'Trial Rows'!G137,'Trial Rows'!$Y$2:$Y$201,'Trial Rows'!Y137,'Trial Rows'!$I$2:$I$201,2)=1,COUNTIFS('Trial Rows'!$B$2:$B$201,'Trial Rows'!B137,'Trial Rows'!$C$2:$C$201,'Trial Rows'!C137,'Trial Rows'!$F$2:$F$201,'Trial Rows'!F137,'Trial Rows'!$G$2:$G$201,'Trial Rows'!G137,'Trial Rows'!$Y$2:$Y$201,'Trial Rows'!Y137,'Trial Rows'!$I$2:$I$201,3)=1,COUNTIFS('Trial Rows'!$B$2:$B$201,'Trial Rows'!B137,'Trial Rows'!$C$2:$C$201,'Trial Rows'!C137,'Trial Rows'!$F$2:$F$201,'Trial Rows'!F137,'Trial Rows'!$G$2:$G$201,'Trial Rows'!G137,'Trial Rows'!$Y$2:$Y$201,'Trial Rows'!Y137,'Trial Rows'!$I$2:$I$201,4)=1,COUNTIFS('Trial Rows'!$B$2:$B$201,'Trial Rows'!B137,'Trial Rows'!$C$2:$C$201,'Trial Rows'!C137,'Trial Rows'!$F$2:$F$201,'Trial Rows'!F137,'Trial Rows'!$G$2:$G$201,'Trial Rows'!G137,'Trial Rows'!$Y$2:$Y$201,'Trial Rows'!Y137,'Trial Rows'!$W$2:$W$201,"&lt;&gt;")=4,ISNUMBER('Trial Rows'!U137),COUNTIFS('Trial Rows'!$B$2:$B$201,'Trial Rows'!B137,'Trial Rows'!$C$2:$C$201,'Trial Rows'!C137,'Trial Rows'!$F$2:$F$201,'Trial Rows'!F137,'Trial Rows'!$G$2:$G$201,'Trial Rows'!G137,'Trial Rows'!$Y$2:$Y$201,'Trial Rows'!Y137,'Trial Rows'!$U$2:$U$201,'Trial Rows'!U137)=4,'Trial Rows'!U137&gt;=0),1,0)</x:f>
        <x:v>0</x:v>
      </x:c>
      <x:c r="O137" s="2" t="str">
        <x:f>IF(N137=1,'Trial Rows'!U137/1000,"")</x:f>
      </x:c>
      <x:c r="P137" s="2" t="str">
        <x:f>IF(AND(N137=1,'Trial Rows'!G137="A"),O137,"")</x:f>
      </x:c>
      <x:c r="Q137" s="2" t="str">
        <x:f>IF(AND(N137=1,'Trial Rows'!G137="B"),O137,"")</x:f>
      </x:c>
      <x:c r="R137" s="2" t="str">
        <x:f>IF(AND(N137=1,COUNTIFS('Trial Rows'!$B$2:$B$201,'Trial Rows'!B137,'Trial Rows'!$C$2:$C$201,'Trial Rows'!C137,'Trial Rows'!$F$2:$F$201,'Trial Rows'!F137,'Trial Rows'!$G$2:$G$201,'Trial Rows'!G137,'Trial Rows'!$Y$2:$Y$201,'Trial Rows'!Y137,'Trial Rows'!$N$2:$N$201,"&gt;=0",'Trial Rows'!$N$2:$N$201,"&lt;=4",'Trial Rows'!$N$2:$N$201,"&lt;&gt;")=4),SUMIFS('Trial Rows'!$N$2:$N$201,'Trial Rows'!$B$2:$B$201,'Trial Rows'!B137,'Trial Rows'!$C$2:$C$201,'Trial Rows'!C137,'Trial Rows'!$F$2:$F$201,'Trial Rows'!F137,'Trial Rows'!$G$2:$G$201,'Trial Rows'!G137,'Trial Rows'!$Y$2:$Y$201,'Trial Rows'!Y137,'Trial Rows'!$I$2:$I$201,1)+4-SUMIFS('Trial Rows'!$N$2:$N$201,'Trial Rows'!$B$2:$B$201,'Trial Rows'!B137,'Trial Rows'!$C$2:$C$201,'Trial Rows'!C137,'Trial Rows'!$F$2:$F$201,'Trial Rows'!F137,'Trial Rows'!$G$2:$G$201,'Trial Rows'!G137,'Trial Rows'!$Y$2:$Y$201,'Trial Rows'!Y137,'Trial Rows'!$I$2:$I$201,2)+4-SUMIFS('Trial Rows'!$N$2:$N$201,'Trial Rows'!$B$2:$B$201,'Trial Rows'!B137,'Trial Rows'!$C$2:$C$201,'Trial Rows'!C137,'Trial Rows'!$F$2:$F$201,'Trial Rows'!F137,'Trial Rows'!$G$2:$G$201,'Trial Rows'!G137,'Trial Rows'!$Y$2:$Y$201,'Trial Rows'!Y137,'Trial Rows'!$I$2:$I$201,3)+SUMIFS('Trial Rows'!$N$2:$N$201,'Trial Rows'!$B$2:$B$201,'Trial Rows'!B137,'Trial Rows'!$C$2:$C$201,'Trial Rows'!C137,'Trial Rows'!$F$2:$F$201,'Trial Rows'!F137,'Trial Rows'!$G$2:$G$201,'Trial Rows'!G137,'Trial Rows'!$Y$2:$Y$201,'Trial Rows'!Y137,'Trial Rows'!$I$2:$I$201,4),"")</x:f>
      </x:c>
      <x:c r="S137" s="2" t="n">
        <x:f>IF(AND(B137=1,COUNTIFS('Trial Rows'!$C$2:C137,'Trial Rows'!C137,'Trial Rows'!$F$2:F137,Summary!$B$5,'Trial Rows'!$Y$2:Y137,Summary!$B$4)=1),1,0)</x:f>
        <x:v>0</x:v>
      </x:c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 t="str">
        <x:f>IF('Trial Rows'!A138="","",'Trial Rows'!F138&amp;"|"&amp;'Trial Rows'!B138&amp;"|"&amp;'Trial Rows'!C138&amp;"|"&amp;'Trial Rows'!I138)</x:f>
      </x:c>
      <x:c r="B138" s="2" t="n">
        <x:f>IF(AND('Trial Rows'!A138&lt;&gt;"",'Trial Rows'!Y138=Summary!$B$4,'Trial Rows'!F138=Summary!$B$5),1,0)</x:f>
        <x:v>0</x:v>
      </x:c>
      <x:c r="C138" s="2" t="n">
        <x:f>IF(B138=1,COUNTIFS('Trial Rows'!$B$2:$B$201,'Trial Rows'!B138,'Trial Rows'!$C$2:$C$201,'Trial Rows'!C138,'Trial Rows'!$F$2:$F$201,'Trial Rows'!F138,'Trial Rows'!$I$2:$I$201,'Trial Rows'!I138,'Trial Rows'!$Y$2:$Y$201,'Trial Rows'!Y138,'Trial Rows'!$G$2:$G$201,"A"),0)</x:f>
        <x:v>0</x:v>
      </x:c>
      <x:c r="D138" s="2" t="n">
        <x:f>IF(B138=1,COUNTIFS('Trial Rows'!$B$2:$B$201,'Trial Rows'!B138,'Trial Rows'!$C$2:$C$201,'Trial Rows'!C138,'Trial Rows'!$F$2:$F$201,'Trial Rows'!F138,'Trial Rows'!$I$2:$I$201,'Trial Rows'!I138,'Trial Rows'!$Y$2:$Y$201,'Trial Rows'!Y138,'Trial Rows'!$G$2:$G$201,"B"),0)</x:f>
        <x:v>0</x:v>
      </x:c>
      <x:c r="E138" s="2" t="str">
        <x:f>IF(AND(C138=1,COUNTIFS('Trial Rows'!$B$2:$B$201,'Trial Rows'!B138,'Trial Rows'!$C$2:$C$201,'Trial Rows'!C138,'Trial Rows'!$F$2:$F$201,'Trial Rows'!F138,'Trial Rows'!$I$2:$I$201,'Trial Rows'!I138,'Trial Rows'!$Y$2:$Y$201,'Trial Rows'!Y138,'Trial Rows'!$G$2:$G$201,"A",'Trial Rows'!$K$2:$K$201,"&gt;=0",'Trial Rows'!$K$2:$K$201,"&lt;=4",'Trial Rows'!$K$2:$K$201,"&lt;&gt;")=1),SUMIFS('Trial Rows'!$K$2:$K$201,'Trial Rows'!$B$2:$B$201,'Trial Rows'!B138,'Trial Rows'!$C$2:$C$201,'Trial Rows'!C138,'Trial Rows'!$F$2:$F$201,'Trial Rows'!F138,'Trial Rows'!$I$2:$I$201,'Trial Rows'!I138,'Trial Rows'!$Y$2:$Y$201,'Trial Rows'!Y138,'Trial Rows'!$G$2:$G$201,"A"),"")</x:f>
      </x:c>
      <x:c r="F138" s="2" t="n">
        <x:f>IF(AND(B138=1,'Trial Rows'!G138="B",C138=1,D138=1,ISNUMBER(E138),ISNUMBER('Trial Rows'!M138),'Trial Rows'!M138&gt;=0,'Trial Rows'!M138&lt;=4,'Trial Rows'!Q138=0,'Trial Rows'!S138=0),1,0)</x:f>
        <x:v>0</x:v>
      </x:c>
      <x:c r="G138" s="2" t="n">
        <x:f>IF(F138=1,IF(E138='Trial Rows'!M138,1,0),0)</x:f>
        <x:v>0</x:v>
      </x:c>
      <x:c r="H138" s="2" t="n">
        <x:f>IF(AND(B138=1,'Trial Rows'!G138="B",C138=1,D138=1,ISNUMBER(E138),'Trial Rows'!R138=1,'Trial Rows'!Q138=0,'Trial Rows'!S138=0,ISNUMBER('Trial Rows'!L138),'Trial Rows'!L138&gt;=0,'Trial Rows'!L138&lt;=4),1,0)</x:f>
        <x:v>0</x:v>
      </x:c>
      <x:c r="I138" s="2" t="n">
        <x:f>IF(H138=1,IF(E138='Trial Rows'!L138,1,0),0)</x:f>
        <x:v>0</x:v>
      </x:c>
      <x:c r="J138" s="2" t="n">
        <x:f>IF(AND(B138=1,'Trial Rows'!G138="B",'Trial Rows'!P138&gt;0),1,0)</x:f>
        <x:v>0</x:v>
      </x:c>
      <x:c r="K138" s="2" t="n">
        <x:f>IF(AND(B138=1,'Trial Rows'!G138="B",'Trial Rows'!Q138=1),1,0)</x:f>
        <x:v>0</x:v>
      </x:c>
      <x:c r="L138" s="2" t="n">
        <x:f>IF(AND(B138=1,'Trial Rows'!G138="B",'Trial Rows'!R138=1,'Trial Rows'!Q138=0,'Trial Rows'!S138=0),1,0)</x:f>
        <x:v>0</x:v>
      </x:c>
      <x:c r="M138" s="2" t="n">
        <x:f>IF(AND(B138=1,'Trial Rows'!G138="B"),1,0)</x:f>
        <x:v>0</x:v>
      </x:c>
      <x:c r="N138" s="2" t="n">
        <x:f>IF(AND(B138=1,'Trial Rows'!I138=1,COUNTIFS('Trial Rows'!$B$2:$B$201,'Trial Rows'!B138,'Trial Rows'!$C$2:$C$201,'Trial Rows'!C138,'Trial Rows'!$F$2:$F$201,'Trial Rows'!F138,'Trial Rows'!$G$2:$G$201,'Trial Rows'!G138,'Trial Rows'!$Y$2:$Y$201,'Trial Rows'!Y138)=4,COUNTIFS('Trial Rows'!$B$2:$B$201,'Trial Rows'!B138,'Trial Rows'!$C$2:$C$201,'Trial Rows'!C138,'Trial Rows'!$F$2:$F$201,'Trial Rows'!F138,'Trial Rows'!$G$2:$G$201,'Trial Rows'!G138,'Trial Rows'!$Y$2:$Y$201,'Trial Rows'!Y138,'Trial Rows'!$I$2:$I$201,1)=1,COUNTIFS('Trial Rows'!$B$2:$B$201,'Trial Rows'!B138,'Trial Rows'!$C$2:$C$201,'Trial Rows'!C138,'Trial Rows'!$F$2:$F$201,'Trial Rows'!F138,'Trial Rows'!$G$2:$G$201,'Trial Rows'!G138,'Trial Rows'!$Y$2:$Y$201,'Trial Rows'!Y138,'Trial Rows'!$I$2:$I$201,2)=1,COUNTIFS('Trial Rows'!$B$2:$B$201,'Trial Rows'!B138,'Trial Rows'!$C$2:$C$201,'Trial Rows'!C138,'Trial Rows'!$F$2:$F$201,'Trial Rows'!F138,'Trial Rows'!$G$2:$G$201,'Trial Rows'!G138,'Trial Rows'!$Y$2:$Y$201,'Trial Rows'!Y138,'Trial Rows'!$I$2:$I$201,3)=1,COUNTIFS('Trial Rows'!$B$2:$B$201,'Trial Rows'!B138,'Trial Rows'!$C$2:$C$201,'Trial Rows'!C138,'Trial Rows'!$F$2:$F$201,'Trial Rows'!F138,'Trial Rows'!$G$2:$G$201,'Trial Rows'!G138,'Trial Rows'!$Y$2:$Y$201,'Trial Rows'!Y138,'Trial Rows'!$I$2:$I$201,4)=1,COUNTIFS('Trial Rows'!$B$2:$B$201,'Trial Rows'!B138,'Trial Rows'!$C$2:$C$201,'Trial Rows'!C138,'Trial Rows'!$F$2:$F$201,'Trial Rows'!F138,'Trial Rows'!$G$2:$G$201,'Trial Rows'!G138,'Trial Rows'!$Y$2:$Y$201,'Trial Rows'!Y138,'Trial Rows'!$W$2:$W$201,"&lt;&gt;")=4,ISNUMBER('Trial Rows'!U138),COUNTIFS('Trial Rows'!$B$2:$B$201,'Trial Rows'!B138,'Trial Rows'!$C$2:$C$201,'Trial Rows'!C138,'Trial Rows'!$F$2:$F$201,'Trial Rows'!F138,'Trial Rows'!$G$2:$G$201,'Trial Rows'!G138,'Trial Rows'!$Y$2:$Y$201,'Trial Rows'!Y138,'Trial Rows'!$U$2:$U$201,'Trial Rows'!U138)=4,'Trial Rows'!U138&gt;=0),1,0)</x:f>
        <x:v>0</x:v>
      </x:c>
      <x:c r="O138" s="2" t="str">
        <x:f>IF(N138=1,'Trial Rows'!U138/1000,"")</x:f>
      </x:c>
      <x:c r="P138" s="2" t="str">
        <x:f>IF(AND(N138=1,'Trial Rows'!G138="A"),O138,"")</x:f>
      </x:c>
      <x:c r="Q138" s="2" t="str">
        <x:f>IF(AND(N138=1,'Trial Rows'!G138="B"),O138,"")</x:f>
      </x:c>
      <x:c r="R138" s="2" t="str">
        <x:f>IF(AND(N138=1,COUNTIFS('Trial Rows'!$B$2:$B$201,'Trial Rows'!B138,'Trial Rows'!$C$2:$C$201,'Trial Rows'!C138,'Trial Rows'!$F$2:$F$201,'Trial Rows'!F138,'Trial Rows'!$G$2:$G$201,'Trial Rows'!G138,'Trial Rows'!$Y$2:$Y$201,'Trial Rows'!Y138,'Trial Rows'!$N$2:$N$201,"&gt;=0",'Trial Rows'!$N$2:$N$201,"&lt;=4",'Trial Rows'!$N$2:$N$201,"&lt;&gt;")=4),SUMIFS('Trial Rows'!$N$2:$N$201,'Trial Rows'!$B$2:$B$201,'Trial Rows'!B138,'Trial Rows'!$C$2:$C$201,'Trial Rows'!C138,'Trial Rows'!$F$2:$F$201,'Trial Rows'!F138,'Trial Rows'!$G$2:$G$201,'Trial Rows'!G138,'Trial Rows'!$Y$2:$Y$201,'Trial Rows'!Y138,'Trial Rows'!$I$2:$I$201,1)+4-SUMIFS('Trial Rows'!$N$2:$N$201,'Trial Rows'!$B$2:$B$201,'Trial Rows'!B138,'Trial Rows'!$C$2:$C$201,'Trial Rows'!C138,'Trial Rows'!$F$2:$F$201,'Trial Rows'!F138,'Trial Rows'!$G$2:$G$201,'Trial Rows'!G138,'Trial Rows'!$Y$2:$Y$201,'Trial Rows'!Y138,'Trial Rows'!$I$2:$I$201,2)+4-SUMIFS('Trial Rows'!$N$2:$N$201,'Trial Rows'!$B$2:$B$201,'Trial Rows'!B138,'Trial Rows'!$C$2:$C$201,'Trial Rows'!C138,'Trial Rows'!$F$2:$F$201,'Trial Rows'!F138,'Trial Rows'!$G$2:$G$201,'Trial Rows'!G138,'Trial Rows'!$Y$2:$Y$201,'Trial Rows'!Y138,'Trial Rows'!$I$2:$I$201,3)+SUMIFS('Trial Rows'!$N$2:$N$201,'Trial Rows'!$B$2:$B$201,'Trial Rows'!B138,'Trial Rows'!$C$2:$C$201,'Trial Rows'!C138,'Trial Rows'!$F$2:$F$201,'Trial Rows'!F138,'Trial Rows'!$G$2:$G$201,'Trial Rows'!G138,'Trial Rows'!$Y$2:$Y$201,'Trial Rows'!Y138,'Trial Rows'!$I$2:$I$201,4),"")</x:f>
      </x:c>
      <x:c r="S138" s="2" t="n">
        <x:f>IF(AND(B138=1,COUNTIFS('Trial Rows'!$C$2:C138,'Trial Rows'!C138,'Trial Rows'!$F$2:F138,Summary!$B$5,'Trial Rows'!$Y$2:Y138,Summary!$B$4)=1),1,0)</x:f>
        <x:v>0</x:v>
      </x:c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 t="str">
        <x:f>IF('Trial Rows'!A139="","",'Trial Rows'!F139&amp;"|"&amp;'Trial Rows'!B139&amp;"|"&amp;'Trial Rows'!C139&amp;"|"&amp;'Trial Rows'!I139)</x:f>
      </x:c>
      <x:c r="B139" s="2" t="n">
        <x:f>IF(AND('Trial Rows'!A139&lt;&gt;"",'Trial Rows'!Y139=Summary!$B$4,'Trial Rows'!F139=Summary!$B$5),1,0)</x:f>
        <x:v>0</x:v>
      </x:c>
      <x:c r="C139" s="2" t="n">
        <x:f>IF(B139=1,COUNTIFS('Trial Rows'!$B$2:$B$201,'Trial Rows'!B139,'Trial Rows'!$C$2:$C$201,'Trial Rows'!C139,'Trial Rows'!$F$2:$F$201,'Trial Rows'!F139,'Trial Rows'!$I$2:$I$201,'Trial Rows'!I139,'Trial Rows'!$Y$2:$Y$201,'Trial Rows'!Y139,'Trial Rows'!$G$2:$G$201,"A"),0)</x:f>
        <x:v>0</x:v>
      </x:c>
      <x:c r="D139" s="2" t="n">
        <x:f>IF(B139=1,COUNTIFS('Trial Rows'!$B$2:$B$201,'Trial Rows'!B139,'Trial Rows'!$C$2:$C$201,'Trial Rows'!C139,'Trial Rows'!$F$2:$F$201,'Trial Rows'!F139,'Trial Rows'!$I$2:$I$201,'Trial Rows'!I139,'Trial Rows'!$Y$2:$Y$201,'Trial Rows'!Y139,'Trial Rows'!$G$2:$G$201,"B"),0)</x:f>
        <x:v>0</x:v>
      </x:c>
      <x:c r="E139" s="2" t="str">
        <x:f>IF(AND(C139=1,COUNTIFS('Trial Rows'!$B$2:$B$201,'Trial Rows'!B139,'Trial Rows'!$C$2:$C$201,'Trial Rows'!C139,'Trial Rows'!$F$2:$F$201,'Trial Rows'!F139,'Trial Rows'!$I$2:$I$201,'Trial Rows'!I139,'Trial Rows'!$Y$2:$Y$201,'Trial Rows'!Y139,'Trial Rows'!$G$2:$G$201,"A",'Trial Rows'!$K$2:$K$201,"&gt;=0",'Trial Rows'!$K$2:$K$201,"&lt;=4",'Trial Rows'!$K$2:$K$201,"&lt;&gt;")=1),SUMIFS('Trial Rows'!$K$2:$K$201,'Trial Rows'!$B$2:$B$201,'Trial Rows'!B139,'Trial Rows'!$C$2:$C$201,'Trial Rows'!C139,'Trial Rows'!$F$2:$F$201,'Trial Rows'!F139,'Trial Rows'!$I$2:$I$201,'Trial Rows'!I139,'Trial Rows'!$Y$2:$Y$201,'Trial Rows'!Y139,'Trial Rows'!$G$2:$G$201,"A"),"")</x:f>
      </x:c>
      <x:c r="F139" s="2" t="n">
        <x:f>IF(AND(B139=1,'Trial Rows'!G139="B",C139=1,D139=1,ISNUMBER(E139),ISNUMBER('Trial Rows'!M139),'Trial Rows'!M139&gt;=0,'Trial Rows'!M139&lt;=4,'Trial Rows'!Q139=0,'Trial Rows'!S139=0),1,0)</x:f>
        <x:v>0</x:v>
      </x:c>
      <x:c r="G139" s="2" t="n">
        <x:f>IF(F139=1,IF(E139='Trial Rows'!M139,1,0),0)</x:f>
        <x:v>0</x:v>
      </x:c>
      <x:c r="H139" s="2" t="n">
        <x:f>IF(AND(B139=1,'Trial Rows'!G139="B",C139=1,D139=1,ISNUMBER(E139),'Trial Rows'!R139=1,'Trial Rows'!Q139=0,'Trial Rows'!S139=0,ISNUMBER('Trial Rows'!L139),'Trial Rows'!L139&gt;=0,'Trial Rows'!L139&lt;=4),1,0)</x:f>
        <x:v>0</x:v>
      </x:c>
      <x:c r="I139" s="2" t="n">
        <x:f>IF(H139=1,IF(E139='Trial Rows'!L139,1,0),0)</x:f>
        <x:v>0</x:v>
      </x:c>
      <x:c r="J139" s="2" t="n">
        <x:f>IF(AND(B139=1,'Trial Rows'!G139="B",'Trial Rows'!P139&gt;0),1,0)</x:f>
        <x:v>0</x:v>
      </x:c>
      <x:c r="K139" s="2" t="n">
        <x:f>IF(AND(B139=1,'Trial Rows'!G139="B",'Trial Rows'!Q139=1),1,0)</x:f>
        <x:v>0</x:v>
      </x:c>
      <x:c r="L139" s="2" t="n">
        <x:f>IF(AND(B139=1,'Trial Rows'!G139="B",'Trial Rows'!R139=1,'Trial Rows'!Q139=0,'Trial Rows'!S139=0),1,0)</x:f>
        <x:v>0</x:v>
      </x:c>
      <x:c r="M139" s="2" t="n">
        <x:f>IF(AND(B139=1,'Trial Rows'!G139="B"),1,0)</x:f>
        <x:v>0</x:v>
      </x:c>
      <x:c r="N139" s="2" t="n">
        <x:f>IF(AND(B139=1,'Trial Rows'!I139=1,COUNTIFS('Trial Rows'!$B$2:$B$201,'Trial Rows'!B139,'Trial Rows'!$C$2:$C$201,'Trial Rows'!C139,'Trial Rows'!$F$2:$F$201,'Trial Rows'!F139,'Trial Rows'!$G$2:$G$201,'Trial Rows'!G139,'Trial Rows'!$Y$2:$Y$201,'Trial Rows'!Y139)=4,COUNTIFS('Trial Rows'!$B$2:$B$201,'Trial Rows'!B139,'Trial Rows'!$C$2:$C$201,'Trial Rows'!C139,'Trial Rows'!$F$2:$F$201,'Trial Rows'!F139,'Trial Rows'!$G$2:$G$201,'Trial Rows'!G139,'Trial Rows'!$Y$2:$Y$201,'Trial Rows'!Y139,'Trial Rows'!$I$2:$I$201,1)=1,COUNTIFS('Trial Rows'!$B$2:$B$201,'Trial Rows'!B139,'Trial Rows'!$C$2:$C$201,'Trial Rows'!C139,'Trial Rows'!$F$2:$F$201,'Trial Rows'!F139,'Trial Rows'!$G$2:$G$201,'Trial Rows'!G139,'Trial Rows'!$Y$2:$Y$201,'Trial Rows'!Y139,'Trial Rows'!$I$2:$I$201,2)=1,COUNTIFS('Trial Rows'!$B$2:$B$201,'Trial Rows'!B139,'Trial Rows'!$C$2:$C$201,'Trial Rows'!C139,'Trial Rows'!$F$2:$F$201,'Trial Rows'!F139,'Trial Rows'!$G$2:$G$201,'Trial Rows'!G139,'Trial Rows'!$Y$2:$Y$201,'Trial Rows'!Y139,'Trial Rows'!$I$2:$I$201,3)=1,COUNTIFS('Trial Rows'!$B$2:$B$201,'Trial Rows'!B139,'Trial Rows'!$C$2:$C$201,'Trial Rows'!C139,'Trial Rows'!$F$2:$F$201,'Trial Rows'!F139,'Trial Rows'!$G$2:$G$201,'Trial Rows'!G139,'Trial Rows'!$Y$2:$Y$201,'Trial Rows'!Y139,'Trial Rows'!$I$2:$I$201,4)=1,COUNTIFS('Trial Rows'!$B$2:$B$201,'Trial Rows'!B139,'Trial Rows'!$C$2:$C$201,'Trial Rows'!C139,'Trial Rows'!$F$2:$F$201,'Trial Rows'!F139,'Trial Rows'!$G$2:$G$201,'Trial Rows'!G139,'Trial Rows'!$Y$2:$Y$201,'Trial Rows'!Y139,'Trial Rows'!$W$2:$W$201,"&lt;&gt;")=4,ISNUMBER('Trial Rows'!U139),COUNTIFS('Trial Rows'!$B$2:$B$201,'Trial Rows'!B139,'Trial Rows'!$C$2:$C$201,'Trial Rows'!C139,'Trial Rows'!$F$2:$F$201,'Trial Rows'!F139,'Trial Rows'!$G$2:$G$201,'Trial Rows'!G139,'Trial Rows'!$Y$2:$Y$201,'Trial Rows'!Y139,'Trial Rows'!$U$2:$U$201,'Trial Rows'!U139)=4,'Trial Rows'!U139&gt;=0),1,0)</x:f>
        <x:v>0</x:v>
      </x:c>
      <x:c r="O139" s="2" t="str">
        <x:f>IF(N139=1,'Trial Rows'!U139/1000,"")</x:f>
      </x:c>
      <x:c r="P139" s="2" t="str">
        <x:f>IF(AND(N139=1,'Trial Rows'!G139="A"),O139,"")</x:f>
      </x:c>
      <x:c r="Q139" s="2" t="str">
        <x:f>IF(AND(N139=1,'Trial Rows'!G139="B"),O139,"")</x:f>
      </x:c>
      <x:c r="R139" s="2" t="str">
        <x:f>IF(AND(N139=1,COUNTIFS('Trial Rows'!$B$2:$B$201,'Trial Rows'!B139,'Trial Rows'!$C$2:$C$201,'Trial Rows'!C139,'Trial Rows'!$F$2:$F$201,'Trial Rows'!F139,'Trial Rows'!$G$2:$G$201,'Trial Rows'!G139,'Trial Rows'!$Y$2:$Y$201,'Trial Rows'!Y139,'Trial Rows'!$N$2:$N$201,"&gt;=0",'Trial Rows'!$N$2:$N$201,"&lt;=4",'Trial Rows'!$N$2:$N$201,"&lt;&gt;")=4),SUMIFS('Trial Rows'!$N$2:$N$201,'Trial Rows'!$B$2:$B$201,'Trial Rows'!B139,'Trial Rows'!$C$2:$C$201,'Trial Rows'!C139,'Trial Rows'!$F$2:$F$201,'Trial Rows'!F139,'Trial Rows'!$G$2:$G$201,'Trial Rows'!G139,'Trial Rows'!$Y$2:$Y$201,'Trial Rows'!Y139,'Trial Rows'!$I$2:$I$201,1)+4-SUMIFS('Trial Rows'!$N$2:$N$201,'Trial Rows'!$B$2:$B$201,'Trial Rows'!B139,'Trial Rows'!$C$2:$C$201,'Trial Rows'!C139,'Trial Rows'!$F$2:$F$201,'Trial Rows'!F139,'Trial Rows'!$G$2:$G$201,'Trial Rows'!G139,'Trial Rows'!$Y$2:$Y$201,'Trial Rows'!Y139,'Trial Rows'!$I$2:$I$201,2)+4-SUMIFS('Trial Rows'!$N$2:$N$201,'Trial Rows'!$B$2:$B$201,'Trial Rows'!B139,'Trial Rows'!$C$2:$C$201,'Trial Rows'!C139,'Trial Rows'!$F$2:$F$201,'Trial Rows'!F139,'Trial Rows'!$G$2:$G$201,'Trial Rows'!G139,'Trial Rows'!$Y$2:$Y$201,'Trial Rows'!Y139,'Trial Rows'!$I$2:$I$201,3)+SUMIFS('Trial Rows'!$N$2:$N$201,'Trial Rows'!$B$2:$B$201,'Trial Rows'!B139,'Trial Rows'!$C$2:$C$201,'Trial Rows'!C139,'Trial Rows'!$F$2:$F$201,'Trial Rows'!F139,'Trial Rows'!$G$2:$G$201,'Trial Rows'!G139,'Trial Rows'!$Y$2:$Y$201,'Trial Rows'!Y139,'Trial Rows'!$I$2:$I$201,4),"")</x:f>
      </x:c>
      <x:c r="S139" s="2" t="n">
        <x:f>IF(AND(B139=1,COUNTIFS('Trial Rows'!$C$2:C139,'Trial Rows'!C139,'Trial Rows'!$F$2:F139,Summary!$B$5,'Trial Rows'!$Y$2:Y139,Summary!$B$4)=1),1,0)</x:f>
        <x:v>0</x:v>
      </x:c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 t="str">
        <x:f>IF('Trial Rows'!A140="","",'Trial Rows'!F140&amp;"|"&amp;'Trial Rows'!B140&amp;"|"&amp;'Trial Rows'!C140&amp;"|"&amp;'Trial Rows'!I140)</x:f>
      </x:c>
      <x:c r="B140" s="2" t="n">
        <x:f>IF(AND('Trial Rows'!A140&lt;&gt;"",'Trial Rows'!Y140=Summary!$B$4,'Trial Rows'!F140=Summary!$B$5),1,0)</x:f>
        <x:v>0</x:v>
      </x:c>
      <x:c r="C140" s="2" t="n">
        <x:f>IF(B140=1,COUNTIFS('Trial Rows'!$B$2:$B$201,'Trial Rows'!B140,'Trial Rows'!$C$2:$C$201,'Trial Rows'!C140,'Trial Rows'!$F$2:$F$201,'Trial Rows'!F140,'Trial Rows'!$I$2:$I$201,'Trial Rows'!I140,'Trial Rows'!$Y$2:$Y$201,'Trial Rows'!Y140,'Trial Rows'!$G$2:$G$201,"A"),0)</x:f>
        <x:v>0</x:v>
      </x:c>
      <x:c r="D140" s="2" t="n">
        <x:f>IF(B140=1,COUNTIFS('Trial Rows'!$B$2:$B$201,'Trial Rows'!B140,'Trial Rows'!$C$2:$C$201,'Trial Rows'!C140,'Trial Rows'!$F$2:$F$201,'Trial Rows'!F140,'Trial Rows'!$I$2:$I$201,'Trial Rows'!I140,'Trial Rows'!$Y$2:$Y$201,'Trial Rows'!Y140,'Trial Rows'!$G$2:$G$201,"B"),0)</x:f>
        <x:v>0</x:v>
      </x:c>
      <x:c r="E140" s="2" t="str">
        <x:f>IF(AND(C140=1,COUNTIFS('Trial Rows'!$B$2:$B$201,'Trial Rows'!B140,'Trial Rows'!$C$2:$C$201,'Trial Rows'!C140,'Trial Rows'!$F$2:$F$201,'Trial Rows'!F140,'Trial Rows'!$I$2:$I$201,'Trial Rows'!I140,'Trial Rows'!$Y$2:$Y$201,'Trial Rows'!Y140,'Trial Rows'!$G$2:$G$201,"A",'Trial Rows'!$K$2:$K$201,"&gt;=0",'Trial Rows'!$K$2:$K$201,"&lt;=4",'Trial Rows'!$K$2:$K$201,"&lt;&gt;")=1),SUMIFS('Trial Rows'!$K$2:$K$201,'Trial Rows'!$B$2:$B$201,'Trial Rows'!B140,'Trial Rows'!$C$2:$C$201,'Trial Rows'!C140,'Trial Rows'!$F$2:$F$201,'Trial Rows'!F140,'Trial Rows'!$I$2:$I$201,'Trial Rows'!I140,'Trial Rows'!$Y$2:$Y$201,'Trial Rows'!Y140,'Trial Rows'!$G$2:$G$201,"A"),"")</x:f>
      </x:c>
      <x:c r="F140" s="2" t="n">
        <x:f>IF(AND(B140=1,'Trial Rows'!G140="B",C140=1,D140=1,ISNUMBER(E140),ISNUMBER('Trial Rows'!M140),'Trial Rows'!M140&gt;=0,'Trial Rows'!M140&lt;=4,'Trial Rows'!Q140=0,'Trial Rows'!S140=0),1,0)</x:f>
        <x:v>0</x:v>
      </x:c>
      <x:c r="G140" s="2" t="n">
        <x:f>IF(F140=1,IF(E140='Trial Rows'!M140,1,0),0)</x:f>
        <x:v>0</x:v>
      </x:c>
      <x:c r="H140" s="2" t="n">
        <x:f>IF(AND(B140=1,'Trial Rows'!G140="B",C140=1,D140=1,ISNUMBER(E140),'Trial Rows'!R140=1,'Trial Rows'!Q140=0,'Trial Rows'!S140=0,ISNUMBER('Trial Rows'!L140),'Trial Rows'!L140&gt;=0,'Trial Rows'!L140&lt;=4),1,0)</x:f>
        <x:v>0</x:v>
      </x:c>
      <x:c r="I140" s="2" t="n">
        <x:f>IF(H140=1,IF(E140='Trial Rows'!L140,1,0),0)</x:f>
        <x:v>0</x:v>
      </x:c>
      <x:c r="J140" s="2" t="n">
        <x:f>IF(AND(B140=1,'Trial Rows'!G140="B",'Trial Rows'!P140&gt;0),1,0)</x:f>
        <x:v>0</x:v>
      </x:c>
      <x:c r="K140" s="2" t="n">
        <x:f>IF(AND(B140=1,'Trial Rows'!G140="B",'Trial Rows'!Q140=1),1,0)</x:f>
        <x:v>0</x:v>
      </x:c>
      <x:c r="L140" s="2" t="n">
        <x:f>IF(AND(B140=1,'Trial Rows'!G140="B",'Trial Rows'!R140=1,'Trial Rows'!Q140=0,'Trial Rows'!S140=0),1,0)</x:f>
        <x:v>0</x:v>
      </x:c>
      <x:c r="M140" s="2" t="n">
        <x:f>IF(AND(B140=1,'Trial Rows'!G140="B"),1,0)</x:f>
        <x:v>0</x:v>
      </x:c>
      <x:c r="N140" s="2" t="n">
        <x:f>IF(AND(B140=1,'Trial Rows'!I140=1,COUNTIFS('Trial Rows'!$B$2:$B$201,'Trial Rows'!B140,'Trial Rows'!$C$2:$C$201,'Trial Rows'!C140,'Trial Rows'!$F$2:$F$201,'Trial Rows'!F140,'Trial Rows'!$G$2:$G$201,'Trial Rows'!G140,'Trial Rows'!$Y$2:$Y$201,'Trial Rows'!Y140)=4,COUNTIFS('Trial Rows'!$B$2:$B$201,'Trial Rows'!B140,'Trial Rows'!$C$2:$C$201,'Trial Rows'!C140,'Trial Rows'!$F$2:$F$201,'Trial Rows'!F140,'Trial Rows'!$G$2:$G$201,'Trial Rows'!G140,'Trial Rows'!$Y$2:$Y$201,'Trial Rows'!Y140,'Trial Rows'!$I$2:$I$201,1)=1,COUNTIFS('Trial Rows'!$B$2:$B$201,'Trial Rows'!B140,'Trial Rows'!$C$2:$C$201,'Trial Rows'!C140,'Trial Rows'!$F$2:$F$201,'Trial Rows'!F140,'Trial Rows'!$G$2:$G$201,'Trial Rows'!G140,'Trial Rows'!$Y$2:$Y$201,'Trial Rows'!Y140,'Trial Rows'!$I$2:$I$201,2)=1,COUNTIFS('Trial Rows'!$B$2:$B$201,'Trial Rows'!B140,'Trial Rows'!$C$2:$C$201,'Trial Rows'!C140,'Trial Rows'!$F$2:$F$201,'Trial Rows'!F140,'Trial Rows'!$G$2:$G$201,'Trial Rows'!G140,'Trial Rows'!$Y$2:$Y$201,'Trial Rows'!Y140,'Trial Rows'!$I$2:$I$201,3)=1,COUNTIFS('Trial Rows'!$B$2:$B$201,'Trial Rows'!B140,'Trial Rows'!$C$2:$C$201,'Trial Rows'!C140,'Trial Rows'!$F$2:$F$201,'Trial Rows'!F140,'Trial Rows'!$G$2:$G$201,'Trial Rows'!G140,'Trial Rows'!$Y$2:$Y$201,'Trial Rows'!Y140,'Trial Rows'!$I$2:$I$201,4)=1,COUNTIFS('Trial Rows'!$B$2:$B$201,'Trial Rows'!B140,'Trial Rows'!$C$2:$C$201,'Trial Rows'!C140,'Trial Rows'!$F$2:$F$201,'Trial Rows'!F140,'Trial Rows'!$G$2:$G$201,'Trial Rows'!G140,'Trial Rows'!$Y$2:$Y$201,'Trial Rows'!Y140,'Trial Rows'!$W$2:$W$201,"&lt;&gt;")=4,ISNUMBER('Trial Rows'!U140),COUNTIFS('Trial Rows'!$B$2:$B$201,'Trial Rows'!B140,'Trial Rows'!$C$2:$C$201,'Trial Rows'!C140,'Trial Rows'!$F$2:$F$201,'Trial Rows'!F140,'Trial Rows'!$G$2:$G$201,'Trial Rows'!G140,'Trial Rows'!$Y$2:$Y$201,'Trial Rows'!Y140,'Trial Rows'!$U$2:$U$201,'Trial Rows'!U140)=4,'Trial Rows'!U140&gt;=0),1,0)</x:f>
        <x:v>0</x:v>
      </x:c>
      <x:c r="O140" s="2" t="str">
        <x:f>IF(N140=1,'Trial Rows'!U140/1000,"")</x:f>
      </x:c>
      <x:c r="P140" s="2" t="str">
        <x:f>IF(AND(N140=1,'Trial Rows'!G140="A"),O140,"")</x:f>
      </x:c>
      <x:c r="Q140" s="2" t="str">
        <x:f>IF(AND(N140=1,'Trial Rows'!G140="B"),O140,"")</x:f>
      </x:c>
      <x:c r="R140" s="2" t="str">
        <x:f>IF(AND(N140=1,COUNTIFS('Trial Rows'!$B$2:$B$201,'Trial Rows'!B140,'Trial Rows'!$C$2:$C$201,'Trial Rows'!C140,'Trial Rows'!$F$2:$F$201,'Trial Rows'!F140,'Trial Rows'!$G$2:$G$201,'Trial Rows'!G140,'Trial Rows'!$Y$2:$Y$201,'Trial Rows'!Y140,'Trial Rows'!$N$2:$N$201,"&gt;=0",'Trial Rows'!$N$2:$N$201,"&lt;=4",'Trial Rows'!$N$2:$N$201,"&lt;&gt;")=4),SUMIFS('Trial Rows'!$N$2:$N$201,'Trial Rows'!$B$2:$B$201,'Trial Rows'!B140,'Trial Rows'!$C$2:$C$201,'Trial Rows'!C140,'Trial Rows'!$F$2:$F$201,'Trial Rows'!F140,'Trial Rows'!$G$2:$G$201,'Trial Rows'!G140,'Trial Rows'!$Y$2:$Y$201,'Trial Rows'!Y140,'Trial Rows'!$I$2:$I$201,1)+4-SUMIFS('Trial Rows'!$N$2:$N$201,'Trial Rows'!$B$2:$B$201,'Trial Rows'!B140,'Trial Rows'!$C$2:$C$201,'Trial Rows'!C140,'Trial Rows'!$F$2:$F$201,'Trial Rows'!F140,'Trial Rows'!$G$2:$G$201,'Trial Rows'!G140,'Trial Rows'!$Y$2:$Y$201,'Trial Rows'!Y140,'Trial Rows'!$I$2:$I$201,2)+4-SUMIFS('Trial Rows'!$N$2:$N$201,'Trial Rows'!$B$2:$B$201,'Trial Rows'!B140,'Trial Rows'!$C$2:$C$201,'Trial Rows'!C140,'Trial Rows'!$F$2:$F$201,'Trial Rows'!F140,'Trial Rows'!$G$2:$G$201,'Trial Rows'!G140,'Trial Rows'!$Y$2:$Y$201,'Trial Rows'!Y140,'Trial Rows'!$I$2:$I$201,3)+SUMIFS('Trial Rows'!$N$2:$N$201,'Trial Rows'!$B$2:$B$201,'Trial Rows'!B140,'Trial Rows'!$C$2:$C$201,'Trial Rows'!C140,'Trial Rows'!$F$2:$F$201,'Trial Rows'!F140,'Trial Rows'!$G$2:$G$201,'Trial Rows'!G140,'Trial Rows'!$Y$2:$Y$201,'Trial Rows'!Y140,'Trial Rows'!$I$2:$I$201,4),"")</x:f>
      </x:c>
      <x:c r="S140" s="2" t="n">
        <x:f>IF(AND(B140=1,COUNTIFS('Trial Rows'!$C$2:C140,'Trial Rows'!C140,'Trial Rows'!$F$2:F140,Summary!$B$5,'Trial Rows'!$Y$2:Y140,Summary!$B$4)=1),1,0)</x:f>
        <x:v>0</x:v>
      </x:c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 t="str">
        <x:f>IF('Trial Rows'!A141="","",'Trial Rows'!F141&amp;"|"&amp;'Trial Rows'!B141&amp;"|"&amp;'Trial Rows'!C141&amp;"|"&amp;'Trial Rows'!I141)</x:f>
      </x:c>
      <x:c r="B141" s="2" t="n">
        <x:f>IF(AND('Trial Rows'!A141&lt;&gt;"",'Trial Rows'!Y141=Summary!$B$4,'Trial Rows'!F141=Summary!$B$5),1,0)</x:f>
        <x:v>0</x:v>
      </x:c>
      <x:c r="C141" s="2" t="n">
        <x:f>IF(B141=1,COUNTIFS('Trial Rows'!$B$2:$B$201,'Trial Rows'!B141,'Trial Rows'!$C$2:$C$201,'Trial Rows'!C141,'Trial Rows'!$F$2:$F$201,'Trial Rows'!F141,'Trial Rows'!$I$2:$I$201,'Trial Rows'!I141,'Trial Rows'!$Y$2:$Y$201,'Trial Rows'!Y141,'Trial Rows'!$G$2:$G$201,"A"),0)</x:f>
        <x:v>0</x:v>
      </x:c>
      <x:c r="D141" s="2" t="n">
        <x:f>IF(B141=1,COUNTIFS('Trial Rows'!$B$2:$B$201,'Trial Rows'!B141,'Trial Rows'!$C$2:$C$201,'Trial Rows'!C141,'Trial Rows'!$F$2:$F$201,'Trial Rows'!F141,'Trial Rows'!$I$2:$I$201,'Trial Rows'!I141,'Trial Rows'!$Y$2:$Y$201,'Trial Rows'!Y141,'Trial Rows'!$G$2:$G$201,"B"),0)</x:f>
        <x:v>0</x:v>
      </x:c>
      <x:c r="E141" s="2" t="str">
        <x:f>IF(AND(C141=1,COUNTIFS('Trial Rows'!$B$2:$B$201,'Trial Rows'!B141,'Trial Rows'!$C$2:$C$201,'Trial Rows'!C141,'Trial Rows'!$F$2:$F$201,'Trial Rows'!F141,'Trial Rows'!$I$2:$I$201,'Trial Rows'!I141,'Trial Rows'!$Y$2:$Y$201,'Trial Rows'!Y141,'Trial Rows'!$G$2:$G$201,"A",'Trial Rows'!$K$2:$K$201,"&gt;=0",'Trial Rows'!$K$2:$K$201,"&lt;=4",'Trial Rows'!$K$2:$K$201,"&lt;&gt;")=1),SUMIFS('Trial Rows'!$K$2:$K$201,'Trial Rows'!$B$2:$B$201,'Trial Rows'!B141,'Trial Rows'!$C$2:$C$201,'Trial Rows'!C141,'Trial Rows'!$F$2:$F$201,'Trial Rows'!F141,'Trial Rows'!$I$2:$I$201,'Trial Rows'!I141,'Trial Rows'!$Y$2:$Y$201,'Trial Rows'!Y141,'Trial Rows'!$G$2:$G$201,"A"),"")</x:f>
      </x:c>
      <x:c r="F141" s="2" t="n">
        <x:f>IF(AND(B141=1,'Trial Rows'!G141="B",C141=1,D141=1,ISNUMBER(E141),ISNUMBER('Trial Rows'!M141),'Trial Rows'!M141&gt;=0,'Trial Rows'!M141&lt;=4,'Trial Rows'!Q141=0,'Trial Rows'!S141=0),1,0)</x:f>
        <x:v>0</x:v>
      </x:c>
      <x:c r="G141" s="2" t="n">
        <x:f>IF(F141=1,IF(E141='Trial Rows'!M141,1,0),0)</x:f>
        <x:v>0</x:v>
      </x:c>
      <x:c r="H141" s="2" t="n">
        <x:f>IF(AND(B141=1,'Trial Rows'!G141="B",C141=1,D141=1,ISNUMBER(E141),'Trial Rows'!R141=1,'Trial Rows'!Q141=0,'Trial Rows'!S141=0,ISNUMBER('Trial Rows'!L141),'Trial Rows'!L141&gt;=0,'Trial Rows'!L141&lt;=4),1,0)</x:f>
        <x:v>0</x:v>
      </x:c>
      <x:c r="I141" s="2" t="n">
        <x:f>IF(H141=1,IF(E141='Trial Rows'!L141,1,0),0)</x:f>
        <x:v>0</x:v>
      </x:c>
      <x:c r="J141" s="2" t="n">
        <x:f>IF(AND(B141=1,'Trial Rows'!G141="B",'Trial Rows'!P141&gt;0),1,0)</x:f>
        <x:v>0</x:v>
      </x:c>
      <x:c r="K141" s="2" t="n">
        <x:f>IF(AND(B141=1,'Trial Rows'!G141="B",'Trial Rows'!Q141=1),1,0)</x:f>
        <x:v>0</x:v>
      </x:c>
      <x:c r="L141" s="2" t="n">
        <x:f>IF(AND(B141=1,'Trial Rows'!G141="B",'Trial Rows'!R141=1,'Trial Rows'!Q141=0,'Trial Rows'!S141=0),1,0)</x:f>
        <x:v>0</x:v>
      </x:c>
      <x:c r="M141" s="2" t="n">
        <x:f>IF(AND(B141=1,'Trial Rows'!G141="B"),1,0)</x:f>
        <x:v>0</x:v>
      </x:c>
      <x:c r="N141" s="2" t="n">
        <x:f>IF(AND(B141=1,'Trial Rows'!I141=1,COUNTIFS('Trial Rows'!$B$2:$B$201,'Trial Rows'!B141,'Trial Rows'!$C$2:$C$201,'Trial Rows'!C141,'Trial Rows'!$F$2:$F$201,'Trial Rows'!F141,'Trial Rows'!$G$2:$G$201,'Trial Rows'!G141,'Trial Rows'!$Y$2:$Y$201,'Trial Rows'!Y141)=4,COUNTIFS('Trial Rows'!$B$2:$B$201,'Trial Rows'!B141,'Trial Rows'!$C$2:$C$201,'Trial Rows'!C141,'Trial Rows'!$F$2:$F$201,'Trial Rows'!F141,'Trial Rows'!$G$2:$G$201,'Trial Rows'!G141,'Trial Rows'!$Y$2:$Y$201,'Trial Rows'!Y141,'Trial Rows'!$I$2:$I$201,1)=1,COUNTIFS('Trial Rows'!$B$2:$B$201,'Trial Rows'!B141,'Trial Rows'!$C$2:$C$201,'Trial Rows'!C141,'Trial Rows'!$F$2:$F$201,'Trial Rows'!F141,'Trial Rows'!$G$2:$G$201,'Trial Rows'!G141,'Trial Rows'!$Y$2:$Y$201,'Trial Rows'!Y141,'Trial Rows'!$I$2:$I$201,2)=1,COUNTIFS('Trial Rows'!$B$2:$B$201,'Trial Rows'!B141,'Trial Rows'!$C$2:$C$201,'Trial Rows'!C141,'Trial Rows'!$F$2:$F$201,'Trial Rows'!F141,'Trial Rows'!$G$2:$G$201,'Trial Rows'!G141,'Trial Rows'!$Y$2:$Y$201,'Trial Rows'!Y141,'Trial Rows'!$I$2:$I$201,3)=1,COUNTIFS('Trial Rows'!$B$2:$B$201,'Trial Rows'!B141,'Trial Rows'!$C$2:$C$201,'Trial Rows'!C141,'Trial Rows'!$F$2:$F$201,'Trial Rows'!F141,'Trial Rows'!$G$2:$G$201,'Trial Rows'!G141,'Trial Rows'!$Y$2:$Y$201,'Trial Rows'!Y141,'Trial Rows'!$I$2:$I$201,4)=1,COUNTIFS('Trial Rows'!$B$2:$B$201,'Trial Rows'!B141,'Trial Rows'!$C$2:$C$201,'Trial Rows'!C141,'Trial Rows'!$F$2:$F$201,'Trial Rows'!F141,'Trial Rows'!$G$2:$G$201,'Trial Rows'!G141,'Trial Rows'!$Y$2:$Y$201,'Trial Rows'!Y141,'Trial Rows'!$W$2:$W$201,"&lt;&gt;")=4,ISNUMBER('Trial Rows'!U141),COUNTIFS('Trial Rows'!$B$2:$B$201,'Trial Rows'!B141,'Trial Rows'!$C$2:$C$201,'Trial Rows'!C141,'Trial Rows'!$F$2:$F$201,'Trial Rows'!F141,'Trial Rows'!$G$2:$G$201,'Trial Rows'!G141,'Trial Rows'!$Y$2:$Y$201,'Trial Rows'!Y141,'Trial Rows'!$U$2:$U$201,'Trial Rows'!U141)=4,'Trial Rows'!U141&gt;=0),1,0)</x:f>
        <x:v>0</x:v>
      </x:c>
      <x:c r="O141" s="2" t="str">
        <x:f>IF(N141=1,'Trial Rows'!U141/1000,"")</x:f>
      </x:c>
      <x:c r="P141" s="2" t="str">
        <x:f>IF(AND(N141=1,'Trial Rows'!G141="A"),O141,"")</x:f>
      </x:c>
      <x:c r="Q141" s="2" t="str">
        <x:f>IF(AND(N141=1,'Trial Rows'!G141="B"),O141,"")</x:f>
      </x:c>
      <x:c r="R141" s="2" t="str">
        <x:f>IF(AND(N141=1,COUNTIFS('Trial Rows'!$B$2:$B$201,'Trial Rows'!B141,'Trial Rows'!$C$2:$C$201,'Trial Rows'!C141,'Trial Rows'!$F$2:$F$201,'Trial Rows'!F141,'Trial Rows'!$G$2:$G$201,'Trial Rows'!G141,'Trial Rows'!$Y$2:$Y$201,'Trial Rows'!Y141,'Trial Rows'!$N$2:$N$201,"&gt;=0",'Trial Rows'!$N$2:$N$201,"&lt;=4",'Trial Rows'!$N$2:$N$201,"&lt;&gt;")=4),SUMIFS('Trial Rows'!$N$2:$N$201,'Trial Rows'!$B$2:$B$201,'Trial Rows'!B141,'Trial Rows'!$C$2:$C$201,'Trial Rows'!C141,'Trial Rows'!$F$2:$F$201,'Trial Rows'!F141,'Trial Rows'!$G$2:$G$201,'Trial Rows'!G141,'Trial Rows'!$Y$2:$Y$201,'Trial Rows'!Y141,'Trial Rows'!$I$2:$I$201,1)+4-SUMIFS('Trial Rows'!$N$2:$N$201,'Trial Rows'!$B$2:$B$201,'Trial Rows'!B141,'Trial Rows'!$C$2:$C$201,'Trial Rows'!C141,'Trial Rows'!$F$2:$F$201,'Trial Rows'!F141,'Trial Rows'!$G$2:$G$201,'Trial Rows'!G141,'Trial Rows'!$Y$2:$Y$201,'Trial Rows'!Y141,'Trial Rows'!$I$2:$I$201,2)+4-SUMIFS('Trial Rows'!$N$2:$N$201,'Trial Rows'!$B$2:$B$201,'Trial Rows'!B141,'Trial Rows'!$C$2:$C$201,'Trial Rows'!C141,'Trial Rows'!$F$2:$F$201,'Trial Rows'!F141,'Trial Rows'!$G$2:$G$201,'Trial Rows'!G141,'Trial Rows'!$Y$2:$Y$201,'Trial Rows'!Y141,'Trial Rows'!$I$2:$I$201,3)+SUMIFS('Trial Rows'!$N$2:$N$201,'Trial Rows'!$B$2:$B$201,'Trial Rows'!B141,'Trial Rows'!$C$2:$C$201,'Trial Rows'!C141,'Trial Rows'!$F$2:$F$201,'Trial Rows'!F141,'Trial Rows'!$G$2:$G$201,'Trial Rows'!G141,'Trial Rows'!$Y$2:$Y$201,'Trial Rows'!Y141,'Trial Rows'!$I$2:$I$201,4),"")</x:f>
      </x:c>
      <x:c r="S141" s="2" t="n">
        <x:f>IF(AND(B141=1,COUNTIFS('Trial Rows'!$C$2:C141,'Trial Rows'!C141,'Trial Rows'!$F$2:F141,Summary!$B$5,'Trial Rows'!$Y$2:Y141,Summary!$B$4)=1),1,0)</x:f>
        <x:v>0</x:v>
      </x:c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 t="str">
        <x:f>IF('Trial Rows'!A142="","",'Trial Rows'!F142&amp;"|"&amp;'Trial Rows'!B142&amp;"|"&amp;'Trial Rows'!C142&amp;"|"&amp;'Trial Rows'!I142)</x:f>
      </x:c>
      <x:c r="B142" s="2" t="n">
        <x:f>IF(AND('Trial Rows'!A142&lt;&gt;"",'Trial Rows'!Y142=Summary!$B$4,'Trial Rows'!F142=Summary!$B$5),1,0)</x:f>
        <x:v>0</x:v>
      </x:c>
      <x:c r="C142" s="2" t="n">
        <x:f>IF(B142=1,COUNTIFS('Trial Rows'!$B$2:$B$201,'Trial Rows'!B142,'Trial Rows'!$C$2:$C$201,'Trial Rows'!C142,'Trial Rows'!$F$2:$F$201,'Trial Rows'!F142,'Trial Rows'!$I$2:$I$201,'Trial Rows'!I142,'Trial Rows'!$Y$2:$Y$201,'Trial Rows'!Y142,'Trial Rows'!$G$2:$G$201,"A"),0)</x:f>
        <x:v>0</x:v>
      </x:c>
      <x:c r="D142" s="2" t="n">
        <x:f>IF(B142=1,COUNTIFS('Trial Rows'!$B$2:$B$201,'Trial Rows'!B142,'Trial Rows'!$C$2:$C$201,'Trial Rows'!C142,'Trial Rows'!$F$2:$F$201,'Trial Rows'!F142,'Trial Rows'!$I$2:$I$201,'Trial Rows'!I142,'Trial Rows'!$Y$2:$Y$201,'Trial Rows'!Y142,'Trial Rows'!$G$2:$G$201,"B"),0)</x:f>
        <x:v>0</x:v>
      </x:c>
      <x:c r="E142" s="2" t="str">
        <x:f>IF(AND(C142=1,COUNTIFS('Trial Rows'!$B$2:$B$201,'Trial Rows'!B142,'Trial Rows'!$C$2:$C$201,'Trial Rows'!C142,'Trial Rows'!$F$2:$F$201,'Trial Rows'!F142,'Trial Rows'!$I$2:$I$201,'Trial Rows'!I142,'Trial Rows'!$Y$2:$Y$201,'Trial Rows'!Y142,'Trial Rows'!$G$2:$G$201,"A",'Trial Rows'!$K$2:$K$201,"&gt;=0",'Trial Rows'!$K$2:$K$201,"&lt;=4",'Trial Rows'!$K$2:$K$201,"&lt;&gt;")=1),SUMIFS('Trial Rows'!$K$2:$K$201,'Trial Rows'!$B$2:$B$201,'Trial Rows'!B142,'Trial Rows'!$C$2:$C$201,'Trial Rows'!C142,'Trial Rows'!$F$2:$F$201,'Trial Rows'!F142,'Trial Rows'!$I$2:$I$201,'Trial Rows'!I142,'Trial Rows'!$Y$2:$Y$201,'Trial Rows'!Y142,'Trial Rows'!$G$2:$G$201,"A"),"")</x:f>
      </x:c>
      <x:c r="F142" s="2" t="n">
        <x:f>IF(AND(B142=1,'Trial Rows'!G142="B",C142=1,D142=1,ISNUMBER(E142),ISNUMBER('Trial Rows'!M142),'Trial Rows'!M142&gt;=0,'Trial Rows'!M142&lt;=4,'Trial Rows'!Q142=0,'Trial Rows'!S142=0),1,0)</x:f>
        <x:v>0</x:v>
      </x:c>
      <x:c r="G142" s="2" t="n">
        <x:f>IF(F142=1,IF(E142='Trial Rows'!M142,1,0),0)</x:f>
        <x:v>0</x:v>
      </x:c>
      <x:c r="H142" s="2" t="n">
        <x:f>IF(AND(B142=1,'Trial Rows'!G142="B",C142=1,D142=1,ISNUMBER(E142),'Trial Rows'!R142=1,'Trial Rows'!Q142=0,'Trial Rows'!S142=0,ISNUMBER('Trial Rows'!L142),'Trial Rows'!L142&gt;=0,'Trial Rows'!L142&lt;=4),1,0)</x:f>
        <x:v>0</x:v>
      </x:c>
      <x:c r="I142" s="2" t="n">
        <x:f>IF(H142=1,IF(E142='Trial Rows'!L142,1,0),0)</x:f>
        <x:v>0</x:v>
      </x:c>
      <x:c r="J142" s="2" t="n">
        <x:f>IF(AND(B142=1,'Trial Rows'!G142="B",'Trial Rows'!P142&gt;0),1,0)</x:f>
        <x:v>0</x:v>
      </x:c>
      <x:c r="K142" s="2" t="n">
        <x:f>IF(AND(B142=1,'Trial Rows'!G142="B",'Trial Rows'!Q142=1),1,0)</x:f>
        <x:v>0</x:v>
      </x:c>
      <x:c r="L142" s="2" t="n">
        <x:f>IF(AND(B142=1,'Trial Rows'!G142="B",'Trial Rows'!R142=1,'Trial Rows'!Q142=0,'Trial Rows'!S142=0),1,0)</x:f>
        <x:v>0</x:v>
      </x:c>
      <x:c r="M142" s="2" t="n">
        <x:f>IF(AND(B142=1,'Trial Rows'!G142="B"),1,0)</x:f>
        <x:v>0</x:v>
      </x:c>
      <x:c r="N142" s="2" t="n">
        <x:f>IF(AND(B142=1,'Trial Rows'!I142=1,COUNTIFS('Trial Rows'!$B$2:$B$201,'Trial Rows'!B142,'Trial Rows'!$C$2:$C$201,'Trial Rows'!C142,'Trial Rows'!$F$2:$F$201,'Trial Rows'!F142,'Trial Rows'!$G$2:$G$201,'Trial Rows'!G142,'Trial Rows'!$Y$2:$Y$201,'Trial Rows'!Y142)=4,COUNTIFS('Trial Rows'!$B$2:$B$201,'Trial Rows'!B142,'Trial Rows'!$C$2:$C$201,'Trial Rows'!C142,'Trial Rows'!$F$2:$F$201,'Trial Rows'!F142,'Trial Rows'!$G$2:$G$201,'Trial Rows'!G142,'Trial Rows'!$Y$2:$Y$201,'Trial Rows'!Y142,'Trial Rows'!$I$2:$I$201,1)=1,COUNTIFS('Trial Rows'!$B$2:$B$201,'Trial Rows'!B142,'Trial Rows'!$C$2:$C$201,'Trial Rows'!C142,'Trial Rows'!$F$2:$F$201,'Trial Rows'!F142,'Trial Rows'!$G$2:$G$201,'Trial Rows'!G142,'Trial Rows'!$Y$2:$Y$201,'Trial Rows'!Y142,'Trial Rows'!$I$2:$I$201,2)=1,COUNTIFS('Trial Rows'!$B$2:$B$201,'Trial Rows'!B142,'Trial Rows'!$C$2:$C$201,'Trial Rows'!C142,'Trial Rows'!$F$2:$F$201,'Trial Rows'!F142,'Trial Rows'!$G$2:$G$201,'Trial Rows'!G142,'Trial Rows'!$Y$2:$Y$201,'Trial Rows'!Y142,'Trial Rows'!$I$2:$I$201,3)=1,COUNTIFS('Trial Rows'!$B$2:$B$201,'Trial Rows'!B142,'Trial Rows'!$C$2:$C$201,'Trial Rows'!C142,'Trial Rows'!$F$2:$F$201,'Trial Rows'!F142,'Trial Rows'!$G$2:$G$201,'Trial Rows'!G142,'Trial Rows'!$Y$2:$Y$201,'Trial Rows'!Y142,'Trial Rows'!$I$2:$I$201,4)=1,COUNTIFS('Trial Rows'!$B$2:$B$201,'Trial Rows'!B142,'Trial Rows'!$C$2:$C$201,'Trial Rows'!C142,'Trial Rows'!$F$2:$F$201,'Trial Rows'!F142,'Trial Rows'!$G$2:$G$201,'Trial Rows'!G142,'Trial Rows'!$Y$2:$Y$201,'Trial Rows'!Y142,'Trial Rows'!$W$2:$W$201,"&lt;&gt;")=4,ISNUMBER('Trial Rows'!U142),COUNTIFS('Trial Rows'!$B$2:$B$201,'Trial Rows'!B142,'Trial Rows'!$C$2:$C$201,'Trial Rows'!C142,'Trial Rows'!$F$2:$F$201,'Trial Rows'!F142,'Trial Rows'!$G$2:$G$201,'Trial Rows'!G142,'Trial Rows'!$Y$2:$Y$201,'Trial Rows'!Y142,'Trial Rows'!$U$2:$U$201,'Trial Rows'!U142)=4,'Trial Rows'!U142&gt;=0),1,0)</x:f>
        <x:v>0</x:v>
      </x:c>
      <x:c r="O142" s="2" t="str">
        <x:f>IF(N142=1,'Trial Rows'!U142/1000,"")</x:f>
      </x:c>
      <x:c r="P142" s="2" t="str">
        <x:f>IF(AND(N142=1,'Trial Rows'!G142="A"),O142,"")</x:f>
      </x:c>
      <x:c r="Q142" s="2" t="str">
        <x:f>IF(AND(N142=1,'Trial Rows'!G142="B"),O142,"")</x:f>
      </x:c>
      <x:c r="R142" s="2" t="str">
        <x:f>IF(AND(N142=1,COUNTIFS('Trial Rows'!$B$2:$B$201,'Trial Rows'!B142,'Trial Rows'!$C$2:$C$201,'Trial Rows'!C142,'Trial Rows'!$F$2:$F$201,'Trial Rows'!F142,'Trial Rows'!$G$2:$G$201,'Trial Rows'!G142,'Trial Rows'!$Y$2:$Y$201,'Trial Rows'!Y142,'Trial Rows'!$N$2:$N$201,"&gt;=0",'Trial Rows'!$N$2:$N$201,"&lt;=4",'Trial Rows'!$N$2:$N$201,"&lt;&gt;")=4),SUMIFS('Trial Rows'!$N$2:$N$201,'Trial Rows'!$B$2:$B$201,'Trial Rows'!B142,'Trial Rows'!$C$2:$C$201,'Trial Rows'!C142,'Trial Rows'!$F$2:$F$201,'Trial Rows'!F142,'Trial Rows'!$G$2:$G$201,'Trial Rows'!G142,'Trial Rows'!$Y$2:$Y$201,'Trial Rows'!Y142,'Trial Rows'!$I$2:$I$201,1)+4-SUMIFS('Trial Rows'!$N$2:$N$201,'Trial Rows'!$B$2:$B$201,'Trial Rows'!B142,'Trial Rows'!$C$2:$C$201,'Trial Rows'!C142,'Trial Rows'!$F$2:$F$201,'Trial Rows'!F142,'Trial Rows'!$G$2:$G$201,'Trial Rows'!G142,'Trial Rows'!$Y$2:$Y$201,'Trial Rows'!Y142,'Trial Rows'!$I$2:$I$201,2)+4-SUMIFS('Trial Rows'!$N$2:$N$201,'Trial Rows'!$B$2:$B$201,'Trial Rows'!B142,'Trial Rows'!$C$2:$C$201,'Trial Rows'!C142,'Trial Rows'!$F$2:$F$201,'Trial Rows'!F142,'Trial Rows'!$G$2:$G$201,'Trial Rows'!G142,'Trial Rows'!$Y$2:$Y$201,'Trial Rows'!Y142,'Trial Rows'!$I$2:$I$201,3)+SUMIFS('Trial Rows'!$N$2:$N$201,'Trial Rows'!$B$2:$B$201,'Trial Rows'!B142,'Trial Rows'!$C$2:$C$201,'Trial Rows'!C142,'Trial Rows'!$F$2:$F$201,'Trial Rows'!F142,'Trial Rows'!$G$2:$G$201,'Trial Rows'!G142,'Trial Rows'!$Y$2:$Y$201,'Trial Rows'!Y142,'Trial Rows'!$I$2:$I$201,4),"")</x:f>
      </x:c>
      <x:c r="S142" s="2" t="n">
        <x:f>IF(AND(B142=1,COUNTIFS('Trial Rows'!$C$2:C142,'Trial Rows'!C142,'Trial Rows'!$F$2:F142,Summary!$B$5,'Trial Rows'!$Y$2:Y142,Summary!$B$4)=1),1,0)</x:f>
        <x:v>0</x:v>
      </x:c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 t="str">
        <x:f>IF('Trial Rows'!A143="","",'Trial Rows'!F143&amp;"|"&amp;'Trial Rows'!B143&amp;"|"&amp;'Trial Rows'!C143&amp;"|"&amp;'Trial Rows'!I143)</x:f>
      </x:c>
      <x:c r="B143" s="2" t="n">
        <x:f>IF(AND('Trial Rows'!A143&lt;&gt;"",'Trial Rows'!Y143=Summary!$B$4,'Trial Rows'!F143=Summary!$B$5),1,0)</x:f>
        <x:v>0</x:v>
      </x:c>
      <x:c r="C143" s="2" t="n">
        <x:f>IF(B143=1,COUNTIFS('Trial Rows'!$B$2:$B$201,'Trial Rows'!B143,'Trial Rows'!$C$2:$C$201,'Trial Rows'!C143,'Trial Rows'!$F$2:$F$201,'Trial Rows'!F143,'Trial Rows'!$I$2:$I$201,'Trial Rows'!I143,'Trial Rows'!$Y$2:$Y$201,'Trial Rows'!Y143,'Trial Rows'!$G$2:$G$201,"A"),0)</x:f>
        <x:v>0</x:v>
      </x:c>
      <x:c r="D143" s="2" t="n">
        <x:f>IF(B143=1,COUNTIFS('Trial Rows'!$B$2:$B$201,'Trial Rows'!B143,'Trial Rows'!$C$2:$C$201,'Trial Rows'!C143,'Trial Rows'!$F$2:$F$201,'Trial Rows'!F143,'Trial Rows'!$I$2:$I$201,'Trial Rows'!I143,'Trial Rows'!$Y$2:$Y$201,'Trial Rows'!Y143,'Trial Rows'!$G$2:$G$201,"B"),0)</x:f>
        <x:v>0</x:v>
      </x:c>
      <x:c r="E143" s="2" t="str">
        <x:f>IF(AND(C143=1,COUNTIFS('Trial Rows'!$B$2:$B$201,'Trial Rows'!B143,'Trial Rows'!$C$2:$C$201,'Trial Rows'!C143,'Trial Rows'!$F$2:$F$201,'Trial Rows'!F143,'Trial Rows'!$I$2:$I$201,'Trial Rows'!I143,'Trial Rows'!$Y$2:$Y$201,'Trial Rows'!Y143,'Trial Rows'!$G$2:$G$201,"A",'Trial Rows'!$K$2:$K$201,"&gt;=0",'Trial Rows'!$K$2:$K$201,"&lt;=4",'Trial Rows'!$K$2:$K$201,"&lt;&gt;")=1),SUMIFS('Trial Rows'!$K$2:$K$201,'Trial Rows'!$B$2:$B$201,'Trial Rows'!B143,'Trial Rows'!$C$2:$C$201,'Trial Rows'!C143,'Trial Rows'!$F$2:$F$201,'Trial Rows'!F143,'Trial Rows'!$I$2:$I$201,'Trial Rows'!I143,'Trial Rows'!$Y$2:$Y$201,'Trial Rows'!Y143,'Trial Rows'!$G$2:$G$201,"A"),"")</x:f>
      </x:c>
      <x:c r="F143" s="2" t="n">
        <x:f>IF(AND(B143=1,'Trial Rows'!G143="B",C143=1,D143=1,ISNUMBER(E143),ISNUMBER('Trial Rows'!M143),'Trial Rows'!M143&gt;=0,'Trial Rows'!M143&lt;=4,'Trial Rows'!Q143=0,'Trial Rows'!S143=0),1,0)</x:f>
        <x:v>0</x:v>
      </x:c>
      <x:c r="G143" s="2" t="n">
        <x:f>IF(F143=1,IF(E143='Trial Rows'!M143,1,0),0)</x:f>
        <x:v>0</x:v>
      </x:c>
      <x:c r="H143" s="2" t="n">
        <x:f>IF(AND(B143=1,'Trial Rows'!G143="B",C143=1,D143=1,ISNUMBER(E143),'Trial Rows'!R143=1,'Trial Rows'!Q143=0,'Trial Rows'!S143=0,ISNUMBER('Trial Rows'!L143),'Trial Rows'!L143&gt;=0,'Trial Rows'!L143&lt;=4),1,0)</x:f>
        <x:v>0</x:v>
      </x:c>
      <x:c r="I143" s="2" t="n">
        <x:f>IF(H143=1,IF(E143='Trial Rows'!L143,1,0),0)</x:f>
        <x:v>0</x:v>
      </x:c>
      <x:c r="J143" s="2" t="n">
        <x:f>IF(AND(B143=1,'Trial Rows'!G143="B",'Trial Rows'!P143&gt;0),1,0)</x:f>
        <x:v>0</x:v>
      </x:c>
      <x:c r="K143" s="2" t="n">
        <x:f>IF(AND(B143=1,'Trial Rows'!G143="B",'Trial Rows'!Q143=1),1,0)</x:f>
        <x:v>0</x:v>
      </x:c>
      <x:c r="L143" s="2" t="n">
        <x:f>IF(AND(B143=1,'Trial Rows'!G143="B",'Trial Rows'!R143=1,'Trial Rows'!Q143=0,'Trial Rows'!S143=0),1,0)</x:f>
        <x:v>0</x:v>
      </x:c>
      <x:c r="M143" s="2" t="n">
        <x:f>IF(AND(B143=1,'Trial Rows'!G143="B"),1,0)</x:f>
        <x:v>0</x:v>
      </x:c>
      <x:c r="N143" s="2" t="n">
        <x:f>IF(AND(B143=1,'Trial Rows'!I143=1,COUNTIFS('Trial Rows'!$B$2:$B$201,'Trial Rows'!B143,'Trial Rows'!$C$2:$C$201,'Trial Rows'!C143,'Trial Rows'!$F$2:$F$201,'Trial Rows'!F143,'Trial Rows'!$G$2:$G$201,'Trial Rows'!G143,'Trial Rows'!$Y$2:$Y$201,'Trial Rows'!Y143)=4,COUNTIFS('Trial Rows'!$B$2:$B$201,'Trial Rows'!B143,'Trial Rows'!$C$2:$C$201,'Trial Rows'!C143,'Trial Rows'!$F$2:$F$201,'Trial Rows'!F143,'Trial Rows'!$G$2:$G$201,'Trial Rows'!G143,'Trial Rows'!$Y$2:$Y$201,'Trial Rows'!Y143,'Trial Rows'!$I$2:$I$201,1)=1,COUNTIFS('Trial Rows'!$B$2:$B$201,'Trial Rows'!B143,'Trial Rows'!$C$2:$C$201,'Trial Rows'!C143,'Trial Rows'!$F$2:$F$201,'Trial Rows'!F143,'Trial Rows'!$G$2:$G$201,'Trial Rows'!G143,'Trial Rows'!$Y$2:$Y$201,'Trial Rows'!Y143,'Trial Rows'!$I$2:$I$201,2)=1,COUNTIFS('Trial Rows'!$B$2:$B$201,'Trial Rows'!B143,'Trial Rows'!$C$2:$C$201,'Trial Rows'!C143,'Trial Rows'!$F$2:$F$201,'Trial Rows'!F143,'Trial Rows'!$G$2:$G$201,'Trial Rows'!G143,'Trial Rows'!$Y$2:$Y$201,'Trial Rows'!Y143,'Trial Rows'!$I$2:$I$201,3)=1,COUNTIFS('Trial Rows'!$B$2:$B$201,'Trial Rows'!B143,'Trial Rows'!$C$2:$C$201,'Trial Rows'!C143,'Trial Rows'!$F$2:$F$201,'Trial Rows'!F143,'Trial Rows'!$G$2:$G$201,'Trial Rows'!G143,'Trial Rows'!$Y$2:$Y$201,'Trial Rows'!Y143,'Trial Rows'!$I$2:$I$201,4)=1,COUNTIFS('Trial Rows'!$B$2:$B$201,'Trial Rows'!B143,'Trial Rows'!$C$2:$C$201,'Trial Rows'!C143,'Trial Rows'!$F$2:$F$201,'Trial Rows'!F143,'Trial Rows'!$G$2:$G$201,'Trial Rows'!G143,'Trial Rows'!$Y$2:$Y$201,'Trial Rows'!Y143,'Trial Rows'!$W$2:$W$201,"&lt;&gt;")=4,ISNUMBER('Trial Rows'!U143),COUNTIFS('Trial Rows'!$B$2:$B$201,'Trial Rows'!B143,'Trial Rows'!$C$2:$C$201,'Trial Rows'!C143,'Trial Rows'!$F$2:$F$201,'Trial Rows'!F143,'Trial Rows'!$G$2:$G$201,'Trial Rows'!G143,'Trial Rows'!$Y$2:$Y$201,'Trial Rows'!Y143,'Trial Rows'!$U$2:$U$201,'Trial Rows'!U143)=4,'Trial Rows'!U143&gt;=0),1,0)</x:f>
        <x:v>0</x:v>
      </x:c>
      <x:c r="O143" s="2" t="str">
        <x:f>IF(N143=1,'Trial Rows'!U143/1000,"")</x:f>
      </x:c>
      <x:c r="P143" s="2" t="str">
        <x:f>IF(AND(N143=1,'Trial Rows'!G143="A"),O143,"")</x:f>
      </x:c>
      <x:c r="Q143" s="2" t="str">
        <x:f>IF(AND(N143=1,'Trial Rows'!G143="B"),O143,"")</x:f>
      </x:c>
      <x:c r="R143" s="2" t="str">
        <x:f>IF(AND(N143=1,COUNTIFS('Trial Rows'!$B$2:$B$201,'Trial Rows'!B143,'Trial Rows'!$C$2:$C$201,'Trial Rows'!C143,'Trial Rows'!$F$2:$F$201,'Trial Rows'!F143,'Trial Rows'!$G$2:$G$201,'Trial Rows'!G143,'Trial Rows'!$Y$2:$Y$201,'Trial Rows'!Y143,'Trial Rows'!$N$2:$N$201,"&gt;=0",'Trial Rows'!$N$2:$N$201,"&lt;=4",'Trial Rows'!$N$2:$N$201,"&lt;&gt;")=4),SUMIFS('Trial Rows'!$N$2:$N$201,'Trial Rows'!$B$2:$B$201,'Trial Rows'!B143,'Trial Rows'!$C$2:$C$201,'Trial Rows'!C143,'Trial Rows'!$F$2:$F$201,'Trial Rows'!F143,'Trial Rows'!$G$2:$G$201,'Trial Rows'!G143,'Trial Rows'!$Y$2:$Y$201,'Trial Rows'!Y143,'Trial Rows'!$I$2:$I$201,1)+4-SUMIFS('Trial Rows'!$N$2:$N$201,'Trial Rows'!$B$2:$B$201,'Trial Rows'!B143,'Trial Rows'!$C$2:$C$201,'Trial Rows'!C143,'Trial Rows'!$F$2:$F$201,'Trial Rows'!F143,'Trial Rows'!$G$2:$G$201,'Trial Rows'!G143,'Trial Rows'!$Y$2:$Y$201,'Trial Rows'!Y143,'Trial Rows'!$I$2:$I$201,2)+4-SUMIFS('Trial Rows'!$N$2:$N$201,'Trial Rows'!$B$2:$B$201,'Trial Rows'!B143,'Trial Rows'!$C$2:$C$201,'Trial Rows'!C143,'Trial Rows'!$F$2:$F$201,'Trial Rows'!F143,'Trial Rows'!$G$2:$G$201,'Trial Rows'!G143,'Trial Rows'!$Y$2:$Y$201,'Trial Rows'!Y143,'Trial Rows'!$I$2:$I$201,3)+SUMIFS('Trial Rows'!$N$2:$N$201,'Trial Rows'!$B$2:$B$201,'Trial Rows'!B143,'Trial Rows'!$C$2:$C$201,'Trial Rows'!C143,'Trial Rows'!$F$2:$F$201,'Trial Rows'!F143,'Trial Rows'!$G$2:$G$201,'Trial Rows'!G143,'Trial Rows'!$Y$2:$Y$201,'Trial Rows'!Y143,'Trial Rows'!$I$2:$I$201,4),"")</x:f>
      </x:c>
      <x:c r="S143" s="2" t="n">
        <x:f>IF(AND(B143=1,COUNTIFS('Trial Rows'!$C$2:C143,'Trial Rows'!C143,'Trial Rows'!$F$2:F143,Summary!$B$5,'Trial Rows'!$Y$2:Y143,Summary!$B$4)=1),1,0)</x:f>
        <x:v>0</x:v>
      </x:c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 t="str">
        <x:f>IF('Trial Rows'!A144="","",'Trial Rows'!F144&amp;"|"&amp;'Trial Rows'!B144&amp;"|"&amp;'Trial Rows'!C144&amp;"|"&amp;'Trial Rows'!I144)</x:f>
      </x:c>
      <x:c r="B144" s="2" t="n">
        <x:f>IF(AND('Trial Rows'!A144&lt;&gt;"",'Trial Rows'!Y144=Summary!$B$4,'Trial Rows'!F144=Summary!$B$5),1,0)</x:f>
        <x:v>0</x:v>
      </x:c>
      <x:c r="C144" s="2" t="n">
        <x:f>IF(B144=1,COUNTIFS('Trial Rows'!$B$2:$B$201,'Trial Rows'!B144,'Trial Rows'!$C$2:$C$201,'Trial Rows'!C144,'Trial Rows'!$F$2:$F$201,'Trial Rows'!F144,'Trial Rows'!$I$2:$I$201,'Trial Rows'!I144,'Trial Rows'!$Y$2:$Y$201,'Trial Rows'!Y144,'Trial Rows'!$G$2:$G$201,"A"),0)</x:f>
        <x:v>0</x:v>
      </x:c>
      <x:c r="D144" s="2" t="n">
        <x:f>IF(B144=1,COUNTIFS('Trial Rows'!$B$2:$B$201,'Trial Rows'!B144,'Trial Rows'!$C$2:$C$201,'Trial Rows'!C144,'Trial Rows'!$F$2:$F$201,'Trial Rows'!F144,'Trial Rows'!$I$2:$I$201,'Trial Rows'!I144,'Trial Rows'!$Y$2:$Y$201,'Trial Rows'!Y144,'Trial Rows'!$G$2:$G$201,"B"),0)</x:f>
        <x:v>0</x:v>
      </x:c>
      <x:c r="E144" s="2" t="str">
        <x:f>IF(AND(C144=1,COUNTIFS('Trial Rows'!$B$2:$B$201,'Trial Rows'!B144,'Trial Rows'!$C$2:$C$201,'Trial Rows'!C144,'Trial Rows'!$F$2:$F$201,'Trial Rows'!F144,'Trial Rows'!$I$2:$I$201,'Trial Rows'!I144,'Trial Rows'!$Y$2:$Y$201,'Trial Rows'!Y144,'Trial Rows'!$G$2:$G$201,"A",'Trial Rows'!$K$2:$K$201,"&gt;=0",'Trial Rows'!$K$2:$K$201,"&lt;=4",'Trial Rows'!$K$2:$K$201,"&lt;&gt;")=1),SUMIFS('Trial Rows'!$K$2:$K$201,'Trial Rows'!$B$2:$B$201,'Trial Rows'!B144,'Trial Rows'!$C$2:$C$201,'Trial Rows'!C144,'Trial Rows'!$F$2:$F$201,'Trial Rows'!F144,'Trial Rows'!$I$2:$I$201,'Trial Rows'!I144,'Trial Rows'!$Y$2:$Y$201,'Trial Rows'!Y144,'Trial Rows'!$G$2:$G$201,"A"),"")</x:f>
      </x:c>
      <x:c r="F144" s="2" t="n">
        <x:f>IF(AND(B144=1,'Trial Rows'!G144="B",C144=1,D144=1,ISNUMBER(E144),ISNUMBER('Trial Rows'!M144),'Trial Rows'!M144&gt;=0,'Trial Rows'!M144&lt;=4,'Trial Rows'!Q144=0,'Trial Rows'!S144=0),1,0)</x:f>
        <x:v>0</x:v>
      </x:c>
      <x:c r="G144" s="2" t="n">
        <x:f>IF(F144=1,IF(E144='Trial Rows'!M144,1,0),0)</x:f>
        <x:v>0</x:v>
      </x:c>
      <x:c r="H144" s="2" t="n">
        <x:f>IF(AND(B144=1,'Trial Rows'!G144="B",C144=1,D144=1,ISNUMBER(E144),'Trial Rows'!R144=1,'Trial Rows'!Q144=0,'Trial Rows'!S144=0,ISNUMBER('Trial Rows'!L144),'Trial Rows'!L144&gt;=0,'Trial Rows'!L144&lt;=4),1,0)</x:f>
        <x:v>0</x:v>
      </x:c>
      <x:c r="I144" s="2" t="n">
        <x:f>IF(H144=1,IF(E144='Trial Rows'!L144,1,0),0)</x:f>
        <x:v>0</x:v>
      </x:c>
      <x:c r="J144" s="2" t="n">
        <x:f>IF(AND(B144=1,'Trial Rows'!G144="B",'Trial Rows'!P144&gt;0),1,0)</x:f>
        <x:v>0</x:v>
      </x:c>
      <x:c r="K144" s="2" t="n">
        <x:f>IF(AND(B144=1,'Trial Rows'!G144="B",'Trial Rows'!Q144=1),1,0)</x:f>
        <x:v>0</x:v>
      </x:c>
      <x:c r="L144" s="2" t="n">
        <x:f>IF(AND(B144=1,'Trial Rows'!G144="B",'Trial Rows'!R144=1,'Trial Rows'!Q144=0,'Trial Rows'!S144=0),1,0)</x:f>
        <x:v>0</x:v>
      </x:c>
      <x:c r="M144" s="2" t="n">
        <x:f>IF(AND(B144=1,'Trial Rows'!G144="B"),1,0)</x:f>
        <x:v>0</x:v>
      </x:c>
      <x:c r="N144" s="2" t="n">
        <x:f>IF(AND(B144=1,'Trial Rows'!I144=1,COUNTIFS('Trial Rows'!$B$2:$B$201,'Trial Rows'!B144,'Trial Rows'!$C$2:$C$201,'Trial Rows'!C144,'Trial Rows'!$F$2:$F$201,'Trial Rows'!F144,'Trial Rows'!$G$2:$G$201,'Trial Rows'!G144,'Trial Rows'!$Y$2:$Y$201,'Trial Rows'!Y144)=4,COUNTIFS('Trial Rows'!$B$2:$B$201,'Trial Rows'!B144,'Trial Rows'!$C$2:$C$201,'Trial Rows'!C144,'Trial Rows'!$F$2:$F$201,'Trial Rows'!F144,'Trial Rows'!$G$2:$G$201,'Trial Rows'!G144,'Trial Rows'!$Y$2:$Y$201,'Trial Rows'!Y144,'Trial Rows'!$I$2:$I$201,1)=1,COUNTIFS('Trial Rows'!$B$2:$B$201,'Trial Rows'!B144,'Trial Rows'!$C$2:$C$201,'Trial Rows'!C144,'Trial Rows'!$F$2:$F$201,'Trial Rows'!F144,'Trial Rows'!$G$2:$G$201,'Trial Rows'!G144,'Trial Rows'!$Y$2:$Y$201,'Trial Rows'!Y144,'Trial Rows'!$I$2:$I$201,2)=1,COUNTIFS('Trial Rows'!$B$2:$B$201,'Trial Rows'!B144,'Trial Rows'!$C$2:$C$201,'Trial Rows'!C144,'Trial Rows'!$F$2:$F$201,'Trial Rows'!F144,'Trial Rows'!$G$2:$G$201,'Trial Rows'!G144,'Trial Rows'!$Y$2:$Y$201,'Trial Rows'!Y144,'Trial Rows'!$I$2:$I$201,3)=1,COUNTIFS('Trial Rows'!$B$2:$B$201,'Trial Rows'!B144,'Trial Rows'!$C$2:$C$201,'Trial Rows'!C144,'Trial Rows'!$F$2:$F$201,'Trial Rows'!F144,'Trial Rows'!$G$2:$G$201,'Trial Rows'!G144,'Trial Rows'!$Y$2:$Y$201,'Trial Rows'!Y144,'Trial Rows'!$I$2:$I$201,4)=1,COUNTIFS('Trial Rows'!$B$2:$B$201,'Trial Rows'!B144,'Trial Rows'!$C$2:$C$201,'Trial Rows'!C144,'Trial Rows'!$F$2:$F$201,'Trial Rows'!F144,'Trial Rows'!$G$2:$G$201,'Trial Rows'!G144,'Trial Rows'!$Y$2:$Y$201,'Trial Rows'!Y144,'Trial Rows'!$W$2:$W$201,"&lt;&gt;")=4,ISNUMBER('Trial Rows'!U144),COUNTIFS('Trial Rows'!$B$2:$B$201,'Trial Rows'!B144,'Trial Rows'!$C$2:$C$201,'Trial Rows'!C144,'Trial Rows'!$F$2:$F$201,'Trial Rows'!F144,'Trial Rows'!$G$2:$G$201,'Trial Rows'!G144,'Trial Rows'!$Y$2:$Y$201,'Trial Rows'!Y144,'Trial Rows'!$U$2:$U$201,'Trial Rows'!U144)=4,'Trial Rows'!U144&gt;=0),1,0)</x:f>
        <x:v>0</x:v>
      </x:c>
      <x:c r="O144" s="2" t="str">
        <x:f>IF(N144=1,'Trial Rows'!U144/1000,"")</x:f>
      </x:c>
      <x:c r="P144" s="2" t="str">
        <x:f>IF(AND(N144=1,'Trial Rows'!G144="A"),O144,"")</x:f>
      </x:c>
      <x:c r="Q144" s="2" t="str">
        <x:f>IF(AND(N144=1,'Trial Rows'!G144="B"),O144,"")</x:f>
      </x:c>
      <x:c r="R144" s="2" t="str">
        <x:f>IF(AND(N144=1,COUNTIFS('Trial Rows'!$B$2:$B$201,'Trial Rows'!B144,'Trial Rows'!$C$2:$C$201,'Trial Rows'!C144,'Trial Rows'!$F$2:$F$201,'Trial Rows'!F144,'Trial Rows'!$G$2:$G$201,'Trial Rows'!G144,'Trial Rows'!$Y$2:$Y$201,'Trial Rows'!Y144,'Trial Rows'!$N$2:$N$201,"&gt;=0",'Trial Rows'!$N$2:$N$201,"&lt;=4",'Trial Rows'!$N$2:$N$201,"&lt;&gt;")=4),SUMIFS('Trial Rows'!$N$2:$N$201,'Trial Rows'!$B$2:$B$201,'Trial Rows'!B144,'Trial Rows'!$C$2:$C$201,'Trial Rows'!C144,'Trial Rows'!$F$2:$F$201,'Trial Rows'!F144,'Trial Rows'!$G$2:$G$201,'Trial Rows'!G144,'Trial Rows'!$Y$2:$Y$201,'Trial Rows'!Y144,'Trial Rows'!$I$2:$I$201,1)+4-SUMIFS('Trial Rows'!$N$2:$N$201,'Trial Rows'!$B$2:$B$201,'Trial Rows'!B144,'Trial Rows'!$C$2:$C$201,'Trial Rows'!C144,'Trial Rows'!$F$2:$F$201,'Trial Rows'!F144,'Trial Rows'!$G$2:$G$201,'Trial Rows'!G144,'Trial Rows'!$Y$2:$Y$201,'Trial Rows'!Y144,'Trial Rows'!$I$2:$I$201,2)+4-SUMIFS('Trial Rows'!$N$2:$N$201,'Trial Rows'!$B$2:$B$201,'Trial Rows'!B144,'Trial Rows'!$C$2:$C$201,'Trial Rows'!C144,'Trial Rows'!$F$2:$F$201,'Trial Rows'!F144,'Trial Rows'!$G$2:$G$201,'Trial Rows'!G144,'Trial Rows'!$Y$2:$Y$201,'Trial Rows'!Y144,'Trial Rows'!$I$2:$I$201,3)+SUMIFS('Trial Rows'!$N$2:$N$201,'Trial Rows'!$B$2:$B$201,'Trial Rows'!B144,'Trial Rows'!$C$2:$C$201,'Trial Rows'!C144,'Trial Rows'!$F$2:$F$201,'Trial Rows'!F144,'Trial Rows'!$G$2:$G$201,'Trial Rows'!G144,'Trial Rows'!$Y$2:$Y$201,'Trial Rows'!Y144,'Trial Rows'!$I$2:$I$201,4),"")</x:f>
      </x:c>
      <x:c r="S144" s="2" t="n">
        <x:f>IF(AND(B144=1,COUNTIFS('Trial Rows'!$C$2:C144,'Trial Rows'!C144,'Trial Rows'!$F$2:F144,Summary!$B$5,'Trial Rows'!$Y$2:Y144,Summary!$B$4)=1),1,0)</x:f>
        <x:v>0</x:v>
      </x:c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 t="str">
        <x:f>IF('Trial Rows'!A145="","",'Trial Rows'!F145&amp;"|"&amp;'Trial Rows'!B145&amp;"|"&amp;'Trial Rows'!C145&amp;"|"&amp;'Trial Rows'!I145)</x:f>
      </x:c>
      <x:c r="B145" s="2" t="n">
        <x:f>IF(AND('Trial Rows'!A145&lt;&gt;"",'Trial Rows'!Y145=Summary!$B$4,'Trial Rows'!F145=Summary!$B$5),1,0)</x:f>
        <x:v>0</x:v>
      </x:c>
      <x:c r="C145" s="2" t="n">
        <x:f>IF(B145=1,COUNTIFS('Trial Rows'!$B$2:$B$201,'Trial Rows'!B145,'Trial Rows'!$C$2:$C$201,'Trial Rows'!C145,'Trial Rows'!$F$2:$F$201,'Trial Rows'!F145,'Trial Rows'!$I$2:$I$201,'Trial Rows'!I145,'Trial Rows'!$Y$2:$Y$201,'Trial Rows'!Y145,'Trial Rows'!$G$2:$G$201,"A"),0)</x:f>
        <x:v>0</x:v>
      </x:c>
      <x:c r="D145" s="2" t="n">
        <x:f>IF(B145=1,COUNTIFS('Trial Rows'!$B$2:$B$201,'Trial Rows'!B145,'Trial Rows'!$C$2:$C$201,'Trial Rows'!C145,'Trial Rows'!$F$2:$F$201,'Trial Rows'!F145,'Trial Rows'!$I$2:$I$201,'Trial Rows'!I145,'Trial Rows'!$Y$2:$Y$201,'Trial Rows'!Y145,'Trial Rows'!$G$2:$G$201,"B"),0)</x:f>
        <x:v>0</x:v>
      </x:c>
      <x:c r="E145" s="2" t="str">
        <x:f>IF(AND(C145=1,COUNTIFS('Trial Rows'!$B$2:$B$201,'Trial Rows'!B145,'Trial Rows'!$C$2:$C$201,'Trial Rows'!C145,'Trial Rows'!$F$2:$F$201,'Trial Rows'!F145,'Trial Rows'!$I$2:$I$201,'Trial Rows'!I145,'Trial Rows'!$Y$2:$Y$201,'Trial Rows'!Y145,'Trial Rows'!$G$2:$G$201,"A",'Trial Rows'!$K$2:$K$201,"&gt;=0",'Trial Rows'!$K$2:$K$201,"&lt;=4",'Trial Rows'!$K$2:$K$201,"&lt;&gt;")=1),SUMIFS('Trial Rows'!$K$2:$K$201,'Trial Rows'!$B$2:$B$201,'Trial Rows'!B145,'Trial Rows'!$C$2:$C$201,'Trial Rows'!C145,'Trial Rows'!$F$2:$F$201,'Trial Rows'!F145,'Trial Rows'!$I$2:$I$201,'Trial Rows'!I145,'Trial Rows'!$Y$2:$Y$201,'Trial Rows'!Y145,'Trial Rows'!$G$2:$G$201,"A"),"")</x:f>
      </x:c>
      <x:c r="F145" s="2" t="n">
        <x:f>IF(AND(B145=1,'Trial Rows'!G145="B",C145=1,D145=1,ISNUMBER(E145),ISNUMBER('Trial Rows'!M145),'Trial Rows'!M145&gt;=0,'Trial Rows'!M145&lt;=4,'Trial Rows'!Q145=0,'Trial Rows'!S145=0),1,0)</x:f>
        <x:v>0</x:v>
      </x:c>
      <x:c r="G145" s="2" t="n">
        <x:f>IF(F145=1,IF(E145='Trial Rows'!M145,1,0),0)</x:f>
        <x:v>0</x:v>
      </x:c>
      <x:c r="H145" s="2" t="n">
        <x:f>IF(AND(B145=1,'Trial Rows'!G145="B",C145=1,D145=1,ISNUMBER(E145),'Trial Rows'!R145=1,'Trial Rows'!Q145=0,'Trial Rows'!S145=0,ISNUMBER('Trial Rows'!L145),'Trial Rows'!L145&gt;=0,'Trial Rows'!L145&lt;=4),1,0)</x:f>
        <x:v>0</x:v>
      </x:c>
      <x:c r="I145" s="2" t="n">
        <x:f>IF(H145=1,IF(E145='Trial Rows'!L145,1,0),0)</x:f>
        <x:v>0</x:v>
      </x:c>
      <x:c r="J145" s="2" t="n">
        <x:f>IF(AND(B145=1,'Trial Rows'!G145="B",'Trial Rows'!P145&gt;0),1,0)</x:f>
        <x:v>0</x:v>
      </x:c>
      <x:c r="K145" s="2" t="n">
        <x:f>IF(AND(B145=1,'Trial Rows'!G145="B",'Trial Rows'!Q145=1),1,0)</x:f>
        <x:v>0</x:v>
      </x:c>
      <x:c r="L145" s="2" t="n">
        <x:f>IF(AND(B145=1,'Trial Rows'!G145="B",'Trial Rows'!R145=1,'Trial Rows'!Q145=0,'Trial Rows'!S145=0),1,0)</x:f>
        <x:v>0</x:v>
      </x:c>
      <x:c r="M145" s="2" t="n">
        <x:f>IF(AND(B145=1,'Trial Rows'!G145="B"),1,0)</x:f>
        <x:v>0</x:v>
      </x:c>
      <x:c r="N145" s="2" t="n">
        <x:f>IF(AND(B145=1,'Trial Rows'!I145=1,COUNTIFS('Trial Rows'!$B$2:$B$201,'Trial Rows'!B145,'Trial Rows'!$C$2:$C$201,'Trial Rows'!C145,'Trial Rows'!$F$2:$F$201,'Trial Rows'!F145,'Trial Rows'!$G$2:$G$201,'Trial Rows'!G145,'Trial Rows'!$Y$2:$Y$201,'Trial Rows'!Y145)=4,COUNTIFS('Trial Rows'!$B$2:$B$201,'Trial Rows'!B145,'Trial Rows'!$C$2:$C$201,'Trial Rows'!C145,'Trial Rows'!$F$2:$F$201,'Trial Rows'!F145,'Trial Rows'!$G$2:$G$201,'Trial Rows'!G145,'Trial Rows'!$Y$2:$Y$201,'Trial Rows'!Y145,'Trial Rows'!$I$2:$I$201,1)=1,COUNTIFS('Trial Rows'!$B$2:$B$201,'Trial Rows'!B145,'Trial Rows'!$C$2:$C$201,'Trial Rows'!C145,'Trial Rows'!$F$2:$F$201,'Trial Rows'!F145,'Trial Rows'!$G$2:$G$201,'Trial Rows'!G145,'Trial Rows'!$Y$2:$Y$201,'Trial Rows'!Y145,'Trial Rows'!$I$2:$I$201,2)=1,COUNTIFS('Trial Rows'!$B$2:$B$201,'Trial Rows'!B145,'Trial Rows'!$C$2:$C$201,'Trial Rows'!C145,'Trial Rows'!$F$2:$F$201,'Trial Rows'!F145,'Trial Rows'!$G$2:$G$201,'Trial Rows'!G145,'Trial Rows'!$Y$2:$Y$201,'Trial Rows'!Y145,'Trial Rows'!$I$2:$I$201,3)=1,COUNTIFS('Trial Rows'!$B$2:$B$201,'Trial Rows'!B145,'Trial Rows'!$C$2:$C$201,'Trial Rows'!C145,'Trial Rows'!$F$2:$F$201,'Trial Rows'!F145,'Trial Rows'!$G$2:$G$201,'Trial Rows'!G145,'Trial Rows'!$Y$2:$Y$201,'Trial Rows'!Y145,'Trial Rows'!$I$2:$I$201,4)=1,COUNTIFS('Trial Rows'!$B$2:$B$201,'Trial Rows'!B145,'Trial Rows'!$C$2:$C$201,'Trial Rows'!C145,'Trial Rows'!$F$2:$F$201,'Trial Rows'!F145,'Trial Rows'!$G$2:$G$201,'Trial Rows'!G145,'Trial Rows'!$Y$2:$Y$201,'Trial Rows'!Y145,'Trial Rows'!$W$2:$W$201,"&lt;&gt;")=4,ISNUMBER('Trial Rows'!U145),COUNTIFS('Trial Rows'!$B$2:$B$201,'Trial Rows'!B145,'Trial Rows'!$C$2:$C$201,'Trial Rows'!C145,'Trial Rows'!$F$2:$F$201,'Trial Rows'!F145,'Trial Rows'!$G$2:$G$201,'Trial Rows'!G145,'Trial Rows'!$Y$2:$Y$201,'Trial Rows'!Y145,'Trial Rows'!$U$2:$U$201,'Trial Rows'!U145)=4,'Trial Rows'!U145&gt;=0),1,0)</x:f>
        <x:v>0</x:v>
      </x:c>
      <x:c r="O145" s="2" t="str">
        <x:f>IF(N145=1,'Trial Rows'!U145/1000,"")</x:f>
      </x:c>
      <x:c r="P145" s="2" t="str">
        <x:f>IF(AND(N145=1,'Trial Rows'!G145="A"),O145,"")</x:f>
      </x:c>
      <x:c r="Q145" s="2" t="str">
        <x:f>IF(AND(N145=1,'Trial Rows'!G145="B"),O145,"")</x:f>
      </x:c>
      <x:c r="R145" s="2" t="str">
        <x:f>IF(AND(N145=1,COUNTIFS('Trial Rows'!$B$2:$B$201,'Trial Rows'!B145,'Trial Rows'!$C$2:$C$201,'Trial Rows'!C145,'Trial Rows'!$F$2:$F$201,'Trial Rows'!F145,'Trial Rows'!$G$2:$G$201,'Trial Rows'!G145,'Trial Rows'!$Y$2:$Y$201,'Trial Rows'!Y145,'Trial Rows'!$N$2:$N$201,"&gt;=0",'Trial Rows'!$N$2:$N$201,"&lt;=4",'Trial Rows'!$N$2:$N$201,"&lt;&gt;")=4),SUMIFS('Trial Rows'!$N$2:$N$201,'Trial Rows'!$B$2:$B$201,'Trial Rows'!B145,'Trial Rows'!$C$2:$C$201,'Trial Rows'!C145,'Trial Rows'!$F$2:$F$201,'Trial Rows'!F145,'Trial Rows'!$G$2:$G$201,'Trial Rows'!G145,'Trial Rows'!$Y$2:$Y$201,'Trial Rows'!Y145,'Trial Rows'!$I$2:$I$201,1)+4-SUMIFS('Trial Rows'!$N$2:$N$201,'Trial Rows'!$B$2:$B$201,'Trial Rows'!B145,'Trial Rows'!$C$2:$C$201,'Trial Rows'!C145,'Trial Rows'!$F$2:$F$201,'Trial Rows'!F145,'Trial Rows'!$G$2:$G$201,'Trial Rows'!G145,'Trial Rows'!$Y$2:$Y$201,'Trial Rows'!Y145,'Trial Rows'!$I$2:$I$201,2)+4-SUMIFS('Trial Rows'!$N$2:$N$201,'Trial Rows'!$B$2:$B$201,'Trial Rows'!B145,'Trial Rows'!$C$2:$C$201,'Trial Rows'!C145,'Trial Rows'!$F$2:$F$201,'Trial Rows'!F145,'Trial Rows'!$G$2:$G$201,'Trial Rows'!G145,'Trial Rows'!$Y$2:$Y$201,'Trial Rows'!Y145,'Trial Rows'!$I$2:$I$201,3)+SUMIFS('Trial Rows'!$N$2:$N$201,'Trial Rows'!$B$2:$B$201,'Trial Rows'!B145,'Trial Rows'!$C$2:$C$201,'Trial Rows'!C145,'Trial Rows'!$F$2:$F$201,'Trial Rows'!F145,'Trial Rows'!$G$2:$G$201,'Trial Rows'!G145,'Trial Rows'!$Y$2:$Y$201,'Trial Rows'!Y145,'Trial Rows'!$I$2:$I$201,4),"")</x:f>
      </x:c>
      <x:c r="S145" s="2" t="n">
        <x:f>IF(AND(B145=1,COUNTIFS('Trial Rows'!$C$2:C145,'Trial Rows'!C145,'Trial Rows'!$F$2:F145,Summary!$B$5,'Trial Rows'!$Y$2:Y145,Summary!$B$4)=1),1,0)</x:f>
        <x:v>0</x:v>
      </x:c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 t="str">
        <x:f>IF('Trial Rows'!A146="","",'Trial Rows'!F146&amp;"|"&amp;'Trial Rows'!B146&amp;"|"&amp;'Trial Rows'!C146&amp;"|"&amp;'Trial Rows'!I146)</x:f>
      </x:c>
      <x:c r="B146" s="2" t="n">
        <x:f>IF(AND('Trial Rows'!A146&lt;&gt;"",'Trial Rows'!Y146=Summary!$B$4,'Trial Rows'!F146=Summary!$B$5),1,0)</x:f>
        <x:v>0</x:v>
      </x:c>
      <x:c r="C146" s="2" t="n">
        <x:f>IF(B146=1,COUNTIFS('Trial Rows'!$B$2:$B$201,'Trial Rows'!B146,'Trial Rows'!$C$2:$C$201,'Trial Rows'!C146,'Trial Rows'!$F$2:$F$201,'Trial Rows'!F146,'Trial Rows'!$I$2:$I$201,'Trial Rows'!I146,'Trial Rows'!$Y$2:$Y$201,'Trial Rows'!Y146,'Trial Rows'!$G$2:$G$201,"A"),0)</x:f>
        <x:v>0</x:v>
      </x:c>
      <x:c r="D146" s="2" t="n">
        <x:f>IF(B146=1,COUNTIFS('Trial Rows'!$B$2:$B$201,'Trial Rows'!B146,'Trial Rows'!$C$2:$C$201,'Trial Rows'!C146,'Trial Rows'!$F$2:$F$201,'Trial Rows'!F146,'Trial Rows'!$I$2:$I$201,'Trial Rows'!I146,'Trial Rows'!$Y$2:$Y$201,'Trial Rows'!Y146,'Trial Rows'!$G$2:$G$201,"B"),0)</x:f>
        <x:v>0</x:v>
      </x:c>
      <x:c r="E146" s="2" t="str">
        <x:f>IF(AND(C146=1,COUNTIFS('Trial Rows'!$B$2:$B$201,'Trial Rows'!B146,'Trial Rows'!$C$2:$C$201,'Trial Rows'!C146,'Trial Rows'!$F$2:$F$201,'Trial Rows'!F146,'Trial Rows'!$I$2:$I$201,'Trial Rows'!I146,'Trial Rows'!$Y$2:$Y$201,'Trial Rows'!Y146,'Trial Rows'!$G$2:$G$201,"A",'Trial Rows'!$K$2:$K$201,"&gt;=0",'Trial Rows'!$K$2:$K$201,"&lt;=4",'Trial Rows'!$K$2:$K$201,"&lt;&gt;")=1),SUMIFS('Trial Rows'!$K$2:$K$201,'Trial Rows'!$B$2:$B$201,'Trial Rows'!B146,'Trial Rows'!$C$2:$C$201,'Trial Rows'!C146,'Trial Rows'!$F$2:$F$201,'Trial Rows'!F146,'Trial Rows'!$I$2:$I$201,'Trial Rows'!I146,'Trial Rows'!$Y$2:$Y$201,'Trial Rows'!Y146,'Trial Rows'!$G$2:$G$201,"A"),"")</x:f>
      </x:c>
      <x:c r="F146" s="2" t="n">
        <x:f>IF(AND(B146=1,'Trial Rows'!G146="B",C146=1,D146=1,ISNUMBER(E146),ISNUMBER('Trial Rows'!M146),'Trial Rows'!M146&gt;=0,'Trial Rows'!M146&lt;=4,'Trial Rows'!Q146=0,'Trial Rows'!S146=0),1,0)</x:f>
        <x:v>0</x:v>
      </x:c>
      <x:c r="G146" s="2" t="n">
        <x:f>IF(F146=1,IF(E146='Trial Rows'!M146,1,0),0)</x:f>
        <x:v>0</x:v>
      </x:c>
      <x:c r="H146" s="2" t="n">
        <x:f>IF(AND(B146=1,'Trial Rows'!G146="B",C146=1,D146=1,ISNUMBER(E146),'Trial Rows'!R146=1,'Trial Rows'!Q146=0,'Trial Rows'!S146=0,ISNUMBER('Trial Rows'!L146),'Trial Rows'!L146&gt;=0,'Trial Rows'!L146&lt;=4),1,0)</x:f>
        <x:v>0</x:v>
      </x:c>
      <x:c r="I146" s="2" t="n">
        <x:f>IF(H146=1,IF(E146='Trial Rows'!L146,1,0),0)</x:f>
        <x:v>0</x:v>
      </x:c>
      <x:c r="J146" s="2" t="n">
        <x:f>IF(AND(B146=1,'Trial Rows'!G146="B",'Trial Rows'!P146&gt;0),1,0)</x:f>
        <x:v>0</x:v>
      </x:c>
      <x:c r="K146" s="2" t="n">
        <x:f>IF(AND(B146=1,'Trial Rows'!G146="B",'Trial Rows'!Q146=1),1,0)</x:f>
        <x:v>0</x:v>
      </x:c>
      <x:c r="L146" s="2" t="n">
        <x:f>IF(AND(B146=1,'Trial Rows'!G146="B",'Trial Rows'!R146=1,'Trial Rows'!Q146=0,'Trial Rows'!S146=0),1,0)</x:f>
        <x:v>0</x:v>
      </x:c>
      <x:c r="M146" s="2" t="n">
        <x:f>IF(AND(B146=1,'Trial Rows'!G146="B"),1,0)</x:f>
        <x:v>0</x:v>
      </x:c>
      <x:c r="N146" s="2" t="n">
        <x:f>IF(AND(B146=1,'Trial Rows'!I146=1,COUNTIFS('Trial Rows'!$B$2:$B$201,'Trial Rows'!B146,'Trial Rows'!$C$2:$C$201,'Trial Rows'!C146,'Trial Rows'!$F$2:$F$201,'Trial Rows'!F146,'Trial Rows'!$G$2:$G$201,'Trial Rows'!G146,'Trial Rows'!$Y$2:$Y$201,'Trial Rows'!Y146)=4,COUNTIFS('Trial Rows'!$B$2:$B$201,'Trial Rows'!B146,'Trial Rows'!$C$2:$C$201,'Trial Rows'!C146,'Trial Rows'!$F$2:$F$201,'Trial Rows'!F146,'Trial Rows'!$G$2:$G$201,'Trial Rows'!G146,'Trial Rows'!$Y$2:$Y$201,'Trial Rows'!Y146,'Trial Rows'!$I$2:$I$201,1)=1,COUNTIFS('Trial Rows'!$B$2:$B$201,'Trial Rows'!B146,'Trial Rows'!$C$2:$C$201,'Trial Rows'!C146,'Trial Rows'!$F$2:$F$201,'Trial Rows'!F146,'Trial Rows'!$G$2:$G$201,'Trial Rows'!G146,'Trial Rows'!$Y$2:$Y$201,'Trial Rows'!Y146,'Trial Rows'!$I$2:$I$201,2)=1,COUNTIFS('Trial Rows'!$B$2:$B$201,'Trial Rows'!B146,'Trial Rows'!$C$2:$C$201,'Trial Rows'!C146,'Trial Rows'!$F$2:$F$201,'Trial Rows'!F146,'Trial Rows'!$G$2:$G$201,'Trial Rows'!G146,'Trial Rows'!$Y$2:$Y$201,'Trial Rows'!Y146,'Trial Rows'!$I$2:$I$201,3)=1,COUNTIFS('Trial Rows'!$B$2:$B$201,'Trial Rows'!B146,'Trial Rows'!$C$2:$C$201,'Trial Rows'!C146,'Trial Rows'!$F$2:$F$201,'Trial Rows'!F146,'Trial Rows'!$G$2:$G$201,'Trial Rows'!G146,'Trial Rows'!$Y$2:$Y$201,'Trial Rows'!Y146,'Trial Rows'!$I$2:$I$201,4)=1,COUNTIFS('Trial Rows'!$B$2:$B$201,'Trial Rows'!B146,'Trial Rows'!$C$2:$C$201,'Trial Rows'!C146,'Trial Rows'!$F$2:$F$201,'Trial Rows'!F146,'Trial Rows'!$G$2:$G$201,'Trial Rows'!G146,'Trial Rows'!$Y$2:$Y$201,'Trial Rows'!Y146,'Trial Rows'!$W$2:$W$201,"&lt;&gt;")=4,ISNUMBER('Trial Rows'!U146),COUNTIFS('Trial Rows'!$B$2:$B$201,'Trial Rows'!B146,'Trial Rows'!$C$2:$C$201,'Trial Rows'!C146,'Trial Rows'!$F$2:$F$201,'Trial Rows'!F146,'Trial Rows'!$G$2:$G$201,'Trial Rows'!G146,'Trial Rows'!$Y$2:$Y$201,'Trial Rows'!Y146,'Trial Rows'!$U$2:$U$201,'Trial Rows'!U146)=4,'Trial Rows'!U146&gt;=0),1,0)</x:f>
        <x:v>0</x:v>
      </x:c>
      <x:c r="O146" s="2" t="str">
        <x:f>IF(N146=1,'Trial Rows'!U146/1000,"")</x:f>
      </x:c>
      <x:c r="P146" s="2" t="str">
        <x:f>IF(AND(N146=1,'Trial Rows'!G146="A"),O146,"")</x:f>
      </x:c>
      <x:c r="Q146" s="2" t="str">
        <x:f>IF(AND(N146=1,'Trial Rows'!G146="B"),O146,"")</x:f>
      </x:c>
      <x:c r="R146" s="2" t="str">
        <x:f>IF(AND(N146=1,COUNTIFS('Trial Rows'!$B$2:$B$201,'Trial Rows'!B146,'Trial Rows'!$C$2:$C$201,'Trial Rows'!C146,'Trial Rows'!$F$2:$F$201,'Trial Rows'!F146,'Trial Rows'!$G$2:$G$201,'Trial Rows'!G146,'Trial Rows'!$Y$2:$Y$201,'Trial Rows'!Y146,'Trial Rows'!$N$2:$N$201,"&gt;=0",'Trial Rows'!$N$2:$N$201,"&lt;=4",'Trial Rows'!$N$2:$N$201,"&lt;&gt;")=4),SUMIFS('Trial Rows'!$N$2:$N$201,'Trial Rows'!$B$2:$B$201,'Trial Rows'!B146,'Trial Rows'!$C$2:$C$201,'Trial Rows'!C146,'Trial Rows'!$F$2:$F$201,'Trial Rows'!F146,'Trial Rows'!$G$2:$G$201,'Trial Rows'!G146,'Trial Rows'!$Y$2:$Y$201,'Trial Rows'!Y146,'Trial Rows'!$I$2:$I$201,1)+4-SUMIFS('Trial Rows'!$N$2:$N$201,'Trial Rows'!$B$2:$B$201,'Trial Rows'!B146,'Trial Rows'!$C$2:$C$201,'Trial Rows'!C146,'Trial Rows'!$F$2:$F$201,'Trial Rows'!F146,'Trial Rows'!$G$2:$G$201,'Trial Rows'!G146,'Trial Rows'!$Y$2:$Y$201,'Trial Rows'!Y146,'Trial Rows'!$I$2:$I$201,2)+4-SUMIFS('Trial Rows'!$N$2:$N$201,'Trial Rows'!$B$2:$B$201,'Trial Rows'!B146,'Trial Rows'!$C$2:$C$201,'Trial Rows'!C146,'Trial Rows'!$F$2:$F$201,'Trial Rows'!F146,'Trial Rows'!$G$2:$G$201,'Trial Rows'!G146,'Trial Rows'!$Y$2:$Y$201,'Trial Rows'!Y146,'Trial Rows'!$I$2:$I$201,3)+SUMIFS('Trial Rows'!$N$2:$N$201,'Trial Rows'!$B$2:$B$201,'Trial Rows'!B146,'Trial Rows'!$C$2:$C$201,'Trial Rows'!C146,'Trial Rows'!$F$2:$F$201,'Trial Rows'!F146,'Trial Rows'!$G$2:$G$201,'Trial Rows'!G146,'Trial Rows'!$Y$2:$Y$201,'Trial Rows'!Y146,'Trial Rows'!$I$2:$I$201,4),"")</x:f>
      </x:c>
      <x:c r="S146" s="2" t="n">
        <x:f>IF(AND(B146=1,COUNTIFS('Trial Rows'!$C$2:C146,'Trial Rows'!C146,'Trial Rows'!$F$2:F146,Summary!$B$5,'Trial Rows'!$Y$2:Y146,Summary!$B$4)=1),1,0)</x:f>
        <x:v>0</x:v>
      </x:c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 t="str">
        <x:f>IF('Trial Rows'!A147="","",'Trial Rows'!F147&amp;"|"&amp;'Trial Rows'!B147&amp;"|"&amp;'Trial Rows'!C147&amp;"|"&amp;'Trial Rows'!I147)</x:f>
      </x:c>
      <x:c r="B147" s="2" t="n">
        <x:f>IF(AND('Trial Rows'!A147&lt;&gt;"",'Trial Rows'!Y147=Summary!$B$4,'Trial Rows'!F147=Summary!$B$5),1,0)</x:f>
        <x:v>0</x:v>
      </x:c>
      <x:c r="C147" s="2" t="n">
        <x:f>IF(B147=1,COUNTIFS('Trial Rows'!$B$2:$B$201,'Trial Rows'!B147,'Trial Rows'!$C$2:$C$201,'Trial Rows'!C147,'Trial Rows'!$F$2:$F$201,'Trial Rows'!F147,'Trial Rows'!$I$2:$I$201,'Trial Rows'!I147,'Trial Rows'!$Y$2:$Y$201,'Trial Rows'!Y147,'Trial Rows'!$G$2:$G$201,"A"),0)</x:f>
        <x:v>0</x:v>
      </x:c>
      <x:c r="D147" s="2" t="n">
        <x:f>IF(B147=1,COUNTIFS('Trial Rows'!$B$2:$B$201,'Trial Rows'!B147,'Trial Rows'!$C$2:$C$201,'Trial Rows'!C147,'Trial Rows'!$F$2:$F$201,'Trial Rows'!F147,'Trial Rows'!$I$2:$I$201,'Trial Rows'!I147,'Trial Rows'!$Y$2:$Y$201,'Trial Rows'!Y147,'Trial Rows'!$G$2:$G$201,"B"),0)</x:f>
        <x:v>0</x:v>
      </x:c>
      <x:c r="E147" s="2" t="str">
        <x:f>IF(AND(C147=1,COUNTIFS('Trial Rows'!$B$2:$B$201,'Trial Rows'!B147,'Trial Rows'!$C$2:$C$201,'Trial Rows'!C147,'Trial Rows'!$F$2:$F$201,'Trial Rows'!F147,'Trial Rows'!$I$2:$I$201,'Trial Rows'!I147,'Trial Rows'!$Y$2:$Y$201,'Trial Rows'!Y147,'Trial Rows'!$G$2:$G$201,"A",'Trial Rows'!$K$2:$K$201,"&gt;=0",'Trial Rows'!$K$2:$K$201,"&lt;=4",'Trial Rows'!$K$2:$K$201,"&lt;&gt;")=1),SUMIFS('Trial Rows'!$K$2:$K$201,'Trial Rows'!$B$2:$B$201,'Trial Rows'!B147,'Trial Rows'!$C$2:$C$201,'Trial Rows'!C147,'Trial Rows'!$F$2:$F$201,'Trial Rows'!F147,'Trial Rows'!$I$2:$I$201,'Trial Rows'!I147,'Trial Rows'!$Y$2:$Y$201,'Trial Rows'!Y147,'Trial Rows'!$G$2:$G$201,"A"),"")</x:f>
      </x:c>
      <x:c r="F147" s="2" t="n">
        <x:f>IF(AND(B147=1,'Trial Rows'!G147="B",C147=1,D147=1,ISNUMBER(E147),ISNUMBER('Trial Rows'!M147),'Trial Rows'!M147&gt;=0,'Trial Rows'!M147&lt;=4,'Trial Rows'!Q147=0,'Trial Rows'!S147=0),1,0)</x:f>
        <x:v>0</x:v>
      </x:c>
      <x:c r="G147" s="2" t="n">
        <x:f>IF(F147=1,IF(E147='Trial Rows'!M147,1,0),0)</x:f>
        <x:v>0</x:v>
      </x:c>
      <x:c r="H147" s="2" t="n">
        <x:f>IF(AND(B147=1,'Trial Rows'!G147="B",C147=1,D147=1,ISNUMBER(E147),'Trial Rows'!R147=1,'Trial Rows'!Q147=0,'Trial Rows'!S147=0,ISNUMBER('Trial Rows'!L147),'Trial Rows'!L147&gt;=0,'Trial Rows'!L147&lt;=4),1,0)</x:f>
        <x:v>0</x:v>
      </x:c>
      <x:c r="I147" s="2" t="n">
        <x:f>IF(H147=1,IF(E147='Trial Rows'!L147,1,0),0)</x:f>
        <x:v>0</x:v>
      </x:c>
      <x:c r="J147" s="2" t="n">
        <x:f>IF(AND(B147=1,'Trial Rows'!G147="B",'Trial Rows'!P147&gt;0),1,0)</x:f>
        <x:v>0</x:v>
      </x:c>
      <x:c r="K147" s="2" t="n">
        <x:f>IF(AND(B147=1,'Trial Rows'!G147="B",'Trial Rows'!Q147=1),1,0)</x:f>
        <x:v>0</x:v>
      </x:c>
      <x:c r="L147" s="2" t="n">
        <x:f>IF(AND(B147=1,'Trial Rows'!G147="B",'Trial Rows'!R147=1,'Trial Rows'!Q147=0,'Trial Rows'!S147=0),1,0)</x:f>
        <x:v>0</x:v>
      </x:c>
      <x:c r="M147" s="2" t="n">
        <x:f>IF(AND(B147=1,'Trial Rows'!G147="B"),1,0)</x:f>
        <x:v>0</x:v>
      </x:c>
      <x:c r="N147" s="2" t="n">
        <x:f>IF(AND(B147=1,'Trial Rows'!I147=1,COUNTIFS('Trial Rows'!$B$2:$B$201,'Trial Rows'!B147,'Trial Rows'!$C$2:$C$201,'Trial Rows'!C147,'Trial Rows'!$F$2:$F$201,'Trial Rows'!F147,'Trial Rows'!$G$2:$G$201,'Trial Rows'!G147,'Trial Rows'!$Y$2:$Y$201,'Trial Rows'!Y147)=4,COUNTIFS('Trial Rows'!$B$2:$B$201,'Trial Rows'!B147,'Trial Rows'!$C$2:$C$201,'Trial Rows'!C147,'Trial Rows'!$F$2:$F$201,'Trial Rows'!F147,'Trial Rows'!$G$2:$G$201,'Trial Rows'!G147,'Trial Rows'!$Y$2:$Y$201,'Trial Rows'!Y147,'Trial Rows'!$I$2:$I$201,1)=1,COUNTIFS('Trial Rows'!$B$2:$B$201,'Trial Rows'!B147,'Trial Rows'!$C$2:$C$201,'Trial Rows'!C147,'Trial Rows'!$F$2:$F$201,'Trial Rows'!F147,'Trial Rows'!$G$2:$G$201,'Trial Rows'!G147,'Trial Rows'!$Y$2:$Y$201,'Trial Rows'!Y147,'Trial Rows'!$I$2:$I$201,2)=1,COUNTIFS('Trial Rows'!$B$2:$B$201,'Trial Rows'!B147,'Trial Rows'!$C$2:$C$201,'Trial Rows'!C147,'Trial Rows'!$F$2:$F$201,'Trial Rows'!F147,'Trial Rows'!$G$2:$G$201,'Trial Rows'!G147,'Trial Rows'!$Y$2:$Y$201,'Trial Rows'!Y147,'Trial Rows'!$I$2:$I$201,3)=1,COUNTIFS('Trial Rows'!$B$2:$B$201,'Trial Rows'!B147,'Trial Rows'!$C$2:$C$201,'Trial Rows'!C147,'Trial Rows'!$F$2:$F$201,'Trial Rows'!F147,'Trial Rows'!$G$2:$G$201,'Trial Rows'!G147,'Trial Rows'!$Y$2:$Y$201,'Trial Rows'!Y147,'Trial Rows'!$I$2:$I$201,4)=1,COUNTIFS('Trial Rows'!$B$2:$B$201,'Trial Rows'!B147,'Trial Rows'!$C$2:$C$201,'Trial Rows'!C147,'Trial Rows'!$F$2:$F$201,'Trial Rows'!F147,'Trial Rows'!$G$2:$G$201,'Trial Rows'!G147,'Trial Rows'!$Y$2:$Y$201,'Trial Rows'!Y147,'Trial Rows'!$W$2:$W$201,"&lt;&gt;")=4,ISNUMBER('Trial Rows'!U147),COUNTIFS('Trial Rows'!$B$2:$B$201,'Trial Rows'!B147,'Trial Rows'!$C$2:$C$201,'Trial Rows'!C147,'Trial Rows'!$F$2:$F$201,'Trial Rows'!F147,'Trial Rows'!$G$2:$G$201,'Trial Rows'!G147,'Trial Rows'!$Y$2:$Y$201,'Trial Rows'!Y147,'Trial Rows'!$U$2:$U$201,'Trial Rows'!U147)=4,'Trial Rows'!U147&gt;=0),1,0)</x:f>
        <x:v>0</x:v>
      </x:c>
      <x:c r="O147" s="2" t="str">
        <x:f>IF(N147=1,'Trial Rows'!U147/1000,"")</x:f>
      </x:c>
      <x:c r="P147" s="2" t="str">
        <x:f>IF(AND(N147=1,'Trial Rows'!G147="A"),O147,"")</x:f>
      </x:c>
      <x:c r="Q147" s="2" t="str">
        <x:f>IF(AND(N147=1,'Trial Rows'!G147="B"),O147,"")</x:f>
      </x:c>
      <x:c r="R147" s="2" t="str">
        <x:f>IF(AND(N147=1,COUNTIFS('Trial Rows'!$B$2:$B$201,'Trial Rows'!B147,'Trial Rows'!$C$2:$C$201,'Trial Rows'!C147,'Trial Rows'!$F$2:$F$201,'Trial Rows'!F147,'Trial Rows'!$G$2:$G$201,'Trial Rows'!G147,'Trial Rows'!$Y$2:$Y$201,'Trial Rows'!Y147,'Trial Rows'!$N$2:$N$201,"&gt;=0",'Trial Rows'!$N$2:$N$201,"&lt;=4",'Trial Rows'!$N$2:$N$201,"&lt;&gt;")=4),SUMIFS('Trial Rows'!$N$2:$N$201,'Trial Rows'!$B$2:$B$201,'Trial Rows'!B147,'Trial Rows'!$C$2:$C$201,'Trial Rows'!C147,'Trial Rows'!$F$2:$F$201,'Trial Rows'!F147,'Trial Rows'!$G$2:$G$201,'Trial Rows'!G147,'Trial Rows'!$Y$2:$Y$201,'Trial Rows'!Y147,'Trial Rows'!$I$2:$I$201,1)+4-SUMIFS('Trial Rows'!$N$2:$N$201,'Trial Rows'!$B$2:$B$201,'Trial Rows'!B147,'Trial Rows'!$C$2:$C$201,'Trial Rows'!C147,'Trial Rows'!$F$2:$F$201,'Trial Rows'!F147,'Trial Rows'!$G$2:$G$201,'Trial Rows'!G147,'Trial Rows'!$Y$2:$Y$201,'Trial Rows'!Y147,'Trial Rows'!$I$2:$I$201,2)+4-SUMIFS('Trial Rows'!$N$2:$N$201,'Trial Rows'!$B$2:$B$201,'Trial Rows'!B147,'Trial Rows'!$C$2:$C$201,'Trial Rows'!C147,'Trial Rows'!$F$2:$F$201,'Trial Rows'!F147,'Trial Rows'!$G$2:$G$201,'Trial Rows'!G147,'Trial Rows'!$Y$2:$Y$201,'Trial Rows'!Y147,'Trial Rows'!$I$2:$I$201,3)+SUMIFS('Trial Rows'!$N$2:$N$201,'Trial Rows'!$B$2:$B$201,'Trial Rows'!B147,'Trial Rows'!$C$2:$C$201,'Trial Rows'!C147,'Trial Rows'!$F$2:$F$201,'Trial Rows'!F147,'Trial Rows'!$G$2:$G$201,'Trial Rows'!G147,'Trial Rows'!$Y$2:$Y$201,'Trial Rows'!Y147,'Trial Rows'!$I$2:$I$201,4),"")</x:f>
      </x:c>
      <x:c r="S147" s="2" t="n">
        <x:f>IF(AND(B147=1,COUNTIFS('Trial Rows'!$C$2:C147,'Trial Rows'!C147,'Trial Rows'!$F$2:F147,Summary!$B$5,'Trial Rows'!$Y$2:Y147,Summary!$B$4)=1),1,0)</x:f>
        <x:v>0</x:v>
      </x:c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 t="str">
        <x:f>IF('Trial Rows'!A148="","",'Trial Rows'!F148&amp;"|"&amp;'Trial Rows'!B148&amp;"|"&amp;'Trial Rows'!C148&amp;"|"&amp;'Trial Rows'!I148)</x:f>
      </x:c>
      <x:c r="B148" s="2" t="n">
        <x:f>IF(AND('Trial Rows'!A148&lt;&gt;"",'Trial Rows'!Y148=Summary!$B$4,'Trial Rows'!F148=Summary!$B$5),1,0)</x:f>
        <x:v>0</x:v>
      </x:c>
      <x:c r="C148" s="2" t="n">
        <x:f>IF(B148=1,COUNTIFS('Trial Rows'!$B$2:$B$201,'Trial Rows'!B148,'Trial Rows'!$C$2:$C$201,'Trial Rows'!C148,'Trial Rows'!$F$2:$F$201,'Trial Rows'!F148,'Trial Rows'!$I$2:$I$201,'Trial Rows'!I148,'Trial Rows'!$Y$2:$Y$201,'Trial Rows'!Y148,'Trial Rows'!$G$2:$G$201,"A"),0)</x:f>
        <x:v>0</x:v>
      </x:c>
      <x:c r="D148" s="2" t="n">
        <x:f>IF(B148=1,COUNTIFS('Trial Rows'!$B$2:$B$201,'Trial Rows'!B148,'Trial Rows'!$C$2:$C$201,'Trial Rows'!C148,'Trial Rows'!$F$2:$F$201,'Trial Rows'!F148,'Trial Rows'!$I$2:$I$201,'Trial Rows'!I148,'Trial Rows'!$Y$2:$Y$201,'Trial Rows'!Y148,'Trial Rows'!$G$2:$G$201,"B"),0)</x:f>
        <x:v>0</x:v>
      </x:c>
      <x:c r="E148" s="2" t="str">
        <x:f>IF(AND(C148=1,COUNTIFS('Trial Rows'!$B$2:$B$201,'Trial Rows'!B148,'Trial Rows'!$C$2:$C$201,'Trial Rows'!C148,'Trial Rows'!$F$2:$F$201,'Trial Rows'!F148,'Trial Rows'!$I$2:$I$201,'Trial Rows'!I148,'Trial Rows'!$Y$2:$Y$201,'Trial Rows'!Y148,'Trial Rows'!$G$2:$G$201,"A",'Trial Rows'!$K$2:$K$201,"&gt;=0",'Trial Rows'!$K$2:$K$201,"&lt;=4",'Trial Rows'!$K$2:$K$201,"&lt;&gt;")=1),SUMIFS('Trial Rows'!$K$2:$K$201,'Trial Rows'!$B$2:$B$201,'Trial Rows'!B148,'Trial Rows'!$C$2:$C$201,'Trial Rows'!C148,'Trial Rows'!$F$2:$F$201,'Trial Rows'!F148,'Trial Rows'!$I$2:$I$201,'Trial Rows'!I148,'Trial Rows'!$Y$2:$Y$201,'Trial Rows'!Y148,'Trial Rows'!$G$2:$G$201,"A"),"")</x:f>
      </x:c>
      <x:c r="F148" s="2" t="n">
        <x:f>IF(AND(B148=1,'Trial Rows'!G148="B",C148=1,D148=1,ISNUMBER(E148),ISNUMBER('Trial Rows'!M148),'Trial Rows'!M148&gt;=0,'Trial Rows'!M148&lt;=4,'Trial Rows'!Q148=0,'Trial Rows'!S148=0),1,0)</x:f>
        <x:v>0</x:v>
      </x:c>
      <x:c r="G148" s="2" t="n">
        <x:f>IF(F148=1,IF(E148='Trial Rows'!M148,1,0),0)</x:f>
        <x:v>0</x:v>
      </x:c>
      <x:c r="H148" s="2" t="n">
        <x:f>IF(AND(B148=1,'Trial Rows'!G148="B",C148=1,D148=1,ISNUMBER(E148),'Trial Rows'!R148=1,'Trial Rows'!Q148=0,'Trial Rows'!S148=0,ISNUMBER('Trial Rows'!L148),'Trial Rows'!L148&gt;=0,'Trial Rows'!L148&lt;=4),1,0)</x:f>
        <x:v>0</x:v>
      </x:c>
      <x:c r="I148" s="2" t="n">
        <x:f>IF(H148=1,IF(E148='Trial Rows'!L148,1,0),0)</x:f>
        <x:v>0</x:v>
      </x:c>
      <x:c r="J148" s="2" t="n">
        <x:f>IF(AND(B148=1,'Trial Rows'!G148="B",'Trial Rows'!P148&gt;0),1,0)</x:f>
        <x:v>0</x:v>
      </x:c>
      <x:c r="K148" s="2" t="n">
        <x:f>IF(AND(B148=1,'Trial Rows'!G148="B",'Trial Rows'!Q148=1),1,0)</x:f>
        <x:v>0</x:v>
      </x:c>
      <x:c r="L148" s="2" t="n">
        <x:f>IF(AND(B148=1,'Trial Rows'!G148="B",'Trial Rows'!R148=1,'Trial Rows'!Q148=0,'Trial Rows'!S148=0),1,0)</x:f>
        <x:v>0</x:v>
      </x:c>
      <x:c r="M148" s="2" t="n">
        <x:f>IF(AND(B148=1,'Trial Rows'!G148="B"),1,0)</x:f>
        <x:v>0</x:v>
      </x:c>
      <x:c r="N148" s="2" t="n">
        <x:f>IF(AND(B148=1,'Trial Rows'!I148=1,COUNTIFS('Trial Rows'!$B$2:$B$201,'Trial Rows'!B148,'Trial Rows'!$C$2:$C$201,'Trial Rows'!C148,'Trial Rows'!$F$2:$F$201,'Trial Rows'!F148,'Trial Rows'!$G$2:$G$201,'Trial Rows'!G148,'Trial Rows'!$Y$2:$Y$201,'Trial Rows'!Y148)=4,COUNTIFS('Trial Rows'!$B$2:$B$201,'Trial Rows'!B148,'Trial Rows'!$C$2:$C$201,'Trial Rows'!C148,'Trial Rows'!$F$2:$F$201,'Trial Rows'!F148,'Trial Rows'!$G$2:$G$201,'Trial Rows'!G148,'Trial Rows'!$Y$2:$Y$201,'Trial Rows'!Y148,'Trial Rows'!$I$2:$I$201,1)=1,COUNTIFS('Trial Rows'!$B$2:$B$201,'Trial Rows'!B148,'Trial Rows'!$C$2:$C$201,'Trial Rows'!C148,'Trial Rows'!$F$2:$F$201,'Trial Rows'!F148,'Trial Rows'!$G$2:$G$201,'Trial Rows'!G148,'Trial Rows'!$Y$2:$Y$201,'Trial Rows'!Y148,'Trial Rows'!$I$2:$I$201,2)=1,COUNTIFS('Trial Rows'!$B$2:$B$201,'Trial Rows'!B148,'Trial Rows'!$C$2:$C$201,'Trial Rows'!C148,'Trial Rows'!$F$2:$F$201,'Trial Rows'!F148,'Trial Rows'!$G$2:$G$201,'Trial Rows'!G148,'Trial Rows'!$Y$2:$Y$201,'Trial Rows'!Y148,'Trial Rows'!$I$2:$I$201,3)=1,COUNTIFS('Trial Rows'!$B$2:$B$201,'Trial Rows'!B148,'Trial Rows'!$C$2:$C$201,'Trial Rows'!C148,'Trial Rows'!$F$2:$F$201,'Trial Rows'!F148,'Trial Rows'!$G$2:$G$201,'Trial Rows'!G148,'Trial Rows'!$Y$2:$Y$201,'Trial Rows'!Y148,'Trial Rows'!$I$2:$I$201,4)=1,COUNTIFS('Trial Rows'!$B$2:$B$201,'Trial Rows'!B148,'Trial Rows'!$C$2:$C$201,'Trial Rows'!C148,'Trial Rows'!$F$2:$F$201,'Trial Rows'!F148,'Trial Rows'!$G$2:$G$201,'Trial Rows'!G148,'Trial Rows'!$Y$2:$Y$201,'Trial Rows'!Y148,'Trial Rows'!$W$2:$W$201,"&lt;&gt;")=4,ISNUMBER('Trial Rows'!U148),COUNTIFS('Trial Rows'!$B$2:$B$201,'Trial Rows'!B148,'Trial Rows'!$C$2:$C$201,'Trial Rows'!C148,'Trial Rows'!$F$2:$F$201,'Trial Rows'!F148,'Trial Rows'!$G$2:$G$201,'Trial Rows'!G148,'Trial Rows'!$Y$2:$Y$201,'Trial Rows'!Y148,'Trial Rows'!$U$2:$U$201,'Trial Rows'!U148)=4,'Trial Rows'!U148&gt;=0),1,0)</x:f>
        <x:v>0</x:v>
      </x:c>
      <x:c r="O148" s="2" t="str">
        <x:f>IF(N148=1,'Trial Rows'!U148/1000,"")</x:f>
      </x:c>
      <x:c r="P148" s="2" t="str">
        <x:f>IF(AND(N148=1,'Trial Rows'!G148="A"),O148,"")</x:f>
      </x:c>
      <x:c r="Q148" s="2" t="str">
        <x:f>IF(AND(N148=1,'Trial Rows'!G148="B"),O148,"")</x:f>
      </x:c>
      <x:c r="R148" s="2" t="str">
        <x:f>IF(AND(N148=1,COUNTIFS('Trial Rows'!$B$2:$B$201,'Trial Rows'!B148,'Trial Rows'!$C$2:$C$201,'Trial Rows'!C148,'Trial Rows'!$F$2:$F$201,'Trial Rows'!F148,'Trial Rows'!$G$2:$G$201,'Trial Rows'!G148,'Trial Rows'!$Y$2:$Y$201,'Trial Rows'!Y148,'Trial Rows'!$N$2:$N$201,"&gt;=0",'Trial Rows'!$N$2:$N$201,"&lt;=4",'Trial Rows'!$N$2:$N$201,"&lt;&gt;")=4),SUMIFS('Trial Rows'!$N$2:$N$201,'Trial Rows'!$B$2:$B$201,'Trial Rows'!B148,'Trial Rows'!$C$2:$C$201,'Trial Rows'!C148,'Trial Rows'!$F$2:$F$201,'Trial Rows'!F148,'Trial Rows'!$G$2:$G$201,'Trial Rows'!G148,'Trial Rows'!$Y$2:$Y$201,'Trial Rows'!Y148,'Trial Rows'!$I$2:$I$201,1)+4-SUMIFS('Trial Rows'!$N$2:$N$201,'Trial Rows'!$B$2:$B$201,'Trial Rows'!B148,'Trial Rows'!$C$2:$C$201,'Trial Rows'!C148,'Trial Rows'!$F$2:$F$201,'Trial Rows'!F148,'Trial Rows'!$G$2:$G$201,'Trial Rows'!G148,'Trial Rows'!$Y$2:$Y$201,'Trial Rows'!Y148,'Trial Rows'!$I$2:$I$201,2)+4-SUMIFS('Trial Rows'!$N$2:$N$201,'Trial Rows'!$B$2:$B$201,'Trial Rows'!B148,'Trial Rows'!$C$2:$C$201,'Trial Rows'!C148,'Trial Rows'!$F$2:$F$201,'Trial Rows'!F148,'Trial Rows'!$G$2:$G$201,'Trial Rows'!G148,'Trial Rows'!$Y$2:$Y$201,'Trial Rows'!Y148,'Trial Rows'!$I$2:$I$201,3)+SUMIFS('Trial Rows'!$N$2:$N$201,'Trial Rows'!$B$2:$B$201,'Trial Rows'!B148,'Trial Rows'!$C$2:$C$201,'Trial Rows'!C148,'Trial Rows'!$F$2:$F$201,'Trial Rows'!F148,'Trial Rows'!$G$2:$G$201,'Trial Rows'!G148,'Trial Rows'!$Y$2:$Y$201,'Trial Rows'!Y148,'Trial Rows'!$I$2:$I$201,4),"")</x:f>
      </x:c>
      <x:c r="S148" s="2" t="n">
        <x:f>IF(AND(B148=1,COUNTIFS('Trial Rows'!$C$2:C148,'Trial Rows'!C148,'Trial Rows'!$F$2:F148,Summary!$B$5,'Trial Rows'!$Y$2:Y148,Summary!$B$4)=1),1,0)</x:f>
        <x:v>0</x:v>
      </x:c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 t="str">
        <x:f>IF('Trial Rows'!A149="","",'Trial Rows'!F149&amp;"|"&amp;'Trial Rows'!B149&amp;"|"&amp;'Trial Rows'!C149&amp;"|"&amp;'Trial Rows'!I149)</x:f>
      </x:c>
      <x:c r="B149" s="2" t="n">
        <x:f>IF(AND('Trial Rows'!A149&lt;&gt;"",'Trial Rows'!Y149=Summary!$B$4,'Trial Rows'!F149=Summary!$B$5),1,0)</x:f>
        <x:v>0</x:v>
      </x:c>
      <x:c r="C149" s="2" t="n">
        <x:f>IF(B149=1,COUNTIFS('Trial Rows'!$B$2:$B$201,'Trial Rows'!B149,'Trial Rows'!$C$2:$C$201,'Trial Rows'!C149,'Trial Rows'!$F$2:$F$201,'Trial Rows'!F149,'Trial Rows'!$I$2:$I$201,'Trial Rows'!I149,'Trial Rows'!$Y$2:$Y$201,'Trial Rows'!Y149,'Trial Rows'!$G$2:$G$201,"A"),0)</x:f>
        <x:v>0</x:v>
      </x:c>
      <x:c r="D149" s="2" t="n">
        <x:f>IF(B149=1,COUNTIFS('Trial Rows'!$B$2:$B$201,'Trial Rows'!B149,'Trial Rows'!$C$2:$C$201,'Trial Rows'!C149,'Trial Rows'!$F$2:$F$201,'Trial Rows'!F149,'Trial Rows'!$I$2:$I$201,'Trial Rows'!I149,'Trial Rows'!$Y$2:$Y$201,'Trial Rows'!Y149,'Trial Rows'!$G$2:$G$201,"B"),0)</x:f>
        <x:v>0</x:v>
      </x:c>
      <x:c r="E149" s="2" t="str">
        <x:f>IF(AND(C149=1,COUNTIFS('Trial Rows'!$B$2:$B$201,'Trial Rows'!B149,'Trial Rows'!$C$2:$C$201,'Trial Rows'!C149,'Trial Rows'!$F$2:$F$201,'Trial Rows'!F149,'Trial Rows'!$I$2:$I$201,'Trial Rows'!I149,'Trial Rows'!$Y$2:$Y$201,'Trial Rows'!Y149,'Trial Rows'!$G$2:$G$201,"A",'Trial Rows'!$K$2:$K$201,"&gt;=0",'Trial Rows'!$K$2:$K$201,"&lt;=4",'Trial Rows'!$K$2:$K$201,"&lt;&gt;")=1),SUMIFS('Trial Rows'!$K$2:$K$201,'Trial Rows'!$B$2:$B$201,'Trial Rows'!B149,'Trial Rows'!$C$2:$C$201,'Trial Rows'!C149,'Trial Rows'!$F$2:$F$201,'Trial Rows'!F149,'Trial Rows'!$I$2:$I$201,'Trial Rows'!I149,'Trial Rows'!$Y$2:$Y$201,'Trial Rows'!Y149,'Trial Rows'!$G$2:$G$201,"A"),"")</x:f>
      </x:c>
      <x:c r="F149" s="2" t="n">
        <x:f>IF(AND(B149=1,'Trial Rows'!G149="B",C149=1,D149=1,ISNUMBER(E149),ISNUMBER('Trial Rows'!M149),'Trial Rows'!M149&gt;=0,'Trial Rows'!M149&lt;=4,'Trial Rows'!Q149=0,'Trial Rows'!S149=0),1,0)</x:f>
        <x:v>0</x:v>
      </x:c>
      <x:c r="G149" s="2" t="n">
        <x:f>IF(F149=1,IF(E149='Trial Rows'!M149,1,0),0)</x:f>
        <x:v>0</x:v>
      </x:c>
      <x:c r="H149" s="2" t="n">
        <x:f>IF(AND(B149=1,'Trial Rows'!G149="B",C149=1,D149=1,ISNUMBER(E149),'Trial Rows'!R149=1,'Trial Rows'!Q149=0,'Trial Rows'!S149=0,ISNUMBER('Trial Rows'!L149),'Trial Rows'!L149&gt;=0,'Trial Rows'!L149&lt;=4),1,0)</x:f>
        <x:v>0</x:v>
      </x:c>
      <x:c r="I149" s="2" t="n">
        <x:f>IF(H149=1,IF(E149='Trial Rows'!L149,1,0),0)</x:f>
        <x:v>0</x:v>
      </x:c>
      <x:c r="J149" s="2" t="n">
        <x:f>IF(AND(B149=1,'Trial Rows'!G149="B",'Trial Rows'!P149&gt;0),1,0)</x:f>
        <x:v>0</x:v>
      </x:c>
      <x:c r="K149" s="2" t="n">
        <x:f>IF(AND(B149=1,'Trial Rows'!G149="B",'Trial Rows'!Q149=1),1,0)</x:f>
        <x:v>0</x:v>
      </x:c>
      <x:c r="L149" s="2" t="n">
        <x:f>IF(AND(B149=1,'Trial Rows'!G149="B",'Trial Rows'!R149=1,'Trial Rows'!Q149=0,'Trial Rows'!S149=0),1,0)</x:f>
        <x:v>0</x:v>
      </x:c>
      <x:c r="M149" s="2" t="n">
        <x:f>IF(AND(B149=1,'Trial Rows'!G149="B"),1,0)</x:f>
        <x:v>0</x:v>
      </x:c>
      <x:c r="N149" s="2" t="n">
        <x:f>IF(AND(B149=1,'Trial Rows'!I149=1,COUNTIFS('Trial Rows'!$B$2:$B$201,'Trial Rows'!B149,'Trial Rows'!$C$2:$C$201,'Trial Rows'!C149,'Trial Rows'!$F$2:$F$201,'Trial Rows'!F149,'Trial Rows'!$G$2:$G$201,'Trial Rows'!G149,'Trial Rows'!$Y$2:$Y$201,'Trial Rows'!Y149)=4,COUNTIFS('Trial Rows'!$B$2:$B$201,'Trial Rows'!B149,'Trial Rows'!$C$2:$C$201,'Trial Rows'!C149,'Trial Rows'!$F$2:$F$201,'Trial Rows'!F149,'Trial Rows'!$G$2:$G$201,'Trial Rows'!G149,'Trial Rows'!$Y$2:$Y$201,'Trial Rows'!Y149,'Trial Rows'!$I$2:$I$201,1)=1,COUNTIFS('Trial Rows'!$B$2:$B$201,'Trial Rows'!B149,'Trial Rows'!$C$2:$C$201,'Trial Rows'!C149,'Trial Rows'!$F$2:$F$201,'Trial Rows'!F149,'Trial Rows'!$G$2:$G$201,'Trial Rows'!G149,'Trial Rows'!$Y$2:$Y$201,'Trial Rows'!Y149,'Trial Rows'!$I$2:$I$201,2)=1,COUNTIFS('Trial Rows'!$B$2:$B$201,'Trial Rows'!B149,'Trial Rows'!$C$2:$C$201,'Trial Rows'!C149,'Trial Rows'!$F$2:$F$201,'Trial Rows'!F149,'Trial Rows'!$G$2:$G$201,'Trial Rows'!G149,'Trial Rows'!$Y$2:$Y$201,'Trial Rows'!Y149,'Trial Rows'!$I$2:$I$201,3)=1,COUNTIFS('Trial Rows'!$B$2:$B$201,'Trial Rows'!B149,'Trial Rows'!$C$2:$C$201,'Trial Rows'!C149,'Trial Rows'!$F$2:$F$201,'Trial Rows'!F149,'Trial Rows'!$G$2:$G$201,'Trial Rows'!G149,'Trial Rows'!$Y$2:$Y$201,'Trial Rows'!Y149,'Trial Rows'!$I$2:$I$201,4)=1,COUNTIFS('Trial Rows'!$B$2:$B$201,'Trial Rows'!B149,'Trial Rows'!$C$2:$C$201,'Trial Rows'!C149,'Trial Rows'!$F$2:$F$201,'Trial Rows'!F149,'Trial Rows'!$G$2:$G$201,'Trial Rows'!G149,'Trial Rows'!$Y$2:$Y$201,'Trial Rows'!Y149,'Trial Rows'!$W$2:$W$201,"&lt;&gt;")=4,ISNUMBER('Trial Rows'!U149),COUNTIFS('Trial Rows'!$B$2:$B$201,'Trial Rows'!B149,'Trial Rows'!$C$2:$C$201,'Trial Rows'!C149,'Trial Rows'!$F$2:$F$201,'Trial Rows'!F149,'Trial Rows'!$G$2:$G$201,'Trial Rows'!G149,'Trial Rows'!$Y$2:$Y$201,'Trial Rows'!Y149,'Trial Rows'!$U$2:$U$201,'Trial Rows'!U149)=4,'Trial Rows'!U149&gt;=0),1,0)</x:f>
        <x:v>0</x:v>
      </x:c>
      <x:c r="O149" s="2" t="str">
        <x:f>IF(N149=1,'Trial Rows'!U149/1000,"")</x:f>
      </x:c>
      <x:c r="P149" s="2" t="str">
        <x:f>IF(AND(N149=1,'Trial Rows'!G149="A"),O149,"")</x:f>
      </x:c>
      <x:c r="Q149" s="2" t="str">
        <x:f>IF(AND(N149=1,'Trial Rows'!G149="B"),O149,"")</x:f>
      </x:c>
      <x:c r="R149" s="2" t="str">
        <x:f>IF(AND(N149=1,COUNTIFS('Trial Rows'!$B$2:$B$201,'Trial Rows'!B149,'Trial Rows'!$C$2:$C$201,'Trial Rows'!C149,'Trial Rows'!$F$2:$F$201,'Trial Rows'!F149,'Trial Rows'!$G$2:$G$201,'Trial Rows'!G149,'Trial Rows'!$Y$2:$Y$201,'Trial Rows'!Y149,'Trial Rows'!$N$2:$N$201,"&gt;=0",'Trial Rows'!$N$2:$N$201,"&lt;=4",'Trial Rows'!$N$2:$N$201,"&lt;&gt;")=4),SUMIFS('Trial Rows'!$N$2:$N$201,'Trial Rows'!$B$2:$B$201,'Trial Rows'!B149,'Trial Rows'!$C$2:$C$201,'Trial Rows'!C149,'Trial Rows'!$F$2:$F$201,'Trial Rows'!F149,'Trial Rows'!$G$2:$G$201,'Trial Rows'!G149,'Trial Rows'!$Y$2:$Y$201,'Trial Rows'!Y149,'Trial Rows'!$I$2:$I$201,1)+4-SUMIFS('Trial Rows'!$N$2:$N$201,'Trial Rows'!$B$2:$B$201,'Trial Rows'!B149,'Trial Rows'!$C$2:$C$201,'Trial Rows'!C149,'Trial Rows'!$F$2:$F$201,'Trial Rows'!F149,'Trial Rows'!$G$2:$G$201,'Trial Rows'!G149,'Trial Rows'!$Y$2:$Y$201,'Trial Rows'!Y149,'Trial Rows'!$I$2:$I$201,2)+4-SUMIFS('Trial Rows'!$N$2:$N$201,'Trial Rows'!$B$2:$B$201,'Trial Rows'!B149,'Trial Rows'!$C$2:$C$201,'Trial Rows'!C149,'Trial Rows'!$F$2:$F$201,'Trial Rows'!F149,'Trial Rows'!$G$2:$G$201,'Trial Rows'!G149,'Trial Rows'!$Y$2:$Y$201,'Trial Rows'!Y149,'Trial Rows'!$I$2:$I$201,3)+SUMIFS('Trial Rows'!$N$2:$N$201,'Trial Rows'!$B$2:$B$201,'Trial Rows'!B149,'Trial Rows'!$C$2:$C$201,'Trial Rows'!C149,'Trial Rows'!$F$2:$F$201,'Trial Rows'!F149,'Trial Rows'!$G$2:$G$201,'Trial Rows'!G149,'Trial Rows'!$Y$2:$Y$201,'Trial Rows'!Y149,'Trial Rows'!$I$2:$I$201,4),"")</x:f>
      </x:c>
      <x:c r="S149" s="2" t="n">
        <x:f>IF(AND(B149=1,COUNTIFS('Trial Rows'!$C$2:C149,'Trial Rows'!C149,'Trial Rows'!$F$2:F149,Summary!$B$5,'Trial Rows'!$Y$2:Y149,Summary!$B$4)=1),1,0)</x:f>
        <x:v>0</x:v>
      </x:c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 t="str">
        <x:f>IF('Trial Rows'!A150="","",'Trial Rows'!F150&amp;"|"&amp;'Trial Rows'!B150&amp;"|"&amp;'Trial Rows'!C150&amp;"|"&amp;'Trial Rows'!I150)</x:f>
      </x:c>
      <x:c r="B150" s="2" t="n">
        <x:f>IF(AND('Trial Rows'!A150&lt;&gt;"",'Trial Rows'!Y150=Summary!$B$4,'Trial Rows'!F150=Summary!$B$5),1,0)</x:f>
        <x:v>0</x:v>
      </x:c>
      <x:c r="C150" s="2" t="n">
        <x:f>IF(B150=1,COUNTIFS('Trial Rows'!$B$2:$B$201,'Trial Rows'!B150,'Trial Rows'!$C$2:$C$201,'Trial Rows'!C150,'Trial Rows'!$F$2:$F$201,'Trial Rows'!F150,'Trial Rows'!$I$2:$I$201,'Trial Rows'!I150,'Trial Rows'!$Y$2:$Y$201,'Trial Rows'!Y150,'Trial Rows'!$G$2:$G$201,"A"),0)</x:f>
        <x:v>0</x:v>
      </x:c>
      <x:c r="D150" s="2" t="n">
        <x:f>IF(B150=1,COUNTIFS('Trial Rows'!$B$2:$B$201,'Trial Rows'!B150,'Trial Rows'!$C$2:$C$201,'Trial Rows'!C150,'Trial Rows'!$F$2:$F$201,'Trial Rows'!F150,'Trial Rows'!$I$2:$I$201,'Trial Rows'!I150,'Trial Rows'!$Y$2:$Y$201,'Trial Rows'!Y150,'Trial Rows'!$G$2:$G$201,"B"),0)</x:f>
        <x:v>0</x:v>
      </x:c>
      <x:c r="E150" s="2" t="str">
        <x:f>IF(AND(C150=1,COUNTIFS('Trial Rows'!$B$2:$B$201,'Trial Rows'!B150,'Trial Rows'!$C$2:$C$201,'Trial Rows'!C150,'Trial Rows'!$F$2:$F$201,'Trial Rows'!F150,'Trial Rows'!$I$2:$I$201,'Trial Rows'!I150,'Trial Rows'!$Y$2:$Y$201,'Trial Rows'!Y150,'Trial Rows'!$G$2:$G$201,"A",'Trial Rows'!$K$2:$K$201,"&gt;=0",'Trial Rows'!$K$2:$K$201,"&lt;=4",'Trial Rows'!$K$2:$K$201,"&lt;&gt;")=1),SUMIFS('Trial Rows'!$K$2:$K$201,'Trial Rows'!$B$2:$B$201,'Trial Rows'!B150,'Trial Rows'!$C$2:$C$201,'Trial Rows'!C150,'Trial Rows'!$F$2:$F$201,'Trial Rows'!F150,'Trial Rows'!$I$2:$I$201,'Trial Rows'!I150,'Trial Rows'!$Y$2:$Y$201,'Trial Rows'!Y150,'Trial Rows'!$G$2:$G$201,"A"),"")</x:f>
      </x:c>
      <x:c r="F150" s="2" t="n">
        <x:f>IF(AND(B150=1,'Trial Rows'!G150="B",C150=1,D150=1,ISNUMBER(E150),ISNUMBER('Trial Rows'!M150),'Trial Rows'!M150&gt;=0,'Trial Rows'!M150&lt;=4,'Trial Rows'!Q150=0,'Trial Rows'!S150=0),1,0)</x:f>
        <x:v>0</x:v>
      </x:c>
      <x:c r="G150" s="2" t="n">
        <x:f>IF(F150=1,IF(E150='Trial Rows'!M150,1,0),0)</x:f>
        <x:v>0</x:v>
      </x:c>
      <x:c r="H150" s="2" t="n">
        <x:f>IF(AND(B150=1,'Trial Rows'!G150="B",C150=1,D150=1,ISNUMBER(E150),'Trial Rows'!R150=1,'Trial Rows'!Q150=0,'Trial Rows'!S150=0,ISNUMBER('Trial Rows'!L150),'Trial Rows'!L150&gt;=0,'Trial Rows'!L150&lt;=4),1,0)</x:f>
        <x:v>0</x:v>
      </x:c>
      <x:c r="I150" s="2" t="n">
        <x:f>IF(H150=1,IF(E150='Trial Rows'!L150,1,0),0)</x:f>
        <x:v>0</x:v>
      </x:c>
      <x:c r="J150" s="2" t="n">
        <x:f>IF(AND(B150=1,'Trial Rows'!G150="B",'Trial Rows'!P150&gt;0),1,0)</x:f>
        <x:v>0</x:v>
      </x:c>
      <x:c r="K150" s="2" t="n">
        <x:f>IF(AND(B150=1,'Trial Rows'!G150="B",'Trial Rows'!Q150=1),1,0)</x:f>
        <x:v>0</x:v>
      </x:c>
      <x:c r="L150" s="2" t="n">
        <x:f>IF(AND(B150=1,'Trial Rows'!G150="B",'Trial Rows'!R150=1,'Trial Rows'!Q150=0,'Trial Rows'!S150=0),1,0)</x:f>
        <x:v>0</x:v>
      </x:c>
      <x:c r="M150" s="2" t="n">
        <x:f>IF(AND(B150=1,'Trial Rows'!G150="B"),1,0)</x:f>
        <x:v>0</x:v>
      </x:c>
      <x:c r="N150" s="2" t="n">
        <x:f>IF(AND(B150=1,'Trial Rows'!I150=1,COUNTIFS('Trial Rows'!$B$2:$B$201,'Trial Rows'!B150,'Trial Rows'!$C$2:$C$201,'Trial Rows'!C150,'Trial Rows'!$F$2:$F$201,'Trial Rows'!F150,'Trial Rows'!$G$2:$G$201,'Trial Rows'!G150,'Trial Rows'!$Y$2:$Y$201,'Trial Rows'!Y150)=4,COUNTIFS('Trial Rows'!$B$2:$B$201,'Trial Rows'!B150,'Trial Rows'!$C$2:$C$201,'Trial Rows'!C150,'Trial Rows'!$F$2:$F$201,'Trial Rows'!F150,'Trial Rows'!$G$2:$G$201,'Trial Rows'!G150,'Trial Rows'!$Y$2:$Y$201,'Trial Rows'!Y150,'Trial Rows'!$I$2:$I$201,1)=1,COUNTIFS('Trial Rows'!$B$2:$B$201,'Trial Rows'!B150,'Trial Rows'!$C$2:$C$201,'Trial Rows'!C150,'Trial Rows'!$F$2:$F$201,'Trial Rows'!F150,'Trial Rows'!$G$2:$G$201,'Trial Rows'!G150,'Trial Rows'!$Y$2:$Y$201,'Trial Rows'!Y150,'Trial Rows'!$I$2:$I$201,2)=1,COUNTIFS('Trial Rows'!$B$2:$B$201,'Trial Rows'!B150,'Trial Rows'!$C$2:$C$201,'Trial Rows'!C150,'Trial Rows'!$F$2:$F$201,'Trial Rows'!F150,'Trial Rows'!$G$2:$G$201,'Trial Rows'!G150,'Trial Rows'!$Y$2:$Y$201,'Trial Rows'!Y150,'Trial Rows'!$I$2:$I$201,3)=1,COUNTIFS('Trial Rows'!$B$2:$B$201,'Trial Rows'!B150,'Trial Rows'!$C$2:$C$201,'Trial Rows'!C150,'Trial Rows'!$F$2:$F$201,'Trial Rows'!F150,'Trial Rows'!$G$2:$G$201,'Trial Rows'!G150,'Trial Rows'!$Y$2:$Y$201,'Trial Rows'!Y150,'Trial Rows'!$I$2:$I$201,4)=1,COUNTIFS('Trial Rows'!$B$2:$B$201,'Trial Rows'!B150,'Trial Rows'!$C$2:$C$201,'Trial Rows'!C150,'Trial Rows'!$F$2:$F$201,'Trial Rows'!F150,'Trial Rows'!$G$2:$G$201,'Trial Rows'!G150,'Trial Rows'!$Y$2:$Y$201,'Trial Rows'!Y150,'Trial Rows'!$W$2:$W$201,"&lt;&gt;")=4,ISNUMBER('Trial Rows'!U150),COUNTIFS('Trial Rows'!$B$2:$B$201,'Trial Rows'!B150,'Trial Rows'!$C$2:$C$201,'Trial Rows'!C150,'Trial Rows'!$F$2:$F$201,'Trial Rows'!F150,'Trial Rows'!$G$2:$G$201,'Trial Rows'!G150,'Trial Rows'!$Y$2:$Y$201,'Trial Rows'!Y150,'Trial Rows'!$U$2:$U$201,'Trial Rows'!U150)=4,'Trial Rows'!U150&gt;=0),1,0)</x:f>
        <x:v>0</x:v>
      </x:c>
      <x:c r="O150" s="2" t="str">
        <x:f>IF(N150=1,'Trial Rows'!U150/1000,"")</x:f>
      </x:c>
      <x:c r="P150" s="2" t="str">
        <x:f>IF(AND(N150=1,'Trial Rows'!G150="A"),O150,"")</x:f>
      </x:c>
      <x:c r="Q150" s="2" t="str">
        <x:f>IF(AND(N150=1,'Trial Rows'!G150="B"),O150,"")</x:f>
      </x:c>
      <x:c r="R150" s="2" t="str">
        <x:f>IF(AND(N150=1,COUNTIFS('Trial Rows'!$B$2:$B$201,'Trial Rows'!B150,'Trial Rows'!$C$2:$C$201,'Trial Rows'!C150,'Trial Rows'!$F$2:$F$201,'Trial Rows'!F150,'Trial Rows'!$G$2:$G$201,'Trial Rows'!G150,'Trial Rows'!$Y$2:$Y$201,'Trial Rows'!Y150,'Trial Rows'!$N$2:$N$201,"&gt;=0",'Trial Rows'!$N$2:$N$201,"&lt;=4",'Trial Rows'!$N$2:$N$201,"&lt;&gt;")=4),SUMIFS('Trial Rows'!$N$2:$N$201,'Trial Rows'!$B$2:$B$201,'Trial Rows'!B150,'Trial Rows'!$C$2:$C$201,'Trial Rows'!C150,'Trial Rows'!$F$2:$F$201,'Trial Rows'!F150,'Trial Rows'!$G$2:$G$201,'Trial Rows'!G150,'Trial Rows'!$Y$2:$Y$201,'Trial Rows'!Y150,'Trial Rows'!$I$2:$I$201,1)+4-SUMIFS('Trial Rows'!$N$2:$N$201,'Trial Rows'!$B$2:$B$201,'Trial Rows'!B150,'Trial Rows'!$C$2:$C$201,'Trial Rows'!C150,'Trial Rows'!$F$2:$F$201,'Trial Rows'!F150,'Trial Rows'!$G$2:$G$201,'Trial Rows'!G150,'Trial Rows'!$Y$2:$Y$201,'Trial Rows'!Y150,'Trial Rows'!$I$2:$I$201,2)+4-SUMIFS('Trial Rows'!$N$2:$N$201,'Trial Rows'!$B$2:$B$201,'Trial Rows'!B150,'Trial Rows'!$C$2:$C$201,'Trial Rows'!C150,'Trial Rows'!$F$2:$F$201,'Trial Rows'!F150,'Trial Rows'!$G$2:$G$201,'Trial Rows'!G150,'Trial Rows'!$Y$2:$Y$201,'Trial Rows'!Y150,'Trial Rows'!$I$2:$I$201,3)+SUMIFS('Trial Rows'!$N$2:$N$201,'Trial Rows'!$B$2:$B$201,'Trial Rows'!B150,'Trial Rows'!$C$2:$C$201,'Trial Rows'!C150,'Trial Rows'!$F$2:$F$201,'Trial Rows'!F150,'Trial Rows'!$G$2:$G$201,'Trial Rows'!G150,'Trial Rows'!$Y$2:$Y$201,'Trial Rows'!Y150,'Trial Rows'!$I$2:$I$201,4),"")</x:f>
      </x:c>
      <x:c r="S150" s="2" t="n">
        <x:f>IF(AND(B150=1,COUNTIFS('Trial Rows'!$C$2:C150,'Trial Rows'!C150,'Trial Rows'!$F$2:F150,Summary!$B$5,'Trial Rows'!$Y$2:Y150,Summary!$B$4)=1),1,0)</x:f>
        <x:v>0</x:v>
      </x:c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 t="str">
        <x:f>IF('Trial Rows'!A151="","",'Trial Rows'!F151&amp;"|"&amp;'Trial Rows'!B151&amp;"|"&amp;'Trial Rows'!C151&amp;"|"&amp;'Trial Rows'!I151)</x:f>
      </x:c>
      <x:c r="B151" s="2" t="n">
        <x:f>IF(AND('Trial Rows'!A151&lt;&gt;"",'Trial Rows'!Y151=Summary!$B$4,'Trial Rows'!F151=Summary!$B$5),1,0)</x:f>
        <x:v>0</x:v>
      </x:c>
      <x:c r="C151" s="2" t="n">
        <x:f>IF(B151=1,COUNTIFS('Trial Rows'!$B$2:$B$201,'Trial Rows'!B151,'Trial Rows'!$C$2:$C$201,'Trial Rows'!C151,'Trial Rows'!$F$2:$F$201,'Trial Rows'!F151,'Trial Rows'!$I$2:$I$201,'Trial Rows'!I151,'Trial Rows'!$Y$2:$Y$201,'Trial Rows'!Y151,'Trial Rows'!$G$2:$G$201,"A"),0)</x:f>
        <x:v>0</x:v>
      </x:c>
      <x:c r="D151" s="2" t="n">
        <x:f>IF(B151=1,COUNTIFS('Trial Rows'!$B$2:$B$201,'Trial Rows'!B151,'Trial Rows'!$C$2:$C$201,'Trial Rows'!C151,'Trial Rows'!$F$2:$F$201,'Trial Rows'!F151,'Trial Rows'!$I$2:$I$201,'Trial Rows'!I151,'Trial Rows'!$Y$2:$Y$201,'Trial Rows'!Y151,'Trial Rows'!$G$2:$G$201,"B"),0)</x:f>
        <x:v>0</x:v>
      </x:c>
      <x:c r="E151" s="2" t="str">
        <x:f>IF(AND(C151=1,COUNTIFS('Trial Rows'!$B$2:$B$201,'Trial Rows'!B151,'Trial Rows'!$C$2:$C$201,'Trial Rows'!C151,'Trial Rows'!$F$2:$F$201,'Trial Rows'!F151,'Trial Rows'!$I$2:$I$201,'Trial Rows'!I151,'Trial Rows'!$Y$2:$Y$201,'Trial Rows'!Y151,'Trial Rows'!$G$2:$G$201,"A",'Trial Rows'!$K$2:$K$201,"&gt;=0",'Trial Rows'!$K$2:$K$201,"&lt;=4",'Trial Rows'!$K$2:$K$201,"&lt;&gt;")=1),SUMIFS('Trial Rows'!$K$2:$K$201,'Trial Rows'!$B$2:$B$201,'Trial Rows'!B151,'Trial Rows'!$C$2:$C$201,'Trial Rows'!C151,'Trial Rows'!$F$2:$F$201,'Trial Rows'!F151,'Trial Rows'!$I$2:$I$201,'Trial Rows'!I151,'Trial Rows'!$Y$2:$Y$201,'Trial Rows'!Y151,'Trial Rows'!$G$2:$G$201,"A"),"")</x:f>
      </x:c>
      <x:c r="F151" s="2" t="n">
        <x:f>IF(AND(B151=1,'Trial Rows'!G151="B",C151=1,D151=1,ISNUMBER(E151),ISNUMBER('Trial Rows'!M151),'Trial Rows'!M151&gt;=0,'Trial Rows'!M151&lt;=4,'Trial Rows'!Q151=0,'Trial Rows'!S151=0),1,0)</x:f>
        <x:v>0</x:v>
      </x:c>
      <x:c r="G151" s="2" t="n">
        <x:f>IF(F151=1,IF(E151='Trial Rows'!M151,1,0),0)</x:f>
        <x:v>0</x:v>
      </x:c>
      <x:c r="H151" s="2" t="n">
        <x:f>IF(AND(B151=1,'Trial Rows'!G151="B",C151=1,D151=1,ISNUMBER(E151),'Trial Rows'!R151=1,'Trial Rows'!Q151=0,'Trial Rows'!S151=0,ISNUMBER('Trial Rows'!L151),'Trial Rows'!L151&gt;=0,'Trial Rows'!L151&lt;=4),1,0)</x:f>
        <x:v>0</x:v>
      </x:c>
      <x:c r="I151" s="2" t="n">
        <x:f>IF(H151=1,IF(E151='Trial Rows'!L151,1,0),0)</x:f>
        <x:v>0</x:v>
      </x:c>
      <x:c r="J151" s="2" t="n">
        <x:f>IF(AND(B151=1,'Trial Rows'!G151="B",'Trial Rows'!P151&gt;0),1,0)</x:f>
        <x:v>0</x:v>
      </x:c>
      <x:c r="K151" s="2" t="n">
        <x:f>IF(AND(B151=1,'Trial Rows'!G151="B",'Trial Rows'!Q151=1),1,0)</x:f>
        <x:v>0</x:v>
      </x:c>
      <x:c r="L151" s="2" t="n">
        <x:f>IF(AND(B151=1,'Trial Rows'!G151="B",'Trial Rows'!R151=1,'Trial Rows'!Q151=0,'Trial Rows'!S151=0),1,0)</x:f>
        <x:v>0</x:v>
      </x:c>
      <x:c r="M151" s="2" t="n">
        <x:f>IF(AND(B151=1,'Trial Rows'!G151="B"),1,0)</x:f>
        <x:v>0</x:v>
      </x:c>
      <x:c r="N151" s="2" t="n">
        <x:f>IF(AND(B151=1,'Trial Rows'!I151=1,COUNTIFS('Trial Rows'!$B$2:$B$201,'Trial Rows'!B151,'Trial Rows'!$C$2:$C$201,'Trial Rows'!C151,'Trial Rows'!$F$2:$F$201,'Trial Rows'!F151,'Trial Rows'!$G$2:$G$201,'Trial Rows'!G151,'Trial Rows'!$Y$2:$Y$201,'Trial Rows'!Y151)=4,COUNTIFS('Trial Rows'!$B$2:$B$201,'Trial Rows'!B151,'Trial Rows'!$C$2:$C$201,'Trial Rows'!C151,'Trial Rows'!$F$2:$F$201,'Trial Rows'!F151,'Trial Rows'!$G$2:$G$201,'Trial Rows'!G151,'Trial Rows'!$Y$2:$Y$201,'Trial Rows'!Y151,'Trial Rows'!$I$2:$I$201,1)=1,COUNTIFS('Trial Rows'!$B$2:$B$201,'Trial Rows'!B151,'Trial Rows'!$C$2:$C$201,'Trial Rows'!C151,'Trial Rows'!$F$2:$F$201,'Trial Rows'!F151,'Trial Rows'!$G$2:$G$201,'Trial Rows'!G151,'Trial Rows'!$Y$2:$Y$201,'Trial Rows'!Y151,'Trial Rows'!$I$2:$I$201,2)=1,COUNTIFS('Trial Rows'!$B$2:$B$201,'Trial Rows'!B151,'Trial Rows'!$C$2:$C$201,'Trial Rows'!C151,'Trial Rows'!$F$2:$F$201,'Trial Rows'!F151,'Trial Rows'!$G$2:$G$201,'Trial Rows'!G151,'Trial Rows'!$Y$2:$Y$201,'Trial Rows'!Y151,'Trial Rows'!$I$2:$I$201,3)=1,COUNTIFS('Trial Rows'!$B$2:$B$201,'Trial Rows'!B151,'Trial Rows'!$C$2:$C$201,'Trial Rows'!C151,'Trial Rows'!$F$2:$F$201,'Trial Rows'!F151,'Trial Rows'!$G$2:$G$201,'Trial Rows'!G151,'Trial Rows'!$Y$2:$Y$201,'Trial Rows'!Y151,'Trial Rows'!$I$2:$I$201,4)=1,COUNTIFS('Trial Rows'!$B$2:$B$201,'Trial Rows'!B151,'Trial Rows'!$C$2:$C$201,'Trial Rows'!C151,'Trial Rows'!$F$2:$F$201,'Trial Rows'!F151,'Trial Rows'!$G$2:$G$201,'Trial Rows'!G151,'Trial Rows'!$Y$2:$Y$201,'Trial Rows'!Y151,'Trial Rows'!$W$2:$W$201,"&lt;&gt;")=4,ISNUMBER('Trial Rows'!U151),COUNTIFS('Trial Rows'!$B$2:$B$201,'Trial Rows'!B151,'Trial Rows'!$C$2:$C$201,'Trial Rows'!C151,'Trial Rows'!$F$2:$F$201,'Trial Rows'!F151,'Trial Rows'!$G$2:$G$201,'Trial Rows'!G151,'Trial Rows'!$Y$2:$Y$201,'Trial Rows'!Y151,'Trial Rows'!$U$2:$U$201,'Trial Rows'!U151)=4,'Trial Rows'!U151&gt;=0),1,0)</x:f>
        <x:v>0</x:v>
      </x:c>
      <x:c r="O151" s="2" t="str">
        <x:f>IF(N151=1,'Trial Rows'!U151/1000,"")</x:f>
      </x:c>
      <x:c r="P151" s="2" t="str">
        <x:f>IF(AND(N151=1,'Trial Rows'!G151="A"),O151,"")</x:f>
      </x:c>
      <x:c r="Q151" s="2" t="str">
        <x:f>IF(AND(N151=1,'Trial Rows'!G151="B"),O151,"")</x:f>
      </x:c>
      <x:c r="R151" s="2" t="str">
        <x:f>IF(AND(N151=1,COUNTIFS('Trial Rows'!$B$2:$B$201,'Trial Rows'!B151,'Trial Rows'!$C$2:$C$201,'Trial Rows'!C151,'Trial Rows'!$F$2:$F$201,'Trial Rows'!F151,'Trial Rows'!$G$2:$G$201,'Trial Rows'!G151,'Trial Rows'!$Y$2:$Y$201,'Trial Rows'!Y151,'Trial Rows'!$N$2:$N$201,"&gt;=0",'Trial Rows'!$N$2:$N$201,"&lt;=4",'Trial Rows'!$N$2:$N$201,"&lt;&gt;")=4),SUMIFS('Trial Rows'!$N$2:$N$201,'Trial Rows'!$B$2:$B$201,'Trial Rows'!B151,'Trial Rows'!$C$2:$C$201,'Trial Rows'!C151,'Trial Rows'!$F$2:$F$201,'Trial Rows'!F151,'Trial Rows'!$G$2:$G$201,'Trial Rows'!G151,'Trial Rows'!$Y$2:$Y$201,'Trial Rows'!Y151,'Trial Rows'!$I$2:$I$201,1)+4-SUMIFS('Trial Rows'!$N$2:$N$201,'Trial Rows'!$B$2:$B$201,'Trial Rows'!B151,'Trial Rows'!$C$2:$C$201,'Trial Rows'!C151,'Trial Rows'!$F$2:$F$201,'Trial Rows'!F151,'Trial Rows'!$G$2:$G$201,'Trial Rows'!G151,'Trial Rows'!$Y$2:$Y$201,'Trial Rows'!Y151,'Trial Rows'!$I$2:$I$201,2)+4-SUMIFS('Trial Rows'!$N$2:$N$201,'Trial Rows'!$B$2:$B$201,'Trial Rows'!B151,'Trial Rows'!$C$2:$C$201,'Trial Rows'!C151,'Trial Rows'!$F$2:$F$201,'Trial Rows'!F151,'Trial Rows'!$G$2:$G$201,'Trial Rows'!G151,'Trial Rows'!$Y$2:$Y$201,'Trial Rows'!Y151,'Trial Rows'!$I$2:$I$201,3)+SUMIFS('Trial Rows'!$N$2:$N$201,'Trial Rows'!$B$2:$B$201,'Trial Rows'!B151,'Trial Rows'!$C$2:$C$201,'Trial Rows'!C151,'Trial Rows'!$F$2:$F$201,'Trial Rows'!F151,'Trial Rows'!$G$2:$G$201,'Trial Rows'!G151,'Trial Rows'!$Y$2:$Y$201,'Trial Rows'!Y151,'Trial Rows'!$I$2:$I$201,4),"")</x:f>
      </x:c>
      <x:c r="S151" s="2" t="n">
        <x:f>IF(AND(B151=1,COUNTIFS('Trial Rows'!$C$2:C151,'Trial Rows'!C151,'Trial Rows'!$F$2:F151,Summary!$B$5,'Trial Rows'!$Y$2:Y151,Summary!$B$4)=1),1,0)</x:f>
        <x:v>0</x:v>
      </x:c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 t="str">
        <x:f>IF('Trial Rows'!A152="","",'Trial Rows'!F152&amp;"|"&amp;'Trial Rows'!B152&amp;"|"&amp;'Trial Rows'!C152&amp;"|"&amp;'Trial Rows'!I152)</x:f>
      </x:c>
      <x:c r="B152" s="2" t="n">
        <x:f>IF(AND('Trial Rows'!A152&lt;&gt;"",'Trial Rows'!Y152=Summary!$B$4,'Trial Rows'!F152=Summary!$B$5),1,0)</x:f>
        <x:v>0</x:v>
      </x:c>
      <x:c r="C152" s="2" t="n">
        <x:f>IF(B152=1,COUNTIFS('Trial Rows'!$B$2:$B$201,'Trial Rows'!B152,'Trial Rows'!$C$2:$C$201,'Trial Rows'!C152,'Trial Rows'!$F$2:$F$201,'Trial Rows'!F152,'Trial Rows'!$I$2:$I$201,'Trial Rows'!I152,'Trial Rows'!$Y$2:$Y$201,'Trial Rows'!Y152,'Trial Rows'!$G$2:$G$201,"A"),0)</x:f>
        <x:v>0</x:v>
      </x:c>
      <x:c r="D152" s="2" t="n">
        <x:f>IF(B152=1,COUNTIFS('Trial Rows'!$B$2:$B$201,'Trial Rows'!B152,'Trial Rows'!$C$2:$C$201,'Trial Rows'!C152,'Trial Rows'!$F$2:$F$201,'Trial Rows'!F152,'Trial Rows'!$I$2:$I$201,'Trial Rows'!I152,'Trial Rows'!$Y$2:$Y$201,'Trial Rows'!Y152,'Trial Rows'!$G$2:$G$201,"B"),0)</x:f>
        <x:v>0</x:v>
      </x:c>
      <x:c r="E152" s="2" t="str">
        <x:f>IF(AND(C152=1,COUNTIFS('Trial Rows'!$B$2:$B$201,'Trial Rows'!B152,'Trial Rows'!$C$2:$C$201,'Trial Rows'!C152,'Trial Rows'!$F$2:$F$201,'Trial Rows'!F152,'Trial Rows'!$I$2:$I$201,'Trial Rows'!I152,'Trial Rows'!$Y$2:$Y$201,'Trial Rows'!Y152,'Trial Rows'!$G$2:$G$201,"A",'Trial Rows'!$K$2:$K$201,"&gt;=0",'Trial Rows'!$K$2:$K$201,"&lt;=4",'Trial Rows'!$K$2:$K$201,"&lt;&gt;")=1),SUMIFS('Trial Rows'!$K$2:$K$201,'Trial Rows'!$B$2:$B$201,'Trial Rows'!B152,'Trial Rows'!$C$2:$C$201,'Trial Rows'!C152,'Trial Rows'!$F$2:$F$201,'Trial Rows'!F152,'Trial Rows'!$I$2:$I$201,'Trial Rows'!I152,'Trial Rows'!$Y$2:$Y$201,'Trial Rows'!Y152,'Trial Rows'!$G$2:$G$201,"A"),"")</x:f>
      </x:c>
      <x:c r="F152" s="2" t="n">
        <x:f>IF(AND(B152=1,'Trial Rows'!G152="B",C152=1,D152=1,ISNUMBER(E152),ISNUMBER('Trial Rows'!M152),'Trial Rows'!M152&gt;=0,'Trial Rows'!M152&lt;=4,'Trial Rows'!Q152=0,'Trial Rows'!S152=0),1,0)</x:f>
        <x:v>0</x:v>
      </x:c>
      <x:c r="G152" s="2" t="n">
        <x:f>IF(F152=1,IF(E152='Trial Rows'!M152,1,0),0)</x:f>
        <x:v>0</x:v>
      </x:c>
      <x:c r="H152" s="2" t="n">
        <x:f>IF(AND(B152=1,'Trial Rows'!G152="B",C152=1,D152=1,ISNUMBER(E152),'Trial Rows'!R152=1,'Trial Rows'!Q152=0,'Trial Rows'!S152=0,ISNUMBER('Trial Rows'!L152),'Trial Rows'!L152&gt;=0,'Trial Rows'!L152&lt;=4),1,0)</x:f>
        <x:v>0</x:v>
      </x:c>
      <x:c r="I152" s="2" t="n">
        <x:f>IF(H152=1,IF(E152='Trial Rows'!L152,1,0),0)</x:f>
        <x:v>0</x:v>
      </x:c>
      <x:c r="J152" s="2" t="n">
        <x:f>IF(AND(B152=1,'Trial Rows'!G152="B",'Trial Rows'!P152&gt;0),1,0)</x:f>
        <x:v>0</x:v>
      </x:c>
      <x:c r="K152" s="2" t="n">
        <x:f>IF(AND(B152=1,'Trial Rows'!G152="B",'Trial Rows'!Q152=1),1,0)</x:f>
        <x:v>0</x:v>
      </x:c>
      <x:c r="L152" s="2" t="n">
        <x:f>IF(AND(B152=1,'Trial Rows'!G152="B",'Trial Rows'!R152=1,'Trial Rows'!Q152=0,'Trial Rows'!S152=0),1,0)</x:f>
        <x:v>0</x:v>
      </x:c>
      <x:c r="M152" s="2" t="n">
        <x:f>IF(AND(B152=1,'Trial Rows'!G152="B"),1,0)</x:f>
        <x:v>0</x:v>
      </x:c>
      <x:c r="N152" s="2" t="n">
        <x:f>IF(AND(B152=1,'Trial Rows'!I152=1,COUNTIFS('Trial Rows'!$B$2:$B$201,'Trial Rows'!B152,'Trial Rows'!$C$2:$C$201,'Trial Rows'!C152,'Trial Rows'!$F$2:$F$201,'Trial Rows'!F152,'Trial Rows'!$G$2:$G$201,'Trial Rows'!G152,'Trial Rows'!$Y$2:$Y$201,'Trial Rows'!Y152)=4,COUNTIFS('Trial Rows'!$B$2:$B$201,'Trial Rows'!B152,'Trial Rows'!$C$2:$C$201,'Trial Rows'!C152,'Trial Rows'!$F$2:$F$201,'Trial Rows'!F152,'Trial Rows'!$G$2:$G$201,'Trial Rows'!G152,'Trial Rows'!$Y$2:$Y$201,'Trial Rows'!Y152,'Trial Rows'!$I$2:$I$201,1)=1,COUNTIFS('Trial Rows'!$B$2:$B$201,'Trial Rows'!B152,'Trial Rows'!$C$2:$C$201,'Trial Rows'!C152,'Trial Rows'!$F$2:$F$201,'Trial Rows'!F152,'Trial Rows'!$G$2:$G$201,'Trial Rows'!G152,'Trial Rows'!$Y$2:$Y$201,'Trial Rows'!Y152,'Trial Rows'!$I$2:$I$201,2)=1,COUNTIFS('Trial Rows'!$B$2:$B$201,'Trial Rows'!B152,'Trial Rows'!$C$2:$C$201,'Trial Rows'!C152,'Trial Rows'!$F$2:$F$201,'Trial Rows'!F152,'Trial Rows'!$G$2:$G$201,'Trial Rows'!G152,'Trial Rows'!$Y$2:$Y$201,'Trial Rows'!Y152,'Trial Rows'!$I$2:$I$201,3)=1,COUNTIFS('Trial Rows'!$B$2:$B$201,'Trial Rows'!B152,'Trial Rows'!$C$2:$C$201,'Trial Rows'!C152,'Trial Rows'!$F$2:$F$201,'Trial Rows'!F152,'Trial Rows'!$G$2:$G$201,'Trial Rows'!G152,'Trial Rows'!$Y$2:$Y$201,'Trial Rows'!Y152,'Trial Rows'!$I$2:$I$201,4)=1,COUNTIFS('Trial Rows'!$B$2:$B$201,'Trial Rows'!B152,'Trial Rows'!$C$2:$C$201,'Trial Rows'!C152,'Trial Rows'!$F$2:$F$201,'Trial Rows'!F152,'Trial Rows'!$G$2:$G$201,'Trial Rows'!G152,'Trial Rows'!$Y$2:$Y$201,'Trial Rows'!Y152,'Trial Rows'!$W$2:$W$201,"&lt;&gt;")=4,ISNUMBER('Trial Rows'!U152),COUNTIFS('Trial Rows'!$B$2:$B$201,'Trial Rows'!B152,'Trial Rows'!$C$2:$C$201,'Trial Rows'!C152,'Trial Rows'!$F$2:$F$201,'Trial Rows'!F152,'Trial Rows'!$G$2:$G$201,'Trial Rows'!G152,'Trial Rows'!$Y$2:$Y$201,'Trial Rows'!Y152,'Trial Rows'!$U$2:$U$201,'Trial Rows'!U152)=4,'Trial Rows'!U152&gt;=0),1,0)</x:f>
        <x:v>0</x:v>
      </x:c>
      <x:c r="O152" s="2" t="str">
        <x:f>IF(N152=1,'Trial Rows'!U152/1000,"")</x:f>
      </x:c>
      <x:c r="P152" s="2" t="str">
        <x:f>IF(AND(N152=1,'Trial Rows'!G152="A"),O152,"")</x:f>
      </x:c>
      <x:c r="Q152" s="2" t="str">
        <x:f>IF(AND(N152=1,'Trial Rows'!G152="B"),O152,"")</x:f>
      </x:c>
      <x:c r="R152" s="2" t="str">
        <x:f>IF(AND(N152=1,COUNTIFS('Trial Rows'!$B$2:$B$201,'Trial Rows'!B152,'Trial Rows'!$C$2:$C$201,'Trial Rows'!C152,'Trial Rows'!$F$2:$F$201,'Trial Rows'!F152,'Trial Rows'!$G$2:$G$201,'Trial Rows'!G152,'Trial Rows'!$Y$2:$Y$201,'Trial Rows'!Y152,'Trial Rows'!$N$2:$N$201,"&gt;=0",'Trial Rows'!$N$2:$N$201,"&lt;=4",'Trial Rows'!$N$2:$N$201,"&lt;&gt;")=4),SUMIFS('Trial Rows'!$N$2:$N$201,'Trial Rows'!$B$2:$B$201,'Trial Rows'!B152,'Trial Rows'!$C$2:$C$201,'Trial Rows'!C152,'Trial Rows'!$F$2:$F$201,'Trial Rows'!F152,'Trial Rows'!$G$2:$G$201,'Trial Rows'!G152,'Trial Rows'!$Y$2:$Y$201,'Trial Rows'!Y152,'Trial Rows'!$I$2:$I$201,1)+4-SUMIFS('Trial Rows'!$N$2:$N$201,'Trial Rows'!$B$2:$B$201,'Trial Rows'!B152,'Trial Rows'!$C$2:$C$201,'Trial Rows'!C152,'Trial Rows'!$F$2:$F$201,'Trial Rows'!F152,'Trial Rows'!$G$2:$G$201,'Trial Rows'!G152,'Trial Rows'!$Y$2:$Y$201,'Trial Rows'!Y152,'Trial Rows'!$I$2:$I$201,2)+4-SUMIFS('Trial Rows'!$N$2:$N$201,'Trial Rows'!$B$2:$B$201,'Trial Rows'!B152,'Trial Rows'!$C$2:$C$201,'Trial Rows'!C152,'Trial Rows'!$F$2:$F$201,'Trial Rows'!F152,'Trial Rows'!$G$2:$G$201,'Trial Rows'!G152,'Trial Rows'!$Y$2:$Y$201,'Trial Rows'!Y152,'Trial Rows'!$I$2:$I$201,3)+SUMIFS('Trial Rows'!$N$2:$N$201,'Trial Rows'!$B$2:$B$201,'Trial Rows'!B152,'Trial Rows'!$C$2:$C$201,'Trial Rows'!C152,'Trial Rows'!$F$2:$F$201,'Trial Rows'!F152,'Trial Rows'!$G$2:$G$201,'Trial Rows'!G152,'Trial Rows'!$Y$2:$Y$201,'Trial Rows'!Y152,'Trial Rows'!$I$2:$I$201,4),"")</x:f>
      </x:c>
      <x:c r="S152" s="2" t="n">
        <x:f>IF(AND(B152=1,COUNTIFS('Trial Rows'!$C$2:C152,'Trial Rows'!C152,'Trial Rows'!$F$2:F152,Summary!$B$5,'Trial Rows'!$Y$2:Y152,Summary!$B$4)=1),1,0)</x:f>
        <x:v>0</x:v>
      </x:c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 t="str">
        <x:f>IF('Trial Rows'!A153="","",'Trial Rows'!F153&amp;"|"&amp;'Trial Rows'!B153&amp;"|"&amp;'Trial Rows'!C153&amp;"|"&amp;'Trial Rows'!I153)</x:f>
      </x:c>
      <x:c r="B153" s="2" t="n">
        <x:f>IF(AND('Trial Rows'!A153&lt;&gt;"",'Trial Rows'!Y153=Summary!$B$4,'Trial Rows'!F153=Summary!$B$5),1,0)</x:f>
        <x:v>0</x:v>
      </x:c>
      <x:c r="C153" s="2" t="n">
        <x:f>IF(B153=1,COUNTIFS('Trial Rows'!$B$2:$B$201,'Trial Rows'!B153,'Trial Rows'!$C$2:$C$201,'Trial Rows'!C153,'Trial Rows'!$F$2:$F$201,'Trial Rows'!F153,'Trial Rows'!$I$2:$I$201,'Trial Rows'!I153,'Trial Rows'!$Y$2:$Y$201,'Trial Rows'!Y153,'Trial Rows'!$G$2:$G$201,"A"),0)</x:f>
        <x:v>0</x:v>
      </x:c>
      <x:c r="D153" s="2" t="n">
        <x:f>IF(B153=1,COUNTIFS('Trial Rows'!$B$2:$B$201,'Trial Rows'!B153,'Trial Rows'!$C$2:$C$201,'Trial Rows'!C153,'Trial Rows'!$F$2:$F$201,'Trial Rows'!F153,'Trial Rows'!$I$2:$I$201,'Trial Rows'!I153,'Trial Rows'!$Y$2:$Y$201,'Trial Rows'!Y153,'Trial Rows'!$G$2:$G$201,"B"),0)</x:f>
        <x:v>0</x:v>
      </x:c>
      <x:c r="E153" s="2" t="str">
        <x:f>IF(AND(C153=1,COUNTIFS('Trial Rows'!$B$2:$B$201,'Trial Rows'!B153,'Trial Rows'!$C$2:$C$201,'Trial Rows'!C153,'Trial Rows'!$F$2:$F$201,'Trial Rows'!F153,'Trial Rows'!$I$2:$I$201,'Trial Rows'!I153,'Trial Rows'!$Y$2:$Y$201,'Trial Rows'!Y153,'Trial Rows'!$G$2:$G$201,"A",'Trial Rows'!$K$2:$K$201,"&gt;=0",'Trial Rows'!$K$2:$K$201,"&lt;=4",'Trial Rows'!$K$2:$K$201,"&lt;&gt;")=1),SUMIFS('Trial Rows'!$K$2:$K$201,'Trial Rows'!$B$2:$B$201,'Trial Rows'!B153,'Trial Rows'!$C$2:$C$201,'Trial Rows'!C153,'Trial Rows'!$F$2:$F$201,'Trial Rows'!F153,'Trial Rows'!$I$2:$I$201,'Trial Rows'!I153,'Trial Rows'!$Y$2:$Y$201,'Trial Rows'!Y153,'Trial Rows'!$G$2:$G$201,"A"),"")</x:f>
      </x:c>
      <x:c r="F153" s="2" t="n">
        <x:f>IF(AND(B153=1,'Trial Rows'!G153="B",C153=1,D153=1,ISNUMBER(E153),ISNUMBER('Trial Rows'!M153),'Trial Rows'!M153&gt;=0,'Trial Rows'!M153&lt;=4,'Trial Rows'!Q153=0,'Trial Rows'!S153=0),1,0)</x:f>
        <x:v>0</x:v>
      </x:c>
      <x:c r="G153" s="2" t="n">
        <x:f>IF(F153=1,IF(E153='Trial Rows'!M153,1,0),0)</x:f>
        <x:v>0</x:v>
      </x:c>
      <x:c r="H153" s="2" t="n">
        <x:f>IF(AND(B153=1,'Trial Rows'!G153="B",C153=1,D153=1,ISNUMBER(E153),'Trial Rows'!R153=1,'Trial Rows'!Q153=0,'Trial Rows'!S153=0,ISNUMBER('Trial Rows'!L153),'Trial Rows'!L153&gt;=0,'Trial Rows'!L153&lt;=4),1,0)</x:f>
        <x:v>0</x:v>
      </x:c>
      <x:c r="I153" s="2" t="n">
        <x:f>IF(H153=1,IF(E153='Trial Rows'!L153,1,0),0)</x:f>
        <x:v>0</x:v>
      </x:c>
      <x:c r="J153" s="2" t="n">
        <x:f>IF(AND(B153=1,'Trial Rows'!G153="B",'Trial Rows'!P153&gt;0),1,0)</x:f>
        <x:v>0</x:v>
      </x:c>
      <x:c r="K153" s="2" t="n">
        <x:f>IF(AND(B153=1,'Trial Rows'!G153="B",'Trial Rows'!Q153=1),1,0)</x:f>
        <x:v>0</x:v>
      </x:c>
      <x:c r="L153" s="2" t="n">
        <x:f>IF(AND(B153=1,'Trial Rows'!G153="B",'Trial Rows'!R153=1,'Trial Rows'!Q153=0,'Trial Rows'!S153=0),1,0)</x:f>
        <x:v>0</x:v>
      </x:c>
      <x:c r="M153" s="2" t="n">
        <x:f>IF(AND(B153=1,'Trial Rows'!G153="B"),1,0)</x:f>
        <x:v>0</x:v>
      </x:c>
      <x:c r="N153" s="2" t="n">
        <x:f>IF(AND(B153=1,'Trial Rows'!I153=1,COUNTIFS('Trial Rows'!$B$2:$B$201,'Trial Rows'!B153,'Trial Rows'!$C$2:$C$201,'Trial Rows'!C153,'Trial Rows'!$F$2:$F$201,'Trial Rows'!F153,'Trial Rows'!$G$2:$G$201,'Trial Rows'!G153,'Trial Rows'!$Y$2:$Y$201,'Trial Rows'!Y153)=4,COUNTIFS('Trial Rows'!$B$2:$B$201,'Trial Rows'!B153,'Trial Rows'!$C$2:$C$201,'Trial Rows'!C153,'Trial Rows'!$F$2:$F$201,'Trial Rows'!F153,'Trial Rows'!$G$2:$G$201,'Trial Rows'!G153,'Trial Rows'!$Y$2:$Y$201,'Trial Rows'!Y153,'Trial Rows'!$I$2:$I$201,1)=1,COUNTIFS('Trial Rows'!$B$2:$B$201,'Trial Rows'!B153,'Trial Rows'!$C$2:$C$201,'Trial Rows'!C153,'Trial Rows'!$F$2:$F$201,'Trial Rows'!F153,'Trial Rows'!$G$2:$G$201,'Trial Rows'!G153,'Trial Rows'!$Y$2:$Y$201,'Trial Rows'!Y153,'Trial Rows'!$I$2:$I$201,2)=1,COUNTIFS('Trial Rows'!$B$2:$B$201,'Trial Rows'!B153,'Trial Rows'!$C$2:$C$201,'Trial Rows'!C153,'Trial Rows'!$F$2:$F$201,'Trial Rows'!F153,'Trial Rows'!$G$2:$G$201,'Trial Rows'!G153,'Trial Rows'!$Y$2:$Y$201,'Trial Rows'!Y153,'Trial Rows'!$I$2:$I$201,3)=1,COUNTIFS('Trial Rows'!$B$2:$B$201,'Trial Rows'!B153,'Trial Rows'!$C$2:$C$201,'Trial Rows'!C153,'Trial Rows'!$F$2:$F$201,'Trial Rows'!F153,'Trial Rows'!$G$2:$G$201,'Trial Rows'!G153,'Trial Rows'!$Y$2:$Y$201,'Trial Rows'!Y153,'Trial Rows'!$I$2:$I$201,4)=1,COUNTIFS('Trial Rows'!$B$2:$B$201,'Trial Rows'!B153,'Trial Rows'!$C$2:$C$201,'Trial Rows'!C153,'Trial Rows'!$F$2:$F$201,'Trial Rows'!F153,'Trial Rows'!$G$2:$G$201,'Trial Rows'!G153,'Trial Rows'!$Y$2:$Y$201,'Trial Rows'!Y153,'Trial Rows'!$W$2:$W$201,"&lt;&gt;")=4,ISNUMBER('Trial Rows'!U153),COUNTIFS('Trial Rows'!$B$2:$B$201,'Trial Rows'!B153,'Trial Rows'!$C$2:$C$201,'Trial Rows'!C153,'Trial Rows'!$F$2:$F$201,'Trial Rows'!F153,'Trial Rows'!$G$2:$G$201,'Trial Rows'!G153,'Trial Rows'!$Y$2:$Y$201,'Trial Rows'!Y153,'Trial Rows'!$U$2:$U$201,'Trial Rows'!U153)=4,'Trial Rows'!U153&gt;=0),1,0)</x:f>
        <x:v>0</x:v>
      </x:c>
      <x:c r="O153" s="2" t="str">
        <x:f>IF(N153=1,'Trial Rows'!U153/1000,"")</x:f>
      </x:c>
      <x:c r="P153" s="2" t="str">
        <x:f>IF(AND(N153=1,'Trial Rows'!G153="A"),O153,"")</x:f>
      </x:c>
      <x:c r="Q153" s="2" t="str">
        <x:f>IF(AND(N153=1,'Trial Rows'!G153="B"),O153,"")</x:f>
      </x:c>
      <x:c r="R153" s="2" t="str">
        <x:f>IF(AND(N153=1,COUNTIFS('Trial Rows'!$B$2:$B$201,'Trial Rows'!B153,'Trial Rows'!$C$2:$C$201,'Trial Rows'!C153,'Trial Rows'!$F$2:$F$201,'Trial Rows'!F153,'Trial Rows'!$G$2:$G$201,'Trial Rows'!G153,'Trial Rows'!$Y$2:$Y$201,'Trial Rows'!Y153,'Trial Rows'!$N$2:$N$201,"&gt;=0",'Trial Rows'!$N$2:$N$201,"&lt;=4",'Trial Rows'!$N$2:$N$201,"&lt;&gt;")=4),SUMIFS('Trial Rows'!$N$2:$N$201,'Trial Rows'!$B$2:$B$201,'Trial Rows'!B153,'Trial Rows'!$C$2:$C$201,'Trial Rows'!C153,'Trial Rows'!$F$2:$F$201,'Trial Rows'!F153,'Trial Rows'!$G$2:$G$201,'Trial Rows'!G153,'Trial Rows'!$Y$2:$Y$201,'Trial Rows'!Y153,'Trial Rows'!$I$2:$I$201,1)+4-SUMIFS('Trial Rows'!$N$2:$N$201,'Trial Rows'!$B$2:$B$201,'Trial Rows'!B153,'Trial Rows'!$C$2:$C$201,'Trial Rows'!C153,'Trial Rows'!$F$2:$F$201,'Trial Rows'!F153,'Trial Rows'!$G$2:$G$201,'Trial Rows'!G153,'Trial Rows'!$Y$2:$Y$201,'Trial Rows'!Y153,'Trial Rows'!$I$2:$I$201,2)+4-SUMIFS('Trial Rows'!$N$2:$N$201,'Trial Rows'!$B$2:$B$201,'Trial Rows'!B153,'Trial Rows'!$C$2:$C$201,'Trial Rows'!C153,'Trial Rows'!$F$2:$F$201,'Trial Rows'!F153,'Trial Rows'!$G$2:$G$201,'Trial Rows'!G153,'Trial Rows'!$Y$2:$Y$201,'Trial Rows'!Y153,'Trial Rows'!$I$2:$I$201,3)+SUMIFS('Trial Rows'!$N$2:$N$201,'Trial Rows'!$B$2:$B$201,'Trial Rows'!B153,'Trial Rows'!$C$2:$C$201,'Trial Rows'!C153,'Trial Rows'!$F$2:$F$201,'Trial Rows'!F153,'Trial Rows'!$G$2:$G$201,'Trial Rows'!G153,'Trial Rows'!$Y$2:$Y$201,'Trial Rows'!Y153,'Trial Rows'!$I$2:$I$201,4),"")</x:f>
      </x:c>
      <x:c r="S153" s="2" t="n">
        <x:f>IF(AND(B153=1,COUNTIFS('Trial Rows'!$C$2:C153,'Trial Rows'!C153,'Trial Rows'!$F$2:F153,Summary!$B$5,'Trial Rows'!$Y$2:Y153,Summary!$B$4)=1),1,0)</x:f>
        <x:v>0</x:v>
      </x:c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 t="str">
        <x:f>IF('Trial Rows'!A154="","",'Trial Rows'!F154&amp;"|"&amp;'Trial Rows'!B154&amp;"|"&amp;'Trial Rows'!C154&amp;"|"&amp;'Trial Rows'!I154)</x:f>
      </x:c>
      <x:c r="B154" s="2" t="n">
        <x:f>IF(AND('Trial Rows'!A154&lt;&gt;"",'Trial Rows'!Y154=Summary!$B$4,'Trial Rows'!F154=Summary!$B$5),1,0)</x:f>
        <x:v>0</x:v>
      </x:c>
      <x:c r="C154" s="2" t="n">
        <x:f>IF(B154=1,COUNTIFS('Trial Rows'!$B$2:$B$201,'Trial Rows'!B154,'Trial Rows'!$C$2:$C$201,'Trial Rows'!C154,'Trial Rows'!$F$2:$F$201,'Trial Rows'!F154,'Trial Rows'!$I$2:$I$201,'Trial Rows'!I154,'Trial Rows'!$Y$2:$Y$201,'Trial Rows'!Y154,'Trial Rows'!$G$2:$G$201,"A"),0)</x:f>
        <x:v>0</x:v>
      </x:c>
      <x:c r="D154" s="2" t="n">
        <x:f>IF(B154=1,COUNTIFS('Trial Rows'!$B$2:$B$201,'Trial Rows'!B154,'Trial Rows'!$C$2:$C$201,'Trial Rows'!C154,'Trial Rows'!$F$2:$F$201,'Trial Rows'!F154,'Trial Rows'!$I$2:$I$201,'Trial Rows'!I154,'Trial Rows'!$Y$2:$Y$201,'Trial Rows'!Y154,'Trial Rows'!$G$2:$G$201,"B"),0)</x:f>
        <x:v>0</x:v>
      </x:c>
      <x:c r="E154" s="2" t="str">
        <x:f>IF(AND(C154=1,COUNTIFS('Trial Rows'!$B$2:$B$201,'Trial Rows'!B154,'Trial Rows'!$C$2:$C$201,'Trial Rows'!C154,'Trial Rows'!$F$2:$F$201,'Trial Rows'!F154,'Trial Rows'!$I$2:$I$201,'Trial Rows'!I154,'Trial Rows'!$Y$2:$Y$201,'Trial Rows'!Y154,'Trial Rows'!$G$2:$G$201,"A",'Trial Rows'!$K$2:$K$201,"&gt;=0",'Trial Rows'!$K$2:$K$201,"&lt;=4",'Trial Rows'!$K$2:$K$201,"&lt;&gt;")=1),SUMIFS('Trial Rows'!$K$2:$K$201,'Trial Rows'!$B$2:$B$201,'Trial Rows'!B154,'Trial Rows'!$C$2:$C$201,'Trial Rows'!C154,'Trial Rows'!$F$2:$F$201,'Trial Rows'!F154,'Trial Rows'!$I$2:$I$201,'Trial Rows'!I154,'Trial Rows'!$Y$2:$Y$201,'Trial Rows'!Y154,'Trial Rows'!$G$2:$G$201,"A"),"")</x:f>
      </x:c>
      <x:c r="F154" s="2" t="n">
        <x:f>IF(AND(B154=1,'Trial Rows'!G154="B",C154=1,D154=1,ISNUMBER(E154),ISNUMBER('Trial Rows'!M154),'Trial Rows'!M154&gt;=0,'Trial Rows'!M154&lt;=4,'Trial Rows'!Q154=0,'Trial Rows'!S154=0),1,0)</x:f>
        <x:v>0</x:v>
      </x:c>
      <x:c r="G154" s="2" t="n">
        <x:f>IF(F154=1,IF(E154='Trial Rows'!M154,1,0),0)</x:f>
        <x:v>0</x:v>
      </x:c>
      <x:c r="H154" s="2" t="n">
        <x:f>IF(AND(B154=1,'Trial Rows'!G154="B",C154=1,D154=1,ISNUMBER(E154),'Trial Rows'!R154=1,'Trial Rows'!Q154=0,'Trial Rows'!S154=0,ISNUMBER('Trial Rows'!L154),'Trial Rows'!L154&gt;=0,'Trial Rows'!L154&lt;=4),1,0)</x:f>
        <x:v>0</x:v>
      </x:c>
      <x:c r="I154" s="2" t="n">
        <x:f>IF(H154=1,IF(E154='Trial Rows'!L154,1,0),0)</x:f>
        <x:v>0</x:v>
      </x:c>
      <x:c r="J154" s="2" t="n">
        <x:f>IF(AND(B154=1,'Trial Rows'!G154="B",'Trial Rows'!P154&gt;0),1,0)</x:f>
        <x:v>0</x:v>
      </x:c>
      <x:c r="K154" s="2" t="n">
        <x:f>IF(AND(B154=1,'Trial Rows'!G154="B",'Trial Rows'!Q154=1),1,0)</x:f>
        <x:v>0</x:v>
      </x:c>
      <x:c r="L154" s="2" t="n">
        <x:f>IF(AND(B154=1,'Trial Rows'!G154="B",'Trial Rows'!R154=1,'Trial Rows'!Q154=0,'Trial Rows'!S154=0),1,0)</x:f>
        <x:v>0</x:v>
      </x:c>
      <x:c r="M154" s="2" t="n">
        <x:f>IF(AND(B154=1,'Trial Rows'!G154="B"),1,0)</x:f>
        <x:v>0</x:v>
      </x:c>
      <x:c r="N154" s="2" t="n">
        <x:f>IF(AND(B154=1,'Trial Rows'!I154=1,COUNTIFS('Trial Rows'!$B$2:$B$201,'Trial Rows'!B154,'Trial Rows'!$C$2:$C$201,'Trial Rows'!C154,'Trial Rows'!$F$2:$F$201,'Trial Rows'!F154,'Trial Rows'!$G$2:$G$201,'Trial Rows'!G154,'Trial Rows'!$Y$2:$Y$201,'Trial Rows'!Y154)=4,COUNTIFS('Trial Rows'!$B$2:$B$201,'Trial Rows'!B154,'Trial Rows'!$C$2:$C$201,'Trial Rows'!C154,'Trial Rows'!$F$2:$F$201,'Trial Rows'!F154,'Trial Rows'!$G$2:$G$201,'Trial Rows'!G154,'Trial Rows'!$Y$2:$Y$201,'Trial Rows'!Y154,'Trial Rows'!$I$2:$I$201,1)=1,COUNTIFS('Trial Rows'!$B$2:$B$201,'Trial Rows'!B154,'Trial Rows'!$C$2:$C$201,'Trial Rows'!C154,'Trial Rows'!$F$2:$F$201,'Trial Rows'!F154,'Trial Rows'!$G$2:$G$201,'Trial Rows'!G154,'Trial Rows'!$Y$2:$Y$201,'Trial Rows'!Y154,'Trial Rows'!$I$2:$I$201,2)=1,COUNTIFS('Trial Rows'!$B$2:$B$201,'Trial Rows'!B154,'Trial Rows'!$C$2:$C$201,'Trial Rows'!C154,'Trial Rows'!$F$2:$F$201,'Trial Rows'!F154,'Trial Rows'!$G$2:$G$201,'Trial Rows'!G154,'Trial Rows'!$Y$2:$Y$201,'Trial Rows'!Y154,'Trial Rows'!$I$2:$I$201,3)=1,COUNTIFS('Trial Rows'!$B$2:$B$201,'Trial Rows'!B154,'Trial Rows'!$C$2:$C$201,'Trial Rows'!C154,'Trial Rows'!$F$2:$F$201,'Trial Rows'!F154,'Trial Rows'!$G$2:$G$201,'Trial Rows'!G154,'Trial Rows'!$Y$2:$Y$201,'Trial Rows'!Y154,'Trial Rows'!$I$2:$I$201,4)=1,COUNTIFS('Trial Rows'!$B$2:$B$201,'Trial Rows'!B154,'Trial Rows'!$C$2:$C$201,'Trial Rows'!C154,'Trial Rows'!$F$2:$F$201,'Trial Rows'!F154,'Trial Rows'!$G$2:$G$201,'Trial Rows'!G154,'Trial Rows'!$Y$2:$Y$201,'Trial Rows'!Y154,'Trial Rows'!$W$2:$W$201,"&lt;&gt;")=4,ISNUMBER('Trial Rows'!U154),COUNTIFS('Trial Rows'!$B$2:$B$201,'Trial Rows'!B154,'Trial Rows'!$C$2:$C$201,'Trial Rows'!C154,'Trial Rows'!$F$2:$F$201,'Trial Rows'!F154,'Trial Rows'!$G$2:$G$201,'Trial Rows'!G154,'Trial Rows'!$Y$2:$Y$201,'Trial Rows'!Y154,'Trial Rows'!$U$2:$U$201,'Trial Rows'!U154)=4,'Trial Rows'!U154&gt;=0),1,0)</x:f>
        <x:v>0</x:v>
      </x:c>
      <x:c r="O154" s="2" t="str">
        <x:f>IF(N154=1,'Trial Rows'!U154/1000,"")</x:f>
      </x:c>
      <x:c r="P154" s="2" t="str">
        <x:f>IF(AND(N154=1,'Trial Rows'!G154="A"),O154,"")</x:f>
      </x:c>
      <x:c r="Q154" s="2" t="str">
        <x:f>IF(AND(N154=1,'Trial Rows'!G154="B"),O154,"")</x:f>
      </x:c>
      <x:c r="R154" s="2" t="str">
        <x:f>IF(AND(N154=1,COUNTIFS('Trial Rows'!$B$2:$B$201,'Trial Rows'!B154,'Trial Rows'!$C$2:$C$201,'Trial Rows'!C154,'Trial Rows'!$F$2:$F$201,'Trial Rows'!F154,'Trial Rows'!$G$2:$G$201,'Trial Rows'!G154,'Trial Rows'!$Y$2:$Y$201,'Trial Rows'!Y154,'Trial Rows'!$N$2:$N$201,"&gt;=0",'Trial Rows'!$N$2:$N$201,"&lt;=4",'Trial Rows'!$N$2:$N$201,"&lt;&gt;")=4),SUMIFS('Trial Rows'!$N$2:$N$201,'Trial Rows'!$B$2:$B$201,'Trial Rows'!B154,'Trial Rows'!$C$2:$C$201,'Trial Rows'!C154,'Trial Rows'!$F$2:$F$201,'Trial Rows'!F154,'Trial Rows'!$G$2:$G$201,'Trial Rows'!G154,'Trial Rows'!$Y$2:$Y$201,'Trial Rows'!Y154,'Trial Rows'!$I$2:$I$201,1)+4-SUMIFS('Trial Rows'!$N$2:$N$201,'Trial Rows'!$B$2:$B$201,'Trial Rows'!B154,'Trial Rows'!$C$2:$C$201,'Trial Rows'!C154,'Trial Rows'!$F$2:$F$201,'Trial Rows'!F154,'Trial Rows'!$G$2:$G$201,'Trial Rows'!G154,'Trial Rows'!$Y$2:$Y$201,'Trial Rows'!Y154,'Trial Rows'!$I$2:$I$201,2)+4-SUMIFS('Trial Rows'!$N$2:$N$201,'Trial Rows'!$B$2:$B$201,'Trial Rows'!B154,'Trial Rows'!$C$2:$C$201,'Trial Rows'!C154,'Trial Rows'!$F$2:$F$201,'Trial Rows'!F154,'Trial Rows'!$G$2:$G$201,'Trial Rows'!G154,'Trial Rows'!$Y$2:$Y$201,'Trial Rows'!Y154,'Trial Rows'!$I$2:$I$201,3)+SUMIFS('Trial Rows'!$N$2:$N$201,'Trial Rows'!$B$2:$B$201,'Trial Rows'!B154,'Trial Rows'!$C$2:$C$201,'Trial Rows'!C154,'Trial Rows'!$F$2:$F$201,'Trial Rows'!F154,'Trial Rows'!$G$2:$G$201,'Trial Rows'!G154,'Trial Rows'!$Y$2:$Y$201,'Trial Rows'!Y154,'Trial Rows'!$I$2:$I$201,4),"")</x:f>
      </x:c>
      <x:c r="S154" s="2" t="n">
        <x:f>IF(AND(B154=1,COUNTIFS('Trial Rows'!$C$2:C154,'Trial Rows'!C154,'Trial Rows'!$F$2:F154,Summary!$B$5,'Trial Rows'!$Y$2:Y154,Summary!$B$4)=1),1,0)</x:f>
        <x:v>0</x:v>
      </x:c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 t="str">
        <x:f>IF('Trial Rows'!A155="","",'Trial Rows'!F155&amp;"|"&amp;'Trial Rows'!B155&amp;"|"&amp;'Trial Rows'!C155&amp;"|"&amp;'Trial Rows'!I155)</x:f>
      </x:c>
      <x:c r="B155" s="2" t="n">
        <x:f>IF(AND('Trial Rows'!A155&lt;&gt;"",'Trial Rows'!Y155=Summary!$B$4,'Trial Rows'!F155=Summary!$B$5),1,0)</x:f>
        <x:v>0</x:v>
      </x:c>
      <x:c r="C155" s="2" t="n">
        <x:f>IF(B155=1,COUNTIFS('Trial Rows'!$B$2:$B$201,'Trial Rows'!B155,'Trial Rows'!$C$2:$C$201,'Trial Rows'!C155,'Trial Rows'!$F$2:$F$201,'Trial Rows'!F155,'Trial Rows'!$I$2:$I$201,'Trial Rows'!I155,'Trial Rows'!$Y$2:$Y$201,'Trial Rows'!Y155,'Trial Rows'!$G$2:$G$201,"A"),0)</x:f>
        <x:v>0</x:v>
      </x:c>
      <x:c r="D155" s="2" t="n">
        <x:f>IF(B155=1,COUNTIFS('Trial Rows'!$B$2:$B$201,'Trial Rows'!B155,'Trial Rows'!$C$2:$C$201,'Trial Rows'!C155,'Trial Rows'!$F$2:$F$201,'Trial Rows'!F155,'Trial Rows'!$I$2:$I$201,'Trial Rows'!I155,'Trial Rows'!$Y$2:$Y$201,'Trial Rows'!Y155,'Trial Rows'!$G$2:$G$201,"B"),0)</x:f>
        <x:v>0</x:v>
      </x:c>
      <x:c r="E155" s="2" t="str">
        <x:f>IF(AND(C155=1,COUNTIFS('Trial Rows'!$B$2:$B$201,'Trial Rows'!B155,'Trial Rows'!$C$2:$C$201,'Trial Rows'!C155,'Trial Rows'!$F$2:$F$201,'Trial Rows'!F155,'Trial Rows'!$I$2:$I$201,'Trial Rows'!I155,'Trial Rows'!$Y$2:$Y$201,'Trial Rows'!Y155,'Trial Rows'!$G$2:$G$201,"A",'Trial Rows'!$K$2:$K$201,"&gt;=0",'Trial Rows'!$K$2:$K$201,"&lt;=4",'Trial Rows'!$K$2:$K$201,"&lt;&gt;")=1),SUMIFS('Trial Rows'!$K$2:$K$201,'Trial Rows'!$B$2:$B$201,'Trial Rows'!B155,'Trial Rows'!$C$2:$C$201,'Trial Rows'!C155,'Trial Rows'!$F$2:$F$201,'Trial Rows'!F155,'Trial Rows'!$I$2:$I$201,'Trial Rows'!I155,'Trial Rows'!$Y$2:$Y$201,'Trial Rows'!Y155,'Trial Rows'!$G$2:$G$201,"A"),"")</x:f>
      </x:c>
      <x:c r="F155" s="2" t="n">
        <x:f>IF(AND(B155=1,'Trial Rows'!G155="B",C155=1,D155=1,ISNUMBER(E155),ISNUMBER('Trial Rows'!M155),'Trial Rows'!M155&gt;=0,'Trial Rows'!M155&lt;=4,'Trial Rows'!Q155=0,'Trial Rows'!S155=0),1,0)</x:f>
        <x:v>0</x:v>
      </x:c>
      <x:c r="G155" s="2" t="n">
        <x:f>IF(F155=1,IF(E155='Trial Rows'!M155,1,0),0)</x:f>
        <x:v>0</x:v>
      </x:c>
      <x:c r="H155" s="2" t="n">
        <x:f>IF(AND(B155=1,'Trial Rows'!G155="B",C155=1,D155=1,ISNUMBER(E155),'Trial Rows'!R155=1,'Trial Rows'!Q155=0,'Trial Rows'!S155=0,ISNUMBER('Trial Rows'!L155),'Trial Rows'!L155&gt;=0,'Trial Rows'!L155&lt;=4),1,0)</x:f>
        <x:v>0</x:v>
      </x:c>
      <x:c r="I155" s="2" t="n">
        <x:f>IF(H155=1,IF(E155='Trial Rows'!L155,1,0),0)</x:f>
        <x:v>0</x:v>
      </x:c>
      <x:c r="J155" s="2" t="n">
        <x:f>IF(AND(B155=1,'Trial Rows'!G155="B",'Trial Rows'!P155&gt;0),1,0)</x:f>
        <x:v>0</x:v>
      </x:c>
      <x:c r="K155" s="2" t="n">
        <x:f>IF(AND(B155=1,'Trial Rows'!G155="B",'Trial Rows'!Q155=1),1,0)</x:f>
        <x:v>0</x:v>
      </x:c>
      <x:c r="L155" s="2" t="n">
        <x:f>IF(AND(B155=1,'Trial Rows'!G155="B",'Trial Rows'!R155=1,'Trial Rows'!Q155=0,'Trial Rows'!S155=0),1,0)</x:f>
        <x:v>0</x:v>
      </x:c>
      <x:c r="M155" s="2" t="n">
        <x:f>IF(AND(B155=1,'Trial Rows'!G155="B"),1,0)</x:f>
        <x:v>0</x:v>
      </x:c>
      <x:c r="N155" s="2" t="n">
        <x:f>IF(AND(B155=1,'Trial Rows'!I155=1,COUNTIFS('Trial Rows'!$B$2:$B$201,'Trial Rows'!B155,'Trial Rows'!$C$2:$C$201,'Trial Rows'!C155,'Trial Rows'!$F$2:$F$201,'Trial Rows'!F155,'Trial Rows'!$G$2:$G$201,'Trial Rows'!G155,'Trial Rows'!$Y$2:$Y$201,'Trial Rows'!Y155)=4,COUNTIFS('Trial Rows'!$B$2:$B$201,'Trial Rows'!B155,'Trial Rows'!$C$2:$C$201,'Trial Rows'!C155,'Trial Rows'!$F$2:$F$201,'Trial Rows'!F155,'Trial Rows'!$G$2:$G$201,'Trial Rows'!G155,'Trial Rows'!$Y$2:$Y$201,'Trial Rows'!Y155,'Trial Rows'!$I$2:$I$201,1)=1,COUNTIFS('Trial Rows'!$B$2:$B$201,'Trial Rows'!B155,'Trial Rows'!$C$2:$C$201,'Trial Rows'!C155,'Trial Rows'!$F$2:$F$201,'Trial Rows'!F155,'Trial Rows'!$G$2:$G$201,'Trial Rows'!G155,'Trial Rows'!$Y$2:$Y$201,'Trial Rows'!Y155,'Trial Rows'!$I$2:$I$201,2)=1,COUNTIFS('Trial Rows'!$B$2:$B$201,'Trial Rows'!B155,'Trial Rows'!$C$2:$C$201,'Trial Rows'!C155,'Trial Rows'!$F$2:$F$201,'Trial Rows'!F155,'Trial Rows'!$G$2:$G$201,'Trial Rows'!G155,'Trial Rows'!$Y$2:$Y$201,'Trial Rows'!Y155,'Trial Rows'!$I$2:$I$201,3)=1,COUNTIFS('Trial Rows'!$B$2:$B$201,'Trial Rows'!B155,'Trial Rows'!$C$2:$C$201,'Trial Rows'!C155,'Trial Rows'!$F$2:$F$201,'Trial Rows'!F155,'Trial Rows'!$G$2:$G$201,'Trial Rows'!G155,'Trial Rows'!$Y$2:$Y$201,'Trial Rows'!Y155,'Trial Rows'!$I$2:$I$201,4)=1,COUNTIFS('Trial Rows'!$B$2:$B$201,'Trial Rows'!B155,'Trial Rows'!$C$2:$C$201,'Trial Rows'!C155,'Trial Rows'!$F$2:$F$201,'Trial Rows'!F155,'Trial Rows'!$G$2:$G$201,'Trial Rows'!G155,'Trial Rows'!$Y$2:$Y$201,'Trial Rows'!Y155,'Trial Rows'!$W$2:$W$201,"&lt;&gt;")=4,ISNUMBER('Trial Rows'!U155),COUNTIFS('Trial Rows'!$B$2:$B$201,'Trial Rows'!B155,'Trial Rows'!$C$2:$C$201,'Trial Rows'!C155,'Trial Rows'!$F$2:$F$201,'Trial Rows'!F155,'Trial Rows'!$G$2:$G$201,'Trial Rows'!G155,'Trial Rows'!$Y$2:$Y$201,'Trial Rows'!Y155,'Trial Rows'!$U$2:$U$201,'Trial Rows'!U155)=4,'Trial Rows'!U155&gt;=0),1,0)</x:f>
        <x:v>0</x:v>
      </x:c>
      <x:c r="O155" s="2" t="str">
        <x:f>IF(N155=1,'Trial Rows'!U155/1000,"")</x:f>
      </x:c>
      <x:c r="P155" s="2" t="str">
        <x:f>IF(AND(N155=1,'Trial Rows'!G155="A"),O155,"")</x:f>
      </x:c>
      <x:c r="Q155" s="2" t="str">
        <x:f>IF(AND(N155=1,'Trial Rows'!G155="B"),O155,"")</x:f>
      </x:c>
      <x:c r="R155" s="2" t="str">
        <x:f>IF(AND(N155=1,COUNTIFS('Trial Rows'!$B$2:$B$201,'Trial Rows'!B155,'Trial Rows'!$C$2:$C$201,'Trial Rows'!C155,'Trial Rows'!$F$2:$F$201,'Trial Rows'!F155,'Trial Rows'!$G$2:$G$201,'Trial Rows'!G155,'Trial Rows'!$Y$2:$Y$201,'Trial Rows'!Y155,'Trial Rows'!$N$2:$N$201,"&gt;=0",'Trial Rows'!$N$2:$N$201,"&lt;=4",'Trial Rows'!$N$2:$N$201,"&lt;&gt;")=4),SUMIFS('Trial Rows'!$N$2:$N$201,'Trial Rows'!$B$2:$B$201,'Trial Rows'!B155,'Trial Rows'!$C$2:$C$201,'Trial Rows'!C155,'Trial Rows'!$F$2:$F$201,'Trial Rows'!F155,'Trial Rows'!$G$2:$G$201,'Trial Rows'!G155,'Trial Rows'!$Y$2:$Y$201,'Trial Rows'!Y155,'Trial Rows'!$I$2:$I$201,1)+4-SUMIFS('Trial Rows'!$N$2:$N$201,'Trial Rows'!$B$2:$B$201,'Trial Rows'!B155,'Trial Rows'!$C$2:$C$201,'Trial Rows'!C155,'Trial Rows'!$F$2:$F$201,'Trial Rows'!F155,'Trial Rows'!$G$2:$G$201,'Trial Rows'!G155,'Trial Rows'!$Y$2:$Y$201,'Trial Rows'!Y155,'Trial Rows'!$I$2:$I$201,2)+4-SUMIFS('Trial Rows'!$N$2:$N$201,'Trial Rows'!$B$2:$B$201,'Trial Rows'!B155,'Trial Rows'!$C$2:$C$201,'Trial Rows'!C155,'Trial Rows'!$F$2:$F$201,'Trial Rows'!F155,'Trial Rows'!$G$2:$G$201,'Trial Rows'!G155,'Trial Rows'!$Y$2:$Y$201,'Trial Rows'!Y155,'Trial Rows'!$I$2:$I$201,3)+SUMIFS('Trial Rows'!$N$2:$N$201,'Trial Rows'!$B$2:$B$201,'Trial Rows'!B155,'Trial Rows'!$C$2:$C$201,'Trial Rows'!C155,'Trial Rows'!$F$2:$F$201,'Trial Rows'!F155,'Trial Rows'!$G$2:$G$201,'Trial Rows'!G155,'Trial Rows'!$Y$2:$Y$201,'Trial Rows'!Y155,'Trial Rows'!$I$2:$I$201,4),"")</x:f>
      </x:c>
      <x:c r="S155" s="2" t="n">
        <x:f>IF(AND(B155=1,COUNTIFS('Trial Rows'!$C$2:C155,'Trial Rows'!C155,'Trial Rows'!$F$2:F155,Summary!$B$5,'Trial Rows'!$Y$2:Y155,Summary!$B$4)=1),1,0)</x:f>
        <x:v>0</x:v>
      </x:c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 t="str">
        <x:f>IF('Trial Rows'!A156="","",'Trial Rows'!F156&amp;"|"&amp;'Trial Rows'!B156&amp;"|"&amp;'Trial Rows'!C156&amp;"|"&amp;'Trial Rows'!I156)</x:f>
      </x:c>
      <x:c r="B156" s="2" t="n">
        <x:f>IF(AND('Trial Rows'!A156&lt;&gt;"",'Trial Rows'!Y156=Summary!$B$4,'Trial Rows'!F156=Summary!$B$5),1,0)</x:f>
        <x:v>0</x:v>
      </x:c>
      <x:c r="C156" s="2" t="n">
        <x:f>IF(B156=1,COUNTIFS('Trial Rows'!$B$2:$B$201,'Trial Rows'!B156,'Trial Rows'!$C$2:$C$201,'Trial Rows'!C156,'Trial Rows'!$F$2:$F$201,'Trial Rows'!F156,'Trial Rows'!$I$2:$I$201,'Trial Rows'!I156,'Trial Rows'!$Y$2:$Y$201,'Trial Rows'!Y156,'Trial Rows'!$G$2:$G$201,"A"),0)</x:f>
        <x:v>0</x:v>
      </x:c>
      <x:c r="D156" s="2" t="n">
        <x:f>IF(B156=1,COUNTIFS('Trial Rows'!$B$2:$B$201,'Trial Rows'!B156,'Trial Rows'!$C$2:$C$201,'Trial Rows'!C156,'Trial Rows'!$F$2:$F$201,'Trial Rows'!F156,'Trial Rows'!$I$2:$I$201,'Trial Rows'!I156,'Trial Rows'!$Y$2:$Y$201,'Trial Rows'!Y156,'Trial Rows'!$G$2:$G$201,"B"),0)</x:f>
        <x:v>0</x:v>
      </x:c>
      <x:c r="E156" s="2" t="str">
        <x:f>IF(AND(C156=1,COUNTIFS('Trial Rows'!$B$2:$B$201,'Trial Rows'!B156,'Trial Rows'!$C$2:$C$201,'Trial Rows'!C156,'Trial Rows'!$F$2:$F$201,'Trial Rows'!F156,'Trial Rows'!$I$2:$I$201,'Trial Rows'!I156,'Trial Rows'!$Y$2:$Y$201,'Trial Rows'!Y156,'Trial Rows'!$G$2:$G$201,"A",'Trial Rows'!$K$2:$K$201,"&gt;=0",'Trial Rows'!$K$2:$K$201,"&lt;=4",'Trial Rows'!$K$2:$K$201,"&lt;&gt;")=1),SUMIFS('Trial Rows'!$K$2:$K$201,'Trial Rows'!$B$2:$B$201,'Trial Rows'!B156,'Trial Rows'!$C$2:$C$201,'Trial Rows'!C156,'Trial Rows'!$F$2:$F$201,'Trial Rows'!F156,'Trial Rows'!$I$2:$I$201,'Trial Rows'!I156,'Trial Rows'!$Y$2:$Y$201,'Trial Rows'!Y156,'Trial Rows'!$G$2:$G$201,"A"),"")</x:f>
      </x:c>
      <x:c r="F156" s="2" t="n">
        <x:f>IF(AND(B156=1,'Trial Rows'!G156="B",C156=1,D156=1,ISNUMBER(E156),ISNUMBER('Trial Rows'!M156),'Trial Rows'!M156&gt;=0,'Trial Rows'!M156&lt;=4,'Trial Rows'!Q156=0,'Trial Rows'!S156=0),1,0)</x:f>
        <x:v>0</x:v>
      </x:c>
      <x:c r="G156" s="2" t="n">
        <x:f>IF(F156=1,IF(E156='Trial Rows'!M156,1,0),0)</x:f>
        <x:v>0</x:v>
      </x:c>
      <x:c r="H156" s="2" t="n">
        <x:f>IF(AND(B156=1,'Trial Rows'!G156="B",C156=1,D156=1,ISNUMBER(E156),'Trial Rows'!R156=1,'Trial Rows'!Q156=0,'Trial Rows'!S156=0,ISNUMBER('Trial Rows'!L156),'Trial Rows'!L156&gt;=0,'Trial Rows'!L156&lt;=4),1,0)</x:f>
        <x:v>0</x:v>
      </x:c>
      <x:c r="I156" s="2" t="n">
        <x:f>IF(H156=1,IF(E156='Trial Rows'!L156,1,0),0)</x:f>
        <x:v>0</x:v>
      </x:c>
      <x:c r="J156" s="2" t="n">
        <x:f>IF(AND(B156=1,'Trial Rows'!G156="B",'Trial Rows'!P156&gt;0),1,0)</x:f>
        <x:v>0</x:v>
      </x:c>
      <x:c r="K156" s="2" t="n">
        <x:f>IF(AND(B156=1,'Trial Rows'!G156="B",'Trial Rows'!Q156=1),1,0)</x:f>
        <x:v>0</x:v>
      </x:c>
      <x:c r="L156" s="2" t="n">
        <x:f>IF(AND(B156=1,'Trial Rows'!G156="B",'Trial Rows'!R156=1,'Trial Rows'!Q156=0,'Trial Rows'!S156=0),1,0)</x:f>
        <x:v>0</x:v>
      </x:c>
      <x:c r="M156" s="2" t="n">
        <x:f>IF(AND(B156=1,'Trial Rows'!G156="B"),1,0)</x:f>
        <x:v>0</x:v>
      </x:c>
      <x:c r="N156" s="2" t="n">
        <x:f>IF(AND(B156=1,'Trial Rows'!I156=1,COUNTIFS('Trial Rows'!$B$2:$B$201,'Trial Rows'!B156,'Trial Rows'!$C$2:$C$201,'Trial Rows'!C156,'Trial Rows'!$F$2:$F$201,'Trial Rows'!F156,'Trial Rows'!$G$2:$G$201,'Trial Rows'!G156,'Trial Rows'!$Y$2:$Y$201,'Trial Rows'!Y156)=4,COUNTIFS('Trial Rows'!$B$2:$B$201,'Trial Rows'!B156,'Trial Rows'!$C$2:$C$201,'Trial Rows'!C156,'Trial Rows'!$F$2:$F$201,'Trial Rows'!F156,'Trial Rows'!$G$2:$G$201,'Trial Rows'!G156,'Trial Rows'!$Y$2:$Y$201,'Trial Rows'!Y156,'Trial Rows'!$I$2:$I$201,1)=1,COUNTIFS('Trial Rows'!$B$2:$B$201,'Trial Rows'!B156,'Trial Rows'!$C$2:$C$201,'Trial Rows'!C156,'Trial Rows'!$F$2:$F$201,'Trial Rows'!F156,'Trial Rows'!$G$2:$G$201,'Trial Rows'!G156,'Trial Rows'!$Y$2:$Y$201,'Trial Rows'!Y156,'Trial Rows'!$I$2:$I$201,2)=1,COUNTIFS('Trial Rows'!$B$2:$B$201,'Trial Rows'!B156,'Trial Rows'!$C$2:$C$201,'Trial Rows'!C156,'Trial Rows'!$F$2:$F$201,'Trial Rows'!F156,'Trial Rows'!$G$2:$G$201,'Trial Rows'!G156,'Trial Rows'!$Y$2:$Y$201,'Trial Rows'!Y156,'Trial Rows'!$I$2:$I$201,3)=1,COUNTIFS('Trial Rows'!$B$2:$B$201,'Trial Rows'!B156,'Trial Rows'!$C$2:$C$201,'Trial Rows'!C156,'Trial Rows'!$F$2:$F$201,'Trial Rows'!F156,'Trial Rows'!$G$2:$G$201,'Trial Rows'!G156,'Trial Rows'!$Y$2:$Y$201,'Trial Rows'!Y156,'Trial Rows'!$I$2:$I$201,4)=1,COUNTIFS('Trial Rows'!$B$2:$B$201,'Trial Rows'!B156,'Trial Rows'!$C$2:$C$201,'Trial Rows'!C156,'Trial Rows'!$F$2:$F$201,'Trial Rows'!F156,'Trial Rows'!$G$2:$G$201,'Trial Rows'!G156,'Trial Rows'!$Y$2:$Y$201,'Trial Rows'!Y156,'Trial Rows'!$W$2:$W$201,"&lt;&gt;")=4,ISNUMBER('Trial Rows'!U156),COUNTIFS('Trial Rows'!$B$2:$B$201,'Trial Rows'!B156,'Trial Rows'!$C$2:$C$201,'Trial Rows'!C156,'Trial Rows'!$F$2:$F$201,'Trial Rows'!F156,'Trial Rows'!$G$2:$G$201,'Trial Rows'!G156,'Trial Rows'!$Y$2:$Y$201,'Trial Rows'!Y156,'Trial Rows'!$U$2:$U$201,'Trial Rows'!U156)=4,'Trial Rows'!U156&gt;=0),1,0)</x:f>
        <x:v>0</x:v>
      </x:c>
      <x:c r="O156" s="2" t="str">
        <x:f>IF(N156=1,'Trial Rows'!U156/1000,"")</x:f>
      </x:c>
      <x:c r="P156" s="2" t="str">
        <x:f>IF(AND(N156=1,'Trial Rows'!G156="A"),O156,"")</x:f>
      </x:c>
      <x:c r="Q156" s="2" t="str">
        <x:f>IF(AND(N156=1,'Trial Rows'!G156="B"),O156,"")</x:f>
      </x:c>
      <x:c r="R156" s="2" t="str">
        <x:f>IF(AND(N156=1,COUNTIFS('Trial Rows'!$B$2:$B$201,'Trial Rows'!B156,'Trial Rows'!$C$2:$C$201,'Trial Rows'!C156,'Trial Rows'!$F$2:$F$201,'Trial Rows'!F156,'Trial Rows'!$G$2:$G$201,'Trial Rows'!G156,'Trial Rows'!$Y$2:$Y$201,'Trial Rows'!Y156,'Trial Rows'!$N$2:$N$201,"&gt;=0",'Trial Rows'!$N$2:$N$201,"&lt;=4",'Trial Rows'!$N$2:$N$201,"&lt;&gt;")=4),SUMIFS('Trial Rows'!$N$2:$N$201,'Trial Rows'!$B$2:$B$201,'Trial Rows'!B156,'Trial Rows'!$C$2:$C$201,'Trial Rows'!C156,'Trial Rows'!$F$2:$F$201,'Trial Rows'!F156,'Trial Rows'!$G$2:$G$201,'Trial Rows'!G156,'Trial Rows'!$Y$2:$Y$201,'Trial Rows'!Y156,'Trial Rows'!$I$2:$I$201,1)+4-SUMIFS('Trial Rows'!$N$2:$N$201,'Trial Rows'!$B$2:$B$201,'Trial Rows'!B156,'Trial Rows'!$C$2:$C$201,'Trial Rows'!C156,'Trial Rows'!$F$2:$F$201,'Trial Rows'!F156,'Trial Rows'!$G$2:$G$201,'Trial Rows'!G156,'Trial Rows'!$Y$2:$Y$201,'Trial Rows'!Y156,'Trial Rows'!$I$2:$I$201,2)+4-SUMIFS('Trial Rows'!$N$2:$N$201,'Trial Rows'!$B$2:$B$201,'Trial Rows'!B156,'Trial Rows'!$C$2:$C$201,'Trial Rows'!C156,'Trial Rows'!$F$2:$F$201,'Trial Rows'!F156,'Trial Rows'!$G$2:$G$201,'Trial Rows'!G156,'Trial Rows'!$Y$2:$Y$201,'Trial Rows'!Y156,'Trial Rows'!$I$2:$I$201,3)+SUMIFS('Trial Rows'!$N$2:$N$201,'Trial Rows'!$B$2:$B$201,'Trial Rows'!B156,'Trial Rows'!$C$2:$C$201,'Trial Rows'!C156,'Trial Rows'!$F$2:$F$201,'Trial Rows'!F156,'Trial Rows'!$G$2:$G$201,'Trial Rows'!G156,'Trial Rows'!$Y$2:$Y$201,'Trial Rows'!Y156,'Trial Rows'!$I$2:$I$201,4),"")</x:f>
      </x:c>
      <x:c r="S156" s="2" t="n">
        <x:f>IF(AND(B156=1,COUNTIFS('Trial Rows'!$C$2:C156,'Trial Rows'!C156,'Trial Rows'!$F$2:F156,Summary!$B$5,'Trial Rows'!$Y$2:Y156,Summary!$B$4)=1),1,0)</x:f>
        <x:v>0</x:v>
      </x:c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 t="str">
        <x:f>IF('Trial Rows'!A157="","",'Trial Rows'!F157&amp;"|"&amp;'Trial Rows'!B157&amp;"|"&amp;'Trial Rows'!C157&amp;"|"&amp;'Trial Rows'!I157)</x:f>
      </x:c>
      <x:c r="B157" s="2" t="n">
        <x:f>IF(AND('Trial Rows'!A157&lt;&gt;"",'Trial Rows'!Y157=Summary!$B$4,'Trial Rows'!F157=Summary!$B$5),1,0)</x:f>
        <x:v>0</x:v>
      </x:c>
      <x:c r="C157" s="2" t="n">
        <x:f>IF(B157=1,COUNTIFS('Trial Rows'!$B$2:$B$201,'Trial Rows'!B157,'Trial Rows'!$C$2:$C$201,'Trial Rows'!C157,'Trial Rows'!$F$2:$F$201,'Trial Rows'!F157,'Trial Rows'!$I$2:$I$201,'Trial Rows'!I157,'Trial Rows'!$Y$2:$Y$201,'Trial Rows'!Y157,'Trial Rows'!$G$2:$G$201,"A"),0)</x:f>
        <x:v>0</x:v>
      </x:c>
      <x:c r="D157" s="2" t="n">
        <x:f>IF(B157=1,COUNTIFS('Trial Rows'!$B$2:$B$201,'Trial Rows'!B157,'Trial Rows'!$C$2:$C$201,'Trial Rows'!C157,'Trial Rows'!$F$2:$F$201,'Trial Rows'!F157,'Trial Rows'!$I$2:$I$201,'Trial Rows'!I157,'Trial Rows'!$Y$2:$Y$201,'Trial Rows'!Y157,'Trial Rows'!$G$2:$G$201,"B"),0)</x:f>
        <x:v>0</x:v>
      </x:c>
      <x:c r="E157" s="2" t="str">
        <x:f>IF(AND(C157=1,COUNTIFS('Trial Rows'!$B$2:$B$201,'Trial Rows'!B157,'Trial Rows'!$C$2:$C$201,'Trial Rows'!C157,'Trial Rows'!$F$2:$F$201,'Trial Rows'!F157,'Trial Rows'!$I$2:$I$201,'Trial Rows'!I157,'Trial Rows'!$Y$2:$Y$201,'Trial Rows'!Y157,'Trial Rows'!$G$2:$G$201,"A",'Trial Rows'!$K$2:$K$201,"&gt;=0",'Trial Rows'!$K$2:$K$201,"&lt;=4",'Trial Rows'!$K$2:$K$201,"&lt;&gt;")=1),SUMIFS('Trial Rows'!$K$2:$K$201,'Trial Rows'!$B$2:$B$201,'Trial Rows'!B157,'Trial Rows'!$C$2:$C$201,'Trial Rows'!C157,'Trial Rows'!$F$2:$F$201,'Trial Rows'!F157,'Trial Rows'!$I$2:$I$201,'Trial Rows'!I157,'Trial Rows'!$Y$2:$Y$201,'Trial Rows'!Y157,'Trial Rows'!$G$2:$G$201,"A"),"")</x:f>
      </x:c>
      <x:c r="F157" s="2" t="n">
        <x:f>IF(AND(B157=1,'Trial Rows'!G157="B",C157=1,D157=1,ISNUMBER(E157),ISNUMBER('Trial Rows'!M157),'Trial Rows'!M157&gt;=0,'Trial Rows'!M157&lt;=4,'Trial Rows'!Q157=0,'Trial Rows'!S157=0),1,0)</x:f>
        <x:v>0</x:v>
      </x:c>
      <x:c r="G157" s="2" t="n">
        <x:f>IF(F157=1,IF(E157='Trial Rows'!M157,1,0),0)</x:f>
        <x:v>0</x:v>
      </x:c>
      <x:c r="H157" s="2" t="n">
        <x:f>IF(AND(B157=1,'Trial Rows'!G157="B",C157=1,D157=1,ISNUMBER(E157),'Trial Rows'!R157=1,'Trial Rows'!Q157=0,'Trial Rows'!S157=0,ISNUMBER('Trial Rows'!L157),'Trial Rows'!L157&gt;=0,'Trial Rows'!L157&lt;=4),1,0)</x:f>
        <x:v>0</x:v>
      </x:c>
      <x:c r="I157" s="2" t="n">
        <x:f>IF(H157=1,IF(E157='Trial Rows'!L157,1,0),0)</x:f>
        <x:v>0</x:v>
      </x:c>
      <x:c r="J157" s="2" t="n">
        <x:f>IF(AND(B157=1,'Trial Rows'!G157="B",'Trial Rows'!P157&gt;0),1,0)</x:f>
        <x:v>0</x:v>
      </x:c>
      <x:c r="K157" s="2" t="n">
        <x:f>IF(AND(B157=1,'Trial Rows'!G157="B",'Trial Rows'!Q157=1),1,0)</x:f>
        <x:v>0</x:v>
      </x:c>
      <x:c r="L157" s="2" t="n">
        <x:f>IF(AND(B157=1,'Trial Rows'!G157="B",'Trial Rows'!R157=1,'Trial Rows'!Q157=0,'Trial Rows'!S157=0),1,0)</x:f>
        <x:v>0</x:v>
      </x:c>
      <x:c r="M157" s="2" t="n">
        <x:f>IF(AND(B157=1,'Trial Rows'!G157="B"),1,0)</x:f>
        <x:v>0</x:v>
      </x:c>
      <x:c r="N157" s="2" t="n">
        <x:f>IF(AND(B157=1,'Trial Rows'!I157=1,COUNTIFS('Trial Rows'!$B$2:$B$201,'Trial Rows'!B157,'Trial Rows'!$C$2:$C$201,'Trial Rows'!C157,'Trial Rows'!$F$2:$F$201,'Trial Rows'!F157,'Trial Rows'!$G$2:$G$201,'Trial Rows'!G157,'Trial Rows'!$Y$2:$Y$201,'Trial Rows'!Y157)=4,COUNTIFS('Trial Rows'!$B$2:$B$201,'Trial Rows'!B157,'Trial Rows'!$C$2:$C$201,'Trial Rows'!C157,'Trial Rows'!$F$2:$F$201,'Trial Rows'!F157,'Trial Rows'!$G$2:$G$201,'Trial Rows'!G157,'Trial Rows'!$Y$2:$Y$201,'Trial Rows'!Y157,'Trial Rows'!$I$2:$I$201,1)=1,COUNTIFS('Trial Rows'!$B$2:$B$201,'Trial Rows'!B157,'Trial Rows'!$C$2:$C$201,'Trial Rows'!C157,'Trial Rows'!$F$2:$F$201,'Trial Rows'!F157,'Trial Rows'!$G$2:$G$201,'Trial Rows'!G157,'Trial Rows'!$Y$2:$Y$201,'Trial Rows'!Y157,'Trial Rows'!$I$2:$I$201,2)=1,COUNTIFS('Trial Rows'!$B$2:$B$201,'Trial Rows'!B157,'Trial Rows'!$C$2:$C$201,'Trial Rows'!C157,'Trial Rows'!$F$2:$F$201,'Trial Rows'!F157,'Trial Rows'!$G$2:$G$201,'Trial Rows'!G157,'Trial Rows'!$Y$2:$Y$201,'Trial Rows'!Y157,'Trial Rows'!$I$2:$I$201,3)=1,COUNTIFS('Trial Rows'!$B$2:$B$201,'Trial Rows'!B157,'Trial Rows'!$C$2:$C$201,'Trial Rows'!C157,'Trial Rows'!$F$2:$F$201,'Trial Rows'!F157,'Trial Rows'!$G$2:$G$201,'Trial Rows'!G157,'Trial Rows'!$Y$2:$Y$201,'Trial Rows'!Y157,'Trial Rows'!$I$2:$I$201,4)=1,COUNTIFS('Trial Rows'!$B$2:$B$201,'Trial Rows'!B157,'Trial Rows'!$C$2:$C$201,'Trial Rows'!C157,'Trial Rows'!$F$2:$F$201,'Trial Rows'!F157,'Trial Rows'!$G$2:$G$201,'Trial Rows'!G157,'Trial Rows'!$Y$2:$Y$201,'Trial Rows'!Y157,'Trial Rows'!$W$2:$W$201,"&lt;&gt;")=4,ISNUMBER('Trial Rows'!U157),COUNTIFS('Trial Rows'!$B$2:$B$201,'Trial Rows'!B157,'Trial Rows'!$C$2:$C$201,'Trial Rows'!C157,'Trial Rows'!$F$2:$F$201,'Trial Rows'!F157,'Trial Rows'!$G$2:$G$201,'Trial Rows'!G157,'Trial Rows'!$Y$2:$Y$201,'Trial Rows'!Y157,'Trial Rows'!$U$2:$U$201,'Trial Rows'!U157)=4,'Trial Rows'!U157&gt;=0),1,0)</x:f>
        <x:v>0</x:v>
      </x:c>
      <x:c r="O157" s="2" t="str">
        <x:f>IF(N157=1,'Trial Rows'!U157/1000,"")</x:f>
      </x:c>
      <x:c r="P157" s="2" t="str">
        <x:f>IF(AND(N157=1,'Trial Rows'!G157="A"),O157,"")</x:f>
      </x:c>
      <x:c r="Q157" s="2" t="str">
        <x:f>IF(AND(N157=1,'Trial Rows'!G157="B"),O157,"")</x:f>
      </x:c>
      <x:c r="R157" s="2" t="str">
        <x:f>IF(AND(N157=1,COUNTIFS('Trial Rows'!$B$2:$B$201,'Trial Rows'!B157,'Trial Rows'!$C$2:$C$201,'Trial Rows'!C157,'Trial Rows'!$F$2:$F$201,'Trial Rows'!F157,'Trial Rows'!$G$2:$G$201,'Trial Rows'!G157,'Trial Rows'!$Y$2:$Y$201,'Trial Rows'!Y157,'Trial Rows'!$N$2:$N$201,"&gt;=0",'Trial Rows'!$N$2:$N$201,"&lt;=4",'Trial Rows'!$N$2:$N$201,"&lt;&gt;")=4),SUMIFS('Trial Rows'!$N$2:$N$201,'Trial Rows'!$B$2:$B$201,'Trial Rows'!B157,'Trial Rows'!$C$2:$C$201,'Trial Rows'!C157,'Trial Rows'!$F$2:$F$201,'Trial Rows'!F157,'Trial Rows'!$G$2:$G$201,'Trial Rows'!G157,'Trial Rows'!$Y$2:$Y$201,'Trial Rows'!Y157,'Trial Rows'!$I$2:$I$201,1)+4-SUMIFS('Trial Rows'!$N$2:$N$201,'Trial Rows'!$B$2:$B$201,'Trial Rows'!B157,'Trial Rows'!$C$2:$C$201,'Trial Rows'!C157,'Trial Rows'!$F$2:$F$201,'Trial Rows'!F157,'Trial Rows'!$G$2:$G$201,'Trial Rows'!G157,'Trial Rows'!$Y$2:$Y$201,'Trial Rows'!Y157,'Trial Rows'!$I$2:$I$201,2)+4-SUMIFS('Trial Rows'!$N$2:$N$201,'Trial Rows'!$B$2:$B$201,'Trial Rows'!B157,'Trial Rows'!$C$2:$C$201,'Trial Rows'!C157,'Trial Rows'!$F$2:$F$201,'Trial Rows'!F157,'Trial Rows'!$G$2:$G$201,'Trial Rows'!G157,'Trial Rows'!$Y$2:$Y$201,'Trial Rows'!Y157,'Trial Rows'!$I$2:$I$201,3)+SUMIFS('Trial Rows'!$N$2:$N$201,'Trial Rows'!$B$2:$B$201,'Trial Rows'!B157,'Trial Rows'!$C$2:$C$201,'Trial Rows'!C157,'Trial Rows'!$F$2:$F$201,'Trial Rows'!F157,'Trial Rows'!$G$2:$G$201,'Trial Rows'!G157,'Trial Rows'!$Y$2:$Y$201,'Trial Rows'!Y157,'Trial Rows'!$I$2:$I$201,4),"")</x:f>
      </x:c>
      <x:c r="S157" s="2" t="n">
        <x:f>IF(AND(B157=1,COUNTIFS('Trial Rows'!$C$2:C157,'Trial Rows'!C157,'Trial Rows'!$F$2:F157,Summary!$B$5,'Trial Rows'!$Y$2:Y157,Summary!$B$4)=1),1,0)</x:f>
        <x:v>0</x:v>
      </x:c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 t="str">
        <x:f>IF('Trial Rows'!A158="","",'Trial Rows'!F158&amp;"|"&amp;'Trial Rows'!B158&amp;"|"&amp;'Trial Rows'!C158&amp;"|"&amp;'Trial Rows'!I158)</x:f>
      </x:c>
      <x:c r="B158" s="2" t="n">
        <x:f>IF(AND('Trial Rows'!A158&lt;&gt;"",'Trial Rows'!Y158=Summary!$B$4,'Trial Rows'!F158=Summary!$B$5),1,0)</x:f>
        <x:v>0</x:v>
      </x:c>
      <x:c r="C158" s="2" t="n">
        <x:f>IF(B158=1,COUNTIFS('Trial Rows'!$B$2:$B$201,'Trial Rows'!B158,'Trial Rows'!$C$2:$C$201,'Trial Rows'!C158,'Trial Rows'!$F$2:$F$201,'Trial Rows'!F158,'Trial Rows'!$I$2:$I$201,'Trial Rows'!I158,'Trial Rows'!$Y$2:$Y$201,'Trial Rows'!Y158,'Trial Rows'!$G$2:$G$201,"A"),0)</x:f>
        <x:v>0</x:v>
      </x:c>
      <x:c r="D158" s="2" t="n">
        <x:f>IF(B158=1,COUNTIFS('Trial Rows'!$B$2:$B$201,'Trial Rows'!B158,'Trial Rows'!$C$2:$C$201,'Trial Rows'!C158,'Trial Rows'!$F$2:$F$201,'Trial Rows'!F158,'Trial Rows'!$I$2:$I$201,'Trial Rows'!I158,'Trial Rows'!$Y$2:$Y$201,'Trial Rows'!Y158,'Trial Rows'!$G$2:$G$201,"B"),0)</x:f>
        <x:v>0</x:v>
      </x:c>
      <x:c r="E158" s="2" t="str">
        <x:f>IF(AND(C158=1,COUNTIFS('Trial Rows'!$B$2:$B$201,'Trial Rows'!B158,'Trial Rows'!$C$2:$C$201,'Trial Rows'!C158,'Trial Rows'!$F$2:$F$201,'Trial Rows'!F158,'Trial Rows'!$I$2:$I$201,'Trial Rows'!I158,'Trial Rows'!$Y$2:$Y$201,'Trial Rows'!Y158,'Trial Rows'!$G$2:$G$201,"A",'Trial Rows'!$K$2:$K$201,"&gt;=0",'Trial Rows'!$K$2:$K$201,"&lt;=4",'Trial Rows'!$K$2:$K$201,"&lt;&gt;")=1),SUMIFS('Trial Rows'!$K$2:$K$201,'Trial Rows'!$B$2:$B$201,'Trial Rows'!B158,'Trial Rows'!$C$2:$C$201,'Trial Rows'!C158,'Trial Rows'!$F$2:$F$201,'Trial Rows'!F158,'Trial Rows'!$I$2:$I$201,'Trial Rows'!I158,'Trial Rows'!$Y$2:$Y$201,'Trial Rows'!Y158,'Trial Rows'!$G$2:$G$201,"A"),"")</x:f>
      </x:c>
      <x:c r="F158" s="2" t="n">
        <x:f>IF(AND(B158=1,'Trial Rows'!G158="B",C158=1,D158=1,ISNUMBER(E158),ISNUMBER('Trial Rows'!M158),'Trial Rows'!M158&gt;=0,'Trial Rows'!M158&lt;=4,'Trial Rows'!Q158=0,'Trial Rows'!S158=0),1,0)</x:f>
        <x:v>0</x:v>
      </x:c>
      <x:c r="G158" s="2" t="n">
        <x:f>IF(F158=1,IF(E158='Trial Rows'!M158,1,0),0)</x:f>
        <x:v>0</x:v>
      </x:c>
      <x:c r="H158" s="2" t="n">
        <x:f>IF(AND(B158=1,'Trial Rows'!G158="B",C158=1,D158=1,ISNUMBER(E158),'Trial Rows'!R158=1,'Trial Rows'!Q158=0,'Trial Rows'!S158=0,ISNUMBER('Trial Rows'!L158),'Trial Rows'!L158&gt;=0,'Trial Rows'!L158&lt;=4),1,0)</x:f>
        <x:v>0</x:v>
      </x:c>
      <x:c r="I158" s="2" t="n">
        <x:f>IF(H158=1,IF(E158='Trial Rows'!L158,1,0),0)</x:f>
        <x:v>0</x:v>
      </x:c>
      <x:c r="J158" s="2" t="n">
        <x:f>IF(AND(B158=1,'Trial Rows'!G158="B",'Trial Rows'!P158&gt;0),1,0)</x:f>
        <x:v>0</x:v>
      </x:c>
      <x:c r="K158" s="2" t="n">
        <x:f>IF(AND(B158=1,'Trial Rows'!G158="B",'Trial Rows'!Q158=1),1,0)</x:f>
        <x:v>0</x:v>
      </x:c>
      <x:c r="L158" s="2" t="n">
        <x:f>IF(AND(B158=1,'Trial Rows'!G158="B",'Trial Rows'!R158=1,'Trial Rows'!Q158=0,'Trial Rows'!S158=0),1,0)</x:f>
        <x:v>0</x:v>
      </x:c>
      <x:c r="M158" s="2" t="n">
        <x:f>IF(AND(B158=1,'Trial Rows'!G158="B"),1,0)</x:f>
        <x:v>0</x:v>
      </x:c>
      <x:c r="N158" s="2" t="n">
        <x:f>IF(AND(B158=1,'Trial Rows'!I158=1,COUNTIFS('Trial Rows'!$B$2:$B$201,'Trial Rows'!B158,'Trial Rows'!$C$2:$C$201,'Trial Rows'!C158,'Trial Rows'!$F$2:$F$201,'Trial Rows'!F158,'Trial Rows'!$G$2:$G$201,'Trial Rows'!G158,'Trial Rows'!$Y$2:$Y$201,'Trial Rows'!Y158)=4,COUNTIFS('Trial Rows'!$B$2:$B$201,'Trial Rows'!B158,'Trial Rows'!$C$2:$C$201,'Trial Rows'!C158,'Trial Rows'!$F$2:$F$201,'Trial Rows'!F158,'Trial Rows'!$G$2:$G$201,'Trial Rows'!G158,'Trial Rows'!$Y$2:$Y$201,'Trial Rows'!Y158,'Trial Rows'!$I$2:$I$201,1)=1,COUNTIFS('Trial Rows'!$B$2:$B$201,'Trial Rows'!B158,'Trial Rows'!$C$2:$C$201,'Trial Rows'!C158,'Trial Rows'!$F$2:$F$201,'Trial Rows'!F158,'Trial Rows'!$G$2:$G$201,'Trial Rows'!G158,'Trial Rows'!$Y$2:$Y$201,'Trial Rows'!Y158,'Trial Rows'!$I$2:$I$201,2)=1,COUNTIFS('Trial Rows'!$B$2:$B$201,'Trial Rows'!B158,'Trial Rows'!$C$2:$C$201,'Trial Rows'!C158,'Trial Rows'!$F$2:$F$201,'Trial Rows'!F158,'Trial Rows'!$G$2:$G$201,'Trial Rows'!G158,'Trial Rows'!$Y$2:$Y$201,'Trial Rows'!Y158,'Trial Rows'!$I$2:$I$201,3)=1,COUNTIFS('Trial Rows'!$B$2:$B$201,'Trial Rows'!B158,'Trial Rows'!$C$2:$C$201,'Trial Rows'!C158,'Trial Rows'!$F$2:$F$201,'Trial Rows'!F158,'Trial Rows'!$G$2:$G$201,'Trial Rows'!G158,'Trial Rows'!$Y$2:$Y$201,'Trial Rows'!Y158,'Trial Rows'!$I$2:$I$201,4)=1,COUNTIFS('Trial Rows'!$B$2:$B$201,'Trial Rows'!B158,'Trial Rows'!$C$2:$C$201,'Trial Rows'!C158,'Trial Rows'!$F$2:$F$201,'Trial Rows'!F158,'Trial Rows'!$G$2:$G$201,'Trial Rows'!G158,'Trial Rows'!$Y$2:$Y$201,'Trial Rows'!Y158,'Trial Rows'!$W$2:$W$201,"&lt;&gt;")=4,ISNUMBER('Trial Rows'!U158),COUNTIFS('Trial Rows'!$B$2:$B$201,'Trial Rows'!B158,'Trial Rows'!$C$2:$C$201,'Trial Rows'!C158,'Trial Rows'!$F$2:$F$201,'Trial Rows'!F158,'Trial Rows'!$G$2:$G$201,'Trial Rows'!G158,'Trial Rows'!$Y$2:$Y$201,'Trial Rows'!Y158,'Trial Rows'!$U$2:$U$201,'Trial Rows'!U158)=4,'Trial Rows'!U158&gt;=0),1,0)</x:f>
        <x:v>0</x:v>
      </x:c>
      <x:c r="O158" s="2" t="str">
        <x:f>IF(N158=1,'Trial Rows'!U158/1000,"")</x:f>
      </x:c>
      <x:c r="P158" s="2" t="str">
        <x:f>IF(AND(N158=1,'Trial Rows'!G158="A"),O158,"")</x:f>
      </x:c>
      <x:c r="Q158" s="2" t="str">
        <x:f>IF(AND(N158=1,'Trial Rows'!G158="B"),O158,"")</x:f>
      </x:c>
      <x:c r="R158" s="2" t="str">
        <x:f>IF(AND(N158=1,COUNTIFS('Trial Rows'!$B$2:$B$201,'Trial Rows'!B158,'Trial Rows'!$C$2:$C$201,'Trial Rows'!C158,'Trial Rows'!$F$2:$F$201,'Trial Rows'!F158,'Trial Rows'!$G$2:$G$201,'Trial Rows'!G158,'Trial Rows'!$Y$2:$Y$201,'Trial Rows'!Y158,'Trial Rows'!$N$2:$N$201,"&gt;=0",'Trial Rows'!$N$2:$N$201,"&lt;=4",'Trial Rows'!$N$2:$N$201,"&lt;&gt;")=4),SUMIFS('Trial Rows'!$N$2:$N$201,'Trial Rows'!$B$2:$B$201,'Trial Rows'!B158,'Trial Rows'!$C$2:$C$201,'Trial Rows'!C158,'Trial Rows'!$F$2:$F$201,'Trial Rows'!F158,'Trial Rows'!$G$2:$G$201,'Trial Rows'!G158,'Trial Rows'!$Y$2:$Y$201,'Trial Rows'!Y158,'Trial Rows'!$I$2:$I$201,1)+4-SUMIFS('Trial Rows'!$N$2:$N$201,'Trial Rows'!$B$2:$B$201,'Trial Rows'!B158,'Trial Rows'!$C$2:$C$201,'Trial Rows'!C158,'Trial Rows'!$F$2:$F$201,'Trial Rows'!F158,'Trial Rows'!$G$2:$G$201,'Trial Rows'!G158,'Trial Rows'!$Y$2:$Y$201,'Trial Rows'!Y158,'Trial Rows'!$I$2:$I$201,2)+4-SUMIFS('Trial Rows'!$N$2:$N$201,'Trial Rows'!$B$2:$B$201,'Trial Rows'!B158,'Trial Rows'!$C$2:$C$201,'Trial Rows'!C158,'Trial Rows'!$F$2:$F$201,'Trial Rows'!F158,'Trial Rows'!$G$2:$G$201,'Trial Rows'!G158,'Trial Rows'!$Y$2:$Y$201,'Trial Rows'!Y158,'Trial Rows'!$I$2:$I$201,3)+SUMIFS('Trial Rows'!$N$2:$N$201,'Trial Rows'!$B$2:$B$201,'Trial Rows'!B158,'Trial Rows'!$C$2:$C$201,'Trial Rows'!C158,'Trial Rows'!$F$2:$F$201,'Trial Rows'!F158,'Trial Rows'!$G$2:$G$201,'Trial Rows'!G158,'Trial Rows'!$Y$2:$Y$201,'Trial Rows'!Y158,'Trial Rows'!$I$2:$I$201,4),"")</x:f>
      </x:c>
      <x:c r="S158" s="2" t="n">
        <x:f>IF(AND(B158=1,COUNTIFS('Trial Rows'!$C$2:C158,'Trial Rows'!C158,'Trial Rows'!$F$2:F158,Summary!$B$5,'Trial Rows'!$Y$2:Y158,Summary!$B$4)=1),1,0)</x:f>
        <x:v>0</x:v>
      </x:c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 t="str">
        <x:f>IF('Trial Rows'!A159="","",'Trial Rows'!F159&amp;"|"&amp;'Trial Rows'!B159&amp;"|"&amp;'Trial Rows'!C159&amp;"|"&amp;'Trial Rows'!I159)</x:f>
      </x:c>
      <x:c r="B159" s="2" t="n">
        <x:f>IF(AND('Trial Rows'!A159&lt;&gt;"",'Trial Rows'!Y159=Summary!$B$4,'Trial Rows'!F159=Summary!$B$5),1,0)</x:f>
        <x:v>0</x:v>
      </x:c>
      <x:c r="C159" s="2" t="n">
        <x:f>IF(B159=1,COUNTIFS('Trial Rows'!$B$2:$B$201,'Trial Rows'!B159,'Trial Rows'!$C$2:$C$201,'Trial Rows'!C159,'Trial Rows'!$F$2:$F$201,'Trial Rows'!F159,'Trial Rows'!$I$2:$I$201,'Trial Rows'!I159,'Trial Rows'!$Y$2:$Y$201,'Trial Rows'!Y159,'Trial Rows'!$G$2:$G$201,"A"),0)</x:f>
        <x:v>0</x:v>
      </x:c>
      <x:c r="D159" s="2" t="n">
        <x:f>IF(B159=1,COUNTIFS('Trial Rows'!$B$2:$B$201,'Trial Rows'!B159,'Trial Rows'!$C$2:$C$201,'Trial Rows'!C159,'Trial Rows'!$F$2:$F$201,'Trial Rows'!F159,'Trial Rows'!$I$2:$I$201,'Trial Rows'!I159,'Trial Rows'!$Y$2:$Y$201,'Trial Rows'!Y159,'Trial Rows'!$G$2:$G$201,"B"),0)</x:f>
        <x:v>0</x:v>
      </x:c>
      <x:c r="E159" s="2" t="str">
        <x:f>IF(AND(C159=1,COUNTIFS('Trial Rows'!$B$2:$B$201,'Trial Rows'!B159,'Trial Rows'!$C$2:$C$201,'Trial Rows'!C159,'Trial Rows'!$F$2:$F$201,'Trial Rows'!F159,'Trial Rows'!$I$2:$I$201,'Trial Rows'!I159,'Trial Rows'!$Y$2:$Y$201,'Trial Rows'!Y159,'Trial Rows'!$G$2:$G$201,"A",'Trial Rows'!$K$2:$K$201,"&gt;=0",'Trial Rows'!$K$2:$K$201,"&lt;=4",'Trial Rows'!$K$2:$K$201,"&lt;&gt;")=1),SUMIFS('Trial Rows'!$K$2:$K$201,'Trial Rows'!$B$2:$B$201,'Trial Rows'!B159,'Trial Rows'!$C$2:$C$201,'Trial Rows'!C159,'Trial Rows'!$F$2:$F$201,'Trial Rows'!F159,'Trial Rows'!$I$2:$I$201,'Trial Rows'!I159,'Trial Rows'!$Y$2:$Y$201,'Trial Rows'!Y159,'Trial Rows'!$G$2:$G$201,"A"),"")</x:f>
      </x:c>
      <x:c r="F159" s="2" t="n">
        <x:f>IF(AND(B159=1,'Trial Rows'!G159="B",C159=1,D159=1,ISNUMBER(E159),ISNUMBER('Trial Rows'!M159),'Trial Rows'!M159&gt;=0,'Trial Rows'!M159&lt;=4,'Trial Rows'!Q159=0,'Trial Rows'!S159=0),1,0)</x:f>
        <x:v>0</x:v>
      </x:c>
      <x:c r="G159" s="2" t="n">
        <x:f>IF(F159=1,IF(E159='Trial Rows'!M159,1,0),0)</x:f>
        <x:v>0</x:v>
      </x:c>
      <x:c r="H159" s="2" t="n">
        <x:f>IF(AND(B159=1,'Trial Rows'!G159="B",C159=1,D159=1,ISNUMBER(E159),'Trial Rows'!R159=1,'Trial Rows'!Q159=0,'Trial Rows'!S159=0,ISNUMBER('Trial Rows'!L159),'Trial Rows'!L159&gt;=0,'Trial Rows'!L159&lt;=4),1,0)</x:f>
        <x:v>0</x:v>
      </x:c>
      <x:c r="I159" s="2" t="n">
        <x:f>IF(H159=1,IF(E159='Trial Rows'!L159,1,0),0)</x:f>
        <x:v>0</x:v>
      </x:c>
      <x:c r="J159" s="2" t="n">
        <x:f>IF(AND(B159=1,'Trial Rows'!G159="B",'Trial Rows'!P159&gt;0),1,0)</x:f>
        <x:v>0</x:v>
      </x:c>
      <x:c r="K159" s="2" t="n">
        <x:f>IF(AND(B159=1,'Trial Rows'!G159="B",'Trial Rows'!Q159=1),1,0)</x:f>
        <x:v>0</x:v>
      </x:c>
      <x:c r="L159" s="2" t="n">
        <x:f>IF(AND(B159=1,'Trial Rows'!G159="B",'Trial Rows'!R159=1,'Trial Rows'!Q159=0,'Trial Rows'!S159=0),1,0)</x:f>
        <x:v>0</x:v>
      </x:c>
      <x:c r="M159" s="2" t="n">
        <x:f>IF(AND(B159=1,'Trial Rows'!G159="B"),1,0)</x:f>
        <x:v>0</x:v>
      </x:c>
      <x:c r="N159" s="2" t="n">
        <x:f>IF(AND(B159=1,'Trial Rows'!I159=1,COUNTIFS('Trial Rows'!$B$2:$B$201,'Trial Rows'!B159,'Trial Rows'!$C$2:$C$201,'Trial Rows'!C159,'Trial Rows'!$F$2:$F$201,'Trial Rows'!F159,'Trial Rows'!$G$2:$G$201,'Trial Rows'!G159,'Trial Rows'!$Y$2:$Y$201,'Trial Rows'!Y159)=4,COUNTIFS('Trial Rows'!$B$2:$B$201,'Trial Rows'!B159,'Trial Rows'!$C$2:$C$201,'Trial Rows'!C159,'Trial Rows'!$F$2:$F$201,'Trial Rows'!F159,'Trial Rows'!$G$2:$G$201,'Trial Rows'!G159,'Trial Rows'!$Y$2:$Y$201,'Trial Rows'!Y159,'Trial Rows'!$I$2:$I$201,1)=1,COUNTIFS('Trial Rows'!$B$2:$B$201,'Trial Rows'!B159,'Trial Rows'!$C$2:$C$201,'Trial Rows'!C159,'Trial Rows'!$F$2:$F$201,'Trial Rows'!F159,'Trial Rows'!$G$2:$G$201,'Trial Rows'!G159,'Trial Rows'!$Y$2:$Y$201,'Trial Rows'!Y159,'Trial Rows'!$I$2:$I$201,2)=1,COUNTIFS('Trial Rows'!$B$2:$B$201,'Trial Rows'!B159,'Trial Rows'!$C$2:$C$201,'Trial Rows'!C159,'Trial Rows'!$F$2:$F$201,'Trial Rows'!F159,'Trial Rows'!$G$2:$G$201,'Trial Rows'!G159,'Trial Rows'!$Y$2:$Y$201,'Trial Rows'!Y159,'Trial Rows'!$I$2:$I$201,3)=1,COUNTIFS('Trial Rows'!$B$2:$B$201,'Trial Rows'!B159,'Trial Rows'!$C$2:$C$201,'Trial Rows'!C159,'Trial Rows'!$F$2:$F$201,'Trial Rows'!F159,'Trial Rows'!$G$2:$G$201,'Trial Rows'!G159,'Trial Rows'!$Y$2:$Y$201,'Trial Rows'!Y159,'Trial Rows'!$I$2:$I$201,4)=1,COUNTIFS('Trial Rows'!$B$2:$B$201,'Trial Rows'!B159,'Trial Rows'!$C$2:$C$201,'Trial Rows'!C159,'Trial Rows'!$F$2:$F$201,'Trial Rows'!F159,'Trial Rows'!$G$2:$G$201,'Trial Rows'!G159,'Trial Rows'!$Y$2:$Y$201,'Trial Rows'!Y159,'Trial Rows'!$W$2:$W$201,"&lt;&gt;")=4,ISNUMBER('Trial Rows'!U159),COUNTIFS('Trial Rows'!$B$2:$B$201,'Trial Rows'!B159,'Trial Rows'!$C$2:$C$201,'Trial Rows'!C159,'Trial Rows'!$F$2:$F$201,'Trial Rows'!F159,'Trial Rows'!$G$2:$G$201,'Trial Rows'!G159,'Trial Rows'!$Y$2:$Y$201,'Trial Rows'!Y159,'Trial Rows'!$U$2:$U$201,'Trial Rows'!U159)=4,'Trial Rows'!U159&gt;=0),1,0)</x:f>
        <x:v>0</x:v>
      </x:c>
      <x:c r="O159" s="2" t="str">
        <x:f>IF(N159=1,'Trial Rows'!U159/1000,"")</x:f>
      </x:c>
      <x:c r="P159" s="2" t="str">
        <x:f>IF(AND(N159=1,'Trial Rows'!G159="A"),O159,"")</x:f>
      </x:c>
      <x:c r="Q159" s="2" t="str">
        <x:f>IF(AND(N159=1,'Trial Rows'!G159="B"),O159,"")</x:f>
      </x:c>
      <x:c r="R159" s="2" t="str">
        <x:f>IF(AND(N159=1,COUNTIFS('Trial Rows'!$B$2:$B$201,'Trial Rows'!B159,'Trial Rows'!$C$2:$C$201,'Trial Rows'!C159,'Trial Rows'!$F$2:$F$201,'Trial Rows'!F159,'Trial Rows'!$G$2:$G$201,'Trial Rows'!G159,'Trial Rows'!$Y$2:$Y$201,'Trial Rows'!Y159,'Trial Rows'!$N$2:$N$201,"&gt;=0",'Trial Rows'!$N$2:$N$201,"&lt;=4",'Trial Rows'!$N$2:$N$201,"&lt;&gt;")=4),SUMIFS('Trial Rows'!$N$2:$N$201,'Trial Rows'!$B$2:$B$201,'Trial Rows'!B159,'Trial Rows'!$C$2:$C$201,'Trial Rows'!C159,'Trial Rows'!$F$2:$F$201,'Trial Rows'!F159,'Trial Rows'!$G$2:$G$201,'Trial Rows'!G159,'Trial Rows'!$Y$2:$Y$201,'Trial Rows'!Y159,'Trial Rows'!$I$2:$I$201,1)+4-SUMIFS('Trial Rows'!$N$2:$N$201,'Trial Rows'!$B$2:$B$201,'Trial Rows'!B159,'Trial Rows'!$C$2:$C$201,'Trial Rows'!C159,'Trial Rows'!$F$2:$F$201,'Trial Rows'!F159,'Trial Rows'!$G$2:$G$201,'Trial Rows'!G159,'Trial Rows'!$Y$2:$Y$201,'Trial Rows'!Y159,'Trial Rows'!$I$2:$I$201,2)+4-SUMIFS('Trial Rows'!$N$2:$N$201,'Trial Rows'!$B$2:$B$201,'Trial Rows'!B159,'Trial Rows'!$C$2:$C$201,'Trial Rows'!C159,'Trial Rows'!$F$2:$F$201,'Trial Rows'!F159,'Trial Rows'!$G$2:$G$201,'Trial Rows'!G159,'Trial Rows'!$Y$2:$Y$201,'Trial Rows'!Y159,'Trial Rows'!$I$2:$I$201,3)+SUMIFS('Trial Rows'!$N$2:$N$201,'Trial Rows'!$B$2:$B$201,'Trial Rows'!B159,'Trial Rows'!$C$2:$C$201,'Trial Rows'!C159,'Trial Rows'!$F$2:$F$201,'Trial Rows'!F159,'Trial Rows'!$G$2:$G$201,'Trial Rows'!G159,'Trial Rows'!$Y$2:$Y$201,'Trial Rows'!Y159,'Trial Rows'!$I$2:$I$201,4),"")</x:f>
      </x:c>
      <x:c r="S159" s="2" t="n">
        <x:f>IF(AND(B159=1,COUNTIFS('Trial Rows'!$C$2:C159,'Trial Rows'!C159,'Trial Rows'!$F$2:F159,Summary!$B$5,'Trial Rows'!$Y$2:Y159,Summary!$B$4)=1),1,0)</x:f>
        <x:v>0</x:v>
      </x:c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 t="str">
        <x:f>IF('Trial Rows'!A160="","",'Trial Rows'!F160&amp;"|"&amp;'Trial Rows'!B160&amp;"|"&amp;'Trial Rows'!C160&amp;"|"&amp;'Trial Rows'!I160)</x:f>
      </x:c>
      <x:c r="B160" s="2" t="n">
        <x:f>IF(AND('Trial Rows'!A160&lt;&gt;"",'Trial Rows'!Y160=Summary!$B$4,'Trial Rows'!F160=Summary!$B$5),1,0)</x:f>
        <x:v>0</x:v>
      </x:c>
      <x:c r="C160" s="2" t="n">
        <x:f>IF(B160=1,COUNTIFS('Trial Rows'!$B$2:$B$201,'Trial Rows'!B160,'Trial Rows'!$C$2:$C$201,'Trial Rows'!C160,'Trial Rows'!$F$2:$F$201,'Trial Rows'!F160,'Trial Rows'!$I$2:$I$201,'Trial Rows'!I160,'Trial Rows'!$Y$2:$Y$201,'Trial Rows'!Y160,'Trial Rows'!$G$2:$G$201,"A"),0)</x:f>
        <x:v>0</x:v>
      </x:c>
      <x:c r="D160" s="2" t="n">
        <x:f>IF(B160=1,COUNTIFS('Trial Rows'!$B$2:$B$201,'Trial Rows'!B160,'Trial Rows'!$C$2:$C$201,'Trial Rows'!C160,'Trial Rows'!$F$2:$F$201,'Trial Rows'!F160,'Trial Rows'!$I$2:$I$201,'Trial Rows'!I160,'Trial Rows'!$Y$2:$Y$201,'Trial Rows'!Y160,'Trial Rows'!$G$2:$G$201,"B"),0)</x:f>
        <x:v>0</x:v>
      </x:c>
      <x:c r="E160" s="2" t="str">
        <x:f>IF(AND(C160=1,COUNTIFS('Trial Rows'!$B$2:$B$201,'Trial Rows'!B160,'Trial Rows'!$C$2:$C$201,'Trial Rows'!C160,'Trial Rows'!$F$2:$F$201,'Trial Rows'!F160,'Trial Rows'!$I$2:$I$201,'Trial Rows'!I160,'Trial Rows'!$Y$2:$Y$201,'Trial Rows'!Y160,'Trial Rows'!$G$2:$G$201,"A",'Trial Rows'!$K$2:$K$201,"&gt;=0",'Trial Rows'!$K$2:$K$201,"&lt;=4",'Trial Rows'!$K$2:$K$201,"&lt;&gt;")=1),SUMIFS('Trial Rows'!$K$2:$K$201,'Trial Rows'!$B$2:$B$201,'Trial Rows'!B160,'Trial Rows'!$C$2:$C$201,'Trial Rows'!C160,'Trial Rows'!$F$2:$F$201,'Trial Rows'!F160,'Trial Rows'!$I$2:$I$201,'Trial Rows'!I160,'Trial Rows'!$Y$2:$Y$201,'Trial Rows'!Y160,'Trial Rows'!$G$2:$G$201,"A"),"")</x:f>
      </x:c>
      <x:c r="F160" s="2" t="n">
        <x:f>IF(AND(B160=1,'Trial Rows'!G160="B",C160=1,D160=1,ISNUMBER(E160),ISNUMBER('Trial Rows'!M160),'Trial Rows'!M160&gt;=0,'Trial Rows'!M160&lt;=4,'Trial Rows'!Q160=0,'Trial Rows'!S160=0),1,0)</x:f>
        <x:v>0</x:v>
      </x:c>
      <x:c r="G160" s="2" t="n">
        <x:f>IF(F160=1,IF(E160='Trial Rows'!M160,1,0),0)</x:f>
        <x:v>0</x:v>
      </x:c>
      <x:c r="H160" s="2" t="n">
        <x:f>IF(AND(B160=1,'Trial Rows'!G160="B",C160=1,D160=1,ISNUMBER(E160),'Trial Rows'!R160=1,'Trial Rows'!Q160=0,'Trial Rows'!S160=0,ISNUMBER('Trial Rows'!L160),'Trial Rows'!L160&gt;=0,'Trial Rows'!L160&lt;=4),1,0)</x:f>
        <x:v>0</x:v>
      </x:c>
      <x:c r="I160" s="2" t="n">
        <x:f>IF(H160=1,IF(E160='Trial Rows'!L160,1,0),0)</x:f>
        <x:v>0</x:v>
      </x:c>
      <x:c r="J160" s="2" t="n">
        <x:f>IF(AND(B160=1,'Trial Rows'!G160="B",'Trial Rows'!P160&gt;0),1,0)</x:f>
        <x:v>0</x:v>
      </x:c>
      <x:c r="K160" s="2" t="n">
        <x:f>IF(AND(B160=1,'Trial Rows'!G160="B",'Trial Rows'!Q160=1),1,0)</x:f>
        <x:v>0</x:v>
      </x:c>
      <x:c r="L160" s="2" t="n">
        <x:f>IF(AND(B160=1,'Trial Rows'!G160="B",'Trial Rows'!R160=1,'Trial Rows'!Q160=0,'Trial Rows'!S160=0),1,0)</x:f>
        <x:v>0</x:v>
      </x:c>
      <x:c r="M160" s="2" t="n">
        <x:f>IF(AND(B160=1,'Trial Rows'!G160="B"),1,0)</x:f>
        <x:v>0</x:v>
      </x:c>
      <x:c r="N160" s="2" t="n">
        <x:f>IF(AND(B160=1,'Trial Rows'!I160=1,COUNTIFS('Trial Rows'!$B$2:$B$201,'Trial Rows'!B160,'Trial Rows'!$C$2:$C$201,'Trial Rows'!C160,'Trial Rows'!$F$2:$F$201,'Trial Rows'!F160,'Trial Rows'!$G$2:$G$201,'Trial Rows'!G160,'Trial Rows'!$Y$2:$Y$201,'Trial Rows'!Y160)=4,COUNTIFS('Trial Rows'!$B$2:$B$201,'Trial Rows'!B160,'Trial Rows'!$C$2:$C$201,'Trial Rows'!C160,'Trial Rows'!$F$2:$F$201,'Trial Rows'!F160,'Trial Rows'!$G$2:$G$201,'Trial Rows'!G160,'Trial Rows'!$Y$2:$Y$201,'Trial Rows'!Y160,'Trial Rows'!$I$2:$I$201,1)=1,COUNTIFS('Trial Rows'!$B$2:$B$201,'Trial Rows'!B160,'Trial Rows'!$C$2:$C$201,'Trial Rows'!C160,'Trial Rows'!$F$2:$F$201,'Trial Rows'!F160,'Trial Rows'!$G$2:$G$201,'Trial Rows'!G160,'Trial Rows'!$Y$2:$Y$201,'Trial Rows'!Y160,'Trial Rows'!$I$2:$I$201,2)=1,COUNTIFS('Trial Rows'!$B$2:$B$201,'Trial Rows'!B160,'Trial Rows'!$C$2:$C$201,'Trial Rows'!C160,'Trial Rows'!$F$2:$F$201,'Trial Rows'!F160,'Trial Rows'!$G$2:$G$201,'Trial Rows'!G160,'Trial Rows'!$Y$2:$Y$201,'Trial Rows'!Y160,'Trial Rows'!$I$2:$I$201,3)=1,COUNTIFS('Trial Rows'!$B$2:$B$201,'Trial Rows'!B160,'Trial Rows'!$C$2:$C$201,'Trial Rows'!C160,'Trial Rows'!$F$2:$F$201,'Trial Rows'!F160,'Trial Rows'!$G$2:$G$201,'Trial Rows'!G160,'Trial Rows'!$Y$2:$Y$201,'Trial Rows'!Y160,'Trial Rows'!$I$2:$I$201,4)=1,COUNTIFS('Trial Rows'!$B$2:$B$201,'Trial Rows'!B160,'Trial Rows'!$C$2:$C$201,'Trial Rows'!C160,'Trial Rows'!$F$2:$F$201,'Trial Rows'!F160,'Trial Rows'!$G$2:$G$201,'Trial Rows'!G160,'Trial Rows'!$Y$2:$Y$201,'Trial Rows'!Y160,'Trial Rows'!$W$2:$W$201,"&lt;&gt;")=4,ISNUMBER('Trial Rows'!U160),COUNTIFS('Trial Rows'!$B$2:$B$201,'Trial Rows'!B160,'Trial Rows'!$C$2:$C$201,'Trial Rows'!C160,'Trial Rows'!$F$2:$F$201,'Trial Rows'!F160,'Trial Rows'!$G$2:$G$201,'Trial Rows'!G160,'Trial Rows'!$Y$2:$Y$201,'Trial Rows'!Y160,'Trial Rows'!$U$2:$U$201,'Trial Rows'!U160)=4,'Trial Rows'!U160&gt;=0),1,0)</x:f>
        <x:v>0</x:v>
      </x:c>
      <x:c r="O160" s="2" t="str">
        <x:f>IF(N160=1,'Trial Rows'!U160/1000,"")</x:f>
      </x:c>
      <x:c r="P160" s="2" t="str">
        <x:f>IF(AND(N160=1,'Trial Rows'!G160="A"),O160,"")</x:f>
      </x:c>
      <x:c r="Q160" s="2" t="str">
        <x:f>IF(AND(N160=1,'Trial Rows'!G160="B"),O160,"")</x:f>
      </x:c>
      <x:c r="R160" s="2" t="str">
        <x:f>IF(AND(N160=1,COUNTIFS('Trial Rows'!$B$2:$B$201,'Trial Rows'!B160,'Trial Rows'!$C$2:$C$201,'Trial Rows'!C160,'Trial Rows'!$F$2:$F$201,'Trial Rows'!F160,'Trial Rows'!$G$2:$G$201,'Trial Rows'!G160,'Trial Rows'!$Y$2:$Y$201,'Trial Rows'!Y160,'Trial Rows'!$N$2:$N$201,"&gt;=0",'Trial Rows'!$N$2:$N$201,"&lt;=4",'Trial Rows'!$N$2:$N$201,"&lt;&gt;")=4),SUMIFS('Trial Rows'!$N$2:$N$201,'Trial Rows'!$B$2:$B$201,'Trial Rows'!B160,'Trial Rows'!$C$2:$C$201,'Trial Rows'!C160,'Trial Rows'!$F$2:$F$201,'Trial Rows'!F160,'Trial Rows'!$G$2:$G$201,'Trial Rows'!G160,'Trial Rows'!$Y$2:$Y$201,'Trial Rows'!Y160,'Trial Rows'!$I$2:$I$201,1)+4-SUMIFS('Trial Rows'!$N$2:$N$201,'Trial Rows'!$B$2:$B$201,'Trial Rows'!B160,'Trial Rows'!$C$2:$C$201,'Trial Rows'!C160,'Trial Rows'!$F$2:$F$201,'Trial Rows'!F160,'Trial Rows'!$G$2:$G$201,'Trial Rows'!G160,'Trial Rows'!$Y$2:$Y$201,'Trial Rows'!Y160,'Trial Rows'!$I$2:$I$201,2)+4-SUMIFS('Trial Rows'!$N$2:$N$201,'Trial Rows'!$B$2:$B$201,'Trial Rows'!B160,'Trial Rows'!$C$2:$C$201,'Trial Rows'!C160,'Trial Rows'!$F$2:$F$201,'Trial Rows'!F160,'Trial Rows'!$G$2:$G$201,'Trial Rows'!G160,'Trial Rows'!$Y$2:$Y$201,'Trial Rows'!Y160,'Trial Rows'!$I$2:$I$201,3)+SUMIFS('Trial Rows'!$N$2:$N$201,'Trial Rows'!$B$2:$B$201,'Trial Rows'!B160,'Trial Rows'!$C$2:$C$201,'Trial Rows'!C160,'Trial Rows'!$F$2:$F$201,'Trial Rows'!F160,'Trial Rows'!$G$2:$G$201,'Trial Rows'!G160,'Trial Rows'!$Y$2:$Y$201,'Trial Rows'!Y160,'Trial Rows'!$I$2:$I$201,4),"")</x:f>
      </x:c>
      <x:c r="S160" s="2" t="n">
        <x:f>IF(AND(B160=1,COUNTIFS('Trial Rows'!$C$2:C160,'Trial Rows'!C160,'Trial Rows'!$F$2:F160,Summary!$B$5,'Trial Rows'!$Y$2:Y160,Summary!$B$4)=1),1,0)</x:f>
        <x:v>0</x:v>
      </x:c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 t="str">
        <x:f>IF('Trial Rows'!A161="","",'Trial Rows'!F161&amp;"|"&amp;'Trial Rows'!B161&amp;"|"&amp;'Trial Rows'!C161&amp;"|"&amp;'Trial Rows'!I161)</x:f>
      </x:c>
      <x:c r="B161" s="2" t="n">
        <x:f>IF(AND('Trial Rows'!A161&lt;&gt;"",'Trial Rows'!Y161=Summary!$B$4,'Trial Rows'!F161=Summary!$B$5),1,0)</x:f>
        <x:v>0</x:v>
      </x:c>
      <x:c r="C161" s="2" t="n">
        <x:f>IF(B161=1,COUNTIFS('Trial Rows'!$B$2:$B$201,'Trial Rows'!B161,'Trial Rows'!$C$2:$C$201,'Trial Rows'!C161,'Trial Rows'!$F$2:$F$201,'Trial Rows'!F161,'Trial Rows'!$I$2:$I$201,'Trial Rows'!I161,'Trial Rows'!$Y$2:$Y$201,'Trial Rows'!Y161,'Trial Rows'!$G$2:$G$201,"A"),0)</x:f>
        <x:v>0</x:v>
      </x:c>
      <x:c r="D161" s="2" t="n">
        <x:f>IF(B161=1,COUNTIFS('Trial Rows'!$B$2:$B$201,'Trial Rows'!B161,'Trial Rows'!$C$2:$C$201,'Trial Rows'!C161,'Trial Rows'!$F$2:$F$201,'Trial Rows'!F161,'Trial Rows'!$I$2:$I$201,'Trial Rows'!I161,'Trial Rows'!$Y$2:$Y$201,'Trial Rows'!Y161,'Trial Rows'!$G$2:$G$201,"B"),0)</x:f>
        <x:v>0</x:v>
      </x:c>
      <x:c r="E161" s="2" t="str">
        <x:f>IF(AND(C161=1,COUNTIFS('Trial Rows'!$B$2:$B$201,'Trial Rows'!B161,'Trial Rows'!$C$2:$C$201,'Trial Rows'!C161,'Trial Rows'!$F$2:$F$201,'Trial Rows'!F161,'Trial Rows'!$I$2:$I$201,'Trial Rows'!I161,'Trial Rows'!$Y$2:$Y$201,'Trial Rows'!Y161,'Trial Rows'!$G$2:$G$201,"A",'Trial Rows'!$K$2:$K$201,"&gt;=0",'Trial Rows'!$K$2:$K$201,"&lt;=4",'Trial Rows'!$K$2:$K$201,"&lt;&gt;")=1),SUMIFS('Trial Rows'!$K$2:$K$201,'Trial Rows'!$B$2:$B$201,'Trial Rows'!B161,'Trial Rows'!$C$2:$C$201,'Trial Rows'!C161,'Trial Rows'!$F$2:$F$201,'Trial Rows'!F161,'Trial Rows'!$I$2:$I$201,'Trial Rows'!I161,'Trial Rows'!$Y$2:$Y$201,'Trial Rows'!Y161,'Trial Rows'!$G$2:$G$201,"A"),"")</x:f>
      </x:c>
      <x:c r="F161" s="2" t="n">
        <x:f>IF(AND(B161=1,'Trial Rows'!G161="B",C161=1,D161=1,ISNUMBER(E161),ISNUMBER('Trial Rows'!M161),'Trial Rows'!M161&gt;=0,'Trial Rows'!M161&lt;=4,'Trial Rows'!Q161=0,'Trial Rows'!S161=0),1,0)</x:f>
        <x:v>0</x:v>
      </x:c>
      <x:c r="G161" s="2" t="n">
        <x:f>IF(F161=1,IF(E161='Trial Rows'!M161,1,0),0)</x:f>
        <x:v>0</x:v>
      </x:c>
      <x:c r="H161" s="2" t="n">
        <x:f>IF(AND(B161=1,'Trial Rows'!G161="B",C161=1,D161=1,ISNUMBER(E161),'Trial Rows'!R161=1,'Trial Rows'!Q161=0,'Trial Rows'!S161=0,ISNUMBER('Trial Rows'!L161),'Trial Rows'!L161&gt;=0,'Trial Rows'!L161&lt;=4),1,0)</x:f>
        <x:v>0</x:v>
      </x:c>
      <x:c r="I161" s="2" t="n">
        <x:f>IF(H161=1,IF(E161='Trial Rows'!L161,1,0),0)</x:f>
        <x:v>0</x:v>
      </x:c>
      <x:c r="J161" s="2" t="n">
        <x:f>IF(AND(B161=1,'Trial Rows'!G161="B",'Trial Rows'!P161&gt;0),1,0)</x:f>
        <x:v>0</x:v>
      </x:c>
      <x:c r="K161" s="2" t="n">
        <x:f>IF(AND(B161=1,'Trial Rows'!G161="B",'Trial Rows'!Q161=1),1,0)</x:f>
        <x:v>0</x:v>
      </x:c>
      <x:c r="L161" s="2" t="n">
        <x:f>IF(AND(B161=1,'Trial Rows'!G161="B",'Trial Rows'!R161=1,'Trial Rows'!Q161=0,'Trial Rows'!S161=0),1,0)</x:f>
        <x:v>0</x:v>
      </x:c>
      <x:c r="M161" s="2" t="n">
        <x:f>IF(AND(B161=1,'Trial Rows'!G161="B"),1,0)</x:f>
        <x:v>0</x:v>
      </x:c>
      <x:c r="N161" s="2" t="n">
        <x:f>IF(AND(B161=1,'Trial Rows'!I161=1,COUNTIFS('Trial Rows'!$B$2:$B$201,'Trial Rows'!B161,'Trial Rows'!$C$2:$C$201,'Trial Rows'!C161,'Trial Rows'!$F$2:$F$201,'Trial Rows'!F161,'Trial Rows'!$G$2:$G$201,'Trial Rows'!G161,'Trial Rows'!$Y$2:$Y$201,'Trial Rows'!Y161)=4,COUNTIFS('Trial Rows'!$B$2:$B$201,'Trial Rows'!B161,'Trial Rows'!$C$2:$C$201,'Trial Rows'!C161,'Trial Rows'!$F$2:$F$201,'Trial Rows'!F161,'Trial Rows'!$G$2:$G$201,'Trial Rows'!G161,'Trial Rows'!$Y$2:$Y$201,'Trial Rows'!Y161,'Trial Rows'!$I$2:$I$201,1)=1,COUNTIFS('Trial Rows'!$B$2:$B$201,'Trial Rows'!B161,'Trial Rows'!$C$2:$C$201,'Trial Rows'!C161,'Trial Rows'!$F$2:$F$201,'Trial Rows'!F161,'Trial Rows'!$G$2:$G$201,'Trial Rows'!G161,'Trial Rows'!$Y$2:$Y$201,'Trial Rows'!Y161,'Trial Rows'!$I$2:$I$201,2)=1,COUNTIFS('Trial Rows'!$B$2:$B$201,'Trial Rows'!B161,'Trial Rows'!$C$2:$C$201,'Trial Rows'!C161,'Trial Rows'!$F$2:$F$201,'Trial Rows'!F161,'Trial Rows'!$G$2:$G$201,'Trial Rows'!G161,'Trial Rows'!$Y$2:$Y$201,'Trial Rows'!Y161,'Trial Rows'!$I$2:$I$201,3)=1,COUNTIFS('Trial Rows'!$B$2:$B$201,'Trial Rows'!B161,'Trial Rows'!$C$2:$C$201,'Trial Rows'!C161,'Trial Rows'!$F$2:$F$201,'Trial Rows'!F161,'Trial Rows'!$G$2:$G$201,'Trial Rows'!G161,'Trial Rows'!$Y$2:$Y$201,'Trial Rows'!Y161,'Trial Rows'!$I$2:$I$201,4)=1,COUNTIFS('Trial Rows'!$B$2:$B$201,'Trial Rows'!B161,'Trial Rows'!$C$2:$C$201,'Trial Rows'!C161,'Trial Rows'!$F$2:$F$201,'Trial Rows'!F161,'Trial Rows'!$G$2:$G$201,'Trial Rows'!G161,'Trial Rows'!$Y$2:$Y$201,'Trial Rows'!Y161,'Trial Rows'!$W$2:$W$201,"&lt;&gt;")=4,ISNUMBER('Trial Rows'!U161),COUNTIFS('Trial Rows'!$B$2:$B$201,'Trial Rows'!B161,'Trial Rows'!$C$2:$C$201,'Trial Rows'!C161,'Trial Rows'!$F$2:$F$201,'Trial Rows'!F161,'Trial Rows'!$G$2:$G$201,'Trial Rows'!G161,'Trial Rows'!$Y$2:$Y$201,'Trial Rows'!Y161,'Trial Rows'!$U$2:$U$201,'Trial Rows'!U161)=4,'Trial Rows'!U161&gt;=0),1,0)</x:f>
        <x:v>0</x:v>
      </x:c>
      <x:c r="O161" s="2" t="str">
        <x:f>IF(N161=1,'Trial Rows'!U161/1000,"")</x:f>
      </x:c>
      <x:c r="P161" s="2" t="str">
        <x:f>IF(AND(N161=1,'Trial Rows'!G161="A"),O161,"")</x:f>
      </x:c>
      <x:c r="Q161" s="2" t="str">
        <x:f>IF(AND(N161=1,'Trial Rows'!G161="B"),O161,"")</x:f>
      </x:c>
      <x:c r="R161" s="2" t="str">
        <x:f>IF(AND(N161=1,COUNTIFS('Trial Rows'!$B$2:$B$201,'Trial Rows'!B161,'Trial Rows'!$C$2:$C$201,'Trial Rows'!C161,'Trial Rows'!$F$2:$F$201,'Trial Rows'!F161,'Trial Rows'!$G$2:$G$201,'Trial Rows'!G161,'Trial Rows'!$Y$2:$Y$201,'Trial Rows'!Y161,'Trial Rows'!$N$2:$N$201,"&gt;=0",'Trial Rows'!$N$2:$N$201,"&lt;=4",'Trial Rows'!$N$2:$N$201,"&lt;&gt;")=4),SUMIFS('Trial Rows'!$N$2:$N$201,'Trial Rows'!$B$2:$B$201,'Trial Rows'!B161,'Trial Rows'!$C$2:$C$201,'Trial Rows'!C161,'Trial Rows'!$F$2:$F$201,'Trial Rows'!F161,'Trial Rows'!$G$2:$G$201,'Trial Rows'!G161,'Trial Rows'!$Y$2:$Y$201,'Trial Rows'!Y161,'Trial Rows'!$I$2:$I$201,1)+4-SUMIFS('Trial Rows'!$N$2:$N$201,'Trial Rows'!$B$2:$B$201,'Trial Rows'!B161,'Trial Rows'!$C$2:$C$201,'Trial Rows'!C161,'Trial Rows'!$F$2:$F$201,'Trial Rows'!F161,'Trial Rows'!$G$2:$G$201,'Trial Rows'!G161,'Trial Rows'!$Y$2:$Y$201,'Trial Rows'!Y161,'Trial Rows'!$I$2:$I$201,2)+4-SUMIFS('Trial Rows'!$N$2:$N$201,'Trial Rows'!$B$2:$B$201,'Trial Rows'!B161,'Trial Rows'!$C$2:$C$201,'Trial Rows'!C161,'Trial Rows'!$F$2:$F$201,'Trial Rows'!F161,'Trial Rows'!$G$2:$G$201,'Trial Rows'!G161,'Trial Rows'!$Y$2:$Y$201,'Trial Rows'!Y161,'Trial Rows'!$I$2:$I$201,3)+SUMIFS('Trial Rows'!$N$2:$N$201,'Trial Rows'!$B$2:$B$201,'Trial Rows'!B161,'Trial Rows'!$C$2:$C$201,'Trial Rows'!C161,'Trial Rows'!$F$2:$F$201,'Trial Rows'!F161,'Trial Rows'!$G$2:$G$201,'Trial Rows'!G161,'Trial Rows'!$Y$2:$Y$201,'Trial Rows'!Y161,'Trial Rows'!$I$2:$I$201,4),"")</x:f>
      </x:c>
      <x:c r="S161" s="2" t="n">
        <x:f>IF(AND(B161=1,COUNTIFS('Trial Rows'!$C$2:C161,'Trial Rows'!C161,'Trial Rows'!$F$2:F161,Summary!$B$5,'Trial Rows'!$Y$2:Y161,Summary!$B$4)=1),1,0)</x:f>
        <x:v>0</x:v>
      </x:c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 t="str">
        <x:f>IF('Trial Rows'!A162="","",'Trial Rows'!F162&amp;"|"&amp;'Trial Rows'!B162&amp;"|"&amp;'Trial Rows'!C162&amp;"|"&amp;'Trial Rows'!I162)</x:f>
      </x:c>
      <x:c r="B162" s="2" t="n">
        <x:f>IF(AND('Trial Rows'!A162&lt;&gt;"",'Trial Rows'!Y162=Summary!$B$4,'Trial Rows'!F162=Summary!$B$5),1,0)</x:f>
        <x:v>0</x:v>
      </x:c>
      <x:c r="C162" s="2" t="n">
        <x:f>IF(B162=1,COUNTIFS('Trial Rows'!$B$2:$B$201,'Trial Rows'!B162,'Trial Rows'!$C$2:$C$201,'Trial Rows'!C162,'Trial Rows'!$F$2:$F$201,'Trial Rows'!F162,'Trial Rows'!$I$2:$I$201,'Trial Rows'!I162,'Trial Rows'!$Y$2:$Y$201,'Trial Rows'!Y162,'Trial Rows'!$G$2:$G$201,"A"),0)</x:f>
        <x:v>0</x:v>
      </x:c>
      <x:c r="D162" s="2" t="n">
        <x:f>IF(B162=1,COUNTIFS('Trial Rows'!$B$2:$B$201,'Trial Rows'!B162,'Trial Rows'!$C$2:$C$201,'Trial Rows'!C162,'Trial Rows'!$F$2:$F$201,'Trial Rows'!F162,'Trial Rows'!$I$2:$I$201,'Trial Rows'!I162,'Trial Rows'!$Y$2:$Y$201,'Trial Rows'!Y162,'Trial Rows'!$G$2:$G$201,"B"),0)</x:f>
        <x:v>0</x:v>
      </x:c>
      <x:c r="E162" s="2" t="str">
        <x:f>IF(AND(C162=1,COUNTIFS('Trial Rows'!$B$2:$B$201,'Trial Rows'!B162,'Trial Rows'!$C$2:$C$201,'Trial Rows'!C162,'Trial Rows'!$F$2:$F$201,'Trial Rows'!F162,'Trial Rows'!$I$2:$I$201,'Trial Rows'!I162,'Trial Rows'!$Y$2:$Y$201,'Trial Rows'!Y162,'Trial Rows'!$G$2:$G$201,"A",'Trial Rows'!$K$2:$K$201,"&gt;=0",'Trial Rows'!$K$2:$K$201,"&lt;=4",'Trial Rows'!$K$2:$K$201,"&lt;&gt;")=1),SUMIFS('Trial Rows'!$K$2:$K$201,'Trial Rows'!$B$2:$B$201,'Trial Rows'!B162,'Trial Rows'!$C$2:$C$201,'Trial Rows'!C162,'Trial Rows'!$F$2:$F$201,'Trial Rows'!F162,'Trial Rows'!$I$2:$I$201,'Trial Rows'!I162,'Trial Rows'!$Y$2:$Y$201,'Trial Rows'!Y162,'Trial Rows'!$G$2:$G$201,"A"),"")</x:f>
      </x:c>
      <x:c r="F162" s="2" t="n">
        <x:f>IF(AND(B162=1,'Trial Rows'!G162="B",C162=1,D162=1,ISNUMBER(E162),ISNUMBER('Trial Rows'!M162),'Trial Rows'!M162&gt;=0,'Trial Rows'!M162&lt;=4,'Trial Rows'!Q162=0,'Trial Rows'!S162=0),1,0)</x:f>
        <x:v>0</x:v>
      </x:c>
      <x:c r="G162" s="2" t="n">
        <x:f>IF(F162=1,IF(E162='Trial Rows'!M162,1,0),0)</x:f>
        <x:v>0</x:v>
      </x:c>
      <x:c r="H162" s="2" t="n">
        <x:f>IF(AND(B162=1,'Trial Rows'!G162="B",C162=1,D162=1,ISNUMBER(E162),'Trial Rows'!R162=1,'Trial Rows'!Q162=0,'Trial Rows'!S162=0,ISNUMBER('Trial Rows'!L162),'Trial Rows'!L162&gt;=0,'Trial Rows'!L162&lt;=4),1,0)</x:f>
        <x:v>0</x:v>
      </x:c>
      <x:c r="I162" s="2" t="n">
        <x:f>IF(H162=1,IF(E162='Trial Rows'!L162,1,0),0)</x:f>
        <x:v>0</x:v>
      </x:c>
      <x:c r="J162" s="2" t="n">
        <x:f>IF(AND(B162=1,'Trial Rows'!G162="B",'Trial Rows'!P162&gt;0),1,0)</x:f>
        <x:v>0</x:v>
      </x:c>
      <x:c r="K162" s="2" t="n">
        <x:f>IF(AND(B162=1,'Trial Rows'!G162="B",'Trial Rows'!Q162=1),1,0)</x:f>
        <x:v>0</x:v>
      </x:c>
      <x:c r="L162" s="2" t="n">
        <x:f>IF(AND(B162=1,'Trial Rows'!G162="B",'Trial Rows'!R162=1,'Trial Rows'!Q162=0,'Trial Rows'!S162=0),1,0)</x:f>
        <x:v>0</x:v>
      </x:c>
      <x:c r="M162" s="2" t="n">
        <x:f>IF(AND(B162=1,'Trial Rows'!G162="B"),1,0)</x:f>
        <x:v>0</x:v>
      </x:c>
      <x:c r="N162" s="2" t="n">
        <x:f>IF(AND(B162=1,'Trial Rows'!I162=1,COUNTIFS('Trial Rows'!$B$2:$B$201,'Trial Rows'!B162,'Trial Rows'!$C$2:$C$201,'Trial Rows'!C162,'Trial Rows'!$F$2:$F$201,'Trial Rows'!F162,'Trial Rows'!$G$2:$G$201,'Trial Rows'!G162,'Trial Rows'!$Y$2:$Y$201,'Trial Rows'!Y162)=4,COUNTIFS('Trial Rows'!$B$2:$B$201,'Trial Rows'!B162,'Trial Rows'!$C$2:$C$201,'Trial Rows'!C162,'Trial Rows'!$F$2:$F$201,'Trial Rows'!F162,'Trial Rows'!$G$2:$G$201,'Trial Rows'!G162,'Trial Rows'!$Y$2:$Y$201,'Trial Rows'!Y162,'Trial Rows'!$I$2:$I$201,1)=1,COUNTIFS('Trial Rows'!$B$2:$B$201,'Trial Rows'!B162,'Trial Rows'!$C$2:$C$201,'Trial Rows'!C162,'Trial Rows'!$F$2:$F$201,'Trial Rows'!F162,'Trial Rows'!$G$2:$G$201,'Trial Rows'!G162,'Trial Rows'!$Y$2:$Y$201,'Trial Rows'!Y162,'Trial Rows'!$I$2:$I$201,2)=1,COUNTIFS('Trial Rows'!$B$2:$B$201,'Trial Rows'!B162,'Trial Rows'!$C$2:$C$201,'Trial Rows'!C162,'Trial Rows'!$F$2:$F$201,'Trial Rows'!F162,'Trial Rows'!$G$2:$G$201,'Trial Rows'!G162,'Trial Rows'!$Y$2:$Y$201,'Trial Rows'!Y162,'Trial Rows'!$I$2:$I$201,3)=1,COUNTIFS('Trial Rows'!$B$2:$B$201,'Trial Rows'!B162,'Trial Rows'!$C$2:$C$201,'Trial Rows'!C162,'Trial Rows'!$F$2:$F$201,'Trial Rows'!F162,'Trial Rows'!$G$2:$G$201,'Trial Rows'!G162,'Trial Rows'!$Y$2:$Y$201,'Trial Rows'!Y162,'Trial Rows'!$I$2:$I$201,4)=1,COUNTIFS('Trial Rows'!$B$2:$B$201,'Trial Rows'!B162,'Trial Rows'!$C$2:$C$201,'Trial Rows'!C162,'Trial Rows'!$F$2:$F$201,'Trial Rows'!F162,'Trial Rows'!$G$2:$G$201,'Trial Rows'!G162,'Trial Rows'!$Y$2:$Y$201,'Trial Rows'!Y162,'Trial Rows'!$W$2:$W$201,"&lt;&gt;")=4,ISNUMBER('Trial Rows'!U162),COUNTIFS('Trial Rows'!$B$2:$B$201,'Trial Rows'!B162,'Trial Rows'!$C$2:$C$201,'Trial Rows'!C162,'Trial Rows'!$F$2:$F$201,'Trial Rows'!F162,'Trial Rows'!$G$2:$G$201,'Trial Rows'!G162,'Trial Rows'!$Y$2:$Y$201,'Trial Rows'!Y162,'Trial Rows'!$U$2:$U$201,'Trial Rows'!U162)=4,'Trial Rows'!U162&gt;=0),1,0)</x:f>
        <x:v>0</x:v>
      </x:c>
      <x:c r="O162" s="2" t="str">
        <x:f>IF(N162=1,'Trial Rows'!U162/1000,"")</x:f>
      </x:c>
      <x:c r="P162" s="2" t="str">
        <x:f>IF(AND(N162=1,'Trial Rows'!G162="A"),O162,"")</x:f>
      </x:c>
      <x:c r="Q162" s="2" t="str">
        <x:f>IF(AND(N162=1,'Trial Rows'!G162="B"),O162,"")</x:f>
      </x:c>
      <x:c r="R162" s="2" t="str">
        <x:f>IF(AND(N162=1,COUNTIFS('Trial Rows'!$B$2:$B$201,'Trial Rows'!B162,'Trial Rows'!$C$2:$C$201,'Trial Rows'!C162,'Trial Rows'!$F$2:$F$201,'Trial Rows'!F162,'Trial Rows'!$G$2:$G$201,'Trial Rows'!G162,'Trial Rows'!$Y$2:$Y$201,'Trial Rows'!Y162,'Trial Rows'!$N$2:$N$201,"&gt;=0",'Trial Rows'!$N$2:$N$201,"&lt;=4",'Trial Rows'!$N$2:$N$201,"&lt;&gt;")=4),SUMIFS('Trial Rows'!$N$2:$N$201,'Trial Rows'!$B$2:$B$201,'Trial Rows'!B162,'Trial Rows'!$C$2:$C$201,'Trial Rows'!C162,'Trial Rows'!$F$2:$F$201,'Trial Rows'!F162,'Trial Rows'!$G$2:$G$201,'Trial Rows'!G162,'Trial Rows'!$Y$2:$Y$201,'Trial Rows'!Y162,'Trial Rows'!$I$2:$I$201,1)+4-SUMIFS('Trial Rows'!$N$2:$N$201,'Trial Rows'!$B$2:$B$201,'Trial Rows'!B162,'Trial Rows'!$C$2:$C$201,'Trial Rows'!C162,'Trial Rows'!$F$2:$F$201,'Trial Rows'!F162,'Trial Rows'!$G$2:$G$201,'Trial Rows'!G162,'Trial Rows'!$Y$2:$Y$201,'Trial Rows'!Y162,'Trial Rows'!$I$2:$I$201,2)+4-SUMIFS('Trial Rows'!$N$2:$N$201,'Trial Rows'!$B$2:$B$201,'Trial Rows'!B162,'Trial Rows'!$C$2:$C$201,'Trial Rows'!C162,'Trial Rows'!$F$2:$F$201,'Trial Rows'!F162,'Trial Rows'!$G$2:$G$201,'Trial Rows'!G162,'Trial Rows'!$Y$2:$Y$201,'Trial Rows'!Y162,'Trial Rows'!$I$2:$I$201,3)+SUMIFS('Trial Rows'!$N$2:$N$201,'Trial Rows'!$B$2:$B$201,'Trial Rows'!B162,'Trial Rows'!$C$2:$C$201,'Trial Rows'!C162,'Trial Rows'!$F$2:$F$201,'Trial Rows'!F162,'Trial Rows'!$G$2:$G$201,'Trial Rows'!G162,'Trial Rows'!$Y$2:$Y$201,'Trial Rows'!Y162,'Trial Rows'!$I$2:$I$201,4),"")</x:f>
      </x:c>
      <x:c r="S162" s="2" t="n">
        <x:f>IF(AND(B162=1,COUNTIFS('Trial Rows'!$C$2:C162,'Trial Rows'!C162,'Trial Rows'!$F$2:F162,Summary!$B$5,'Trial Rows'!$Y$2:Y162,Summary!$B$4)=1),1,0)</x:f>
        <x:v>0</x:v>
      </x:c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 t="str">
        <x:f>IF('Trial Rows'!A163="","",'Trial Rows'!F163&amp;"|"&amp;'Trial Rows'!B163&amp;"|"&amp;'Trial Rows'!C163&amp;"|"&amp;'Trial Rows'!I163)</x:f>
      </x:c>
      <x:c r="B163" s="2" t="n">
        <x:f>IF(AND('Trial Rows'!A163&lt;&gt;"",'Trial Rows'!Y163=Summary!$B$4,'Trial Rows'!F163=Summary!$B$5),1,0)</x:f>
        <x:v>0</x:v>
      </x:c>
      <x:c r="C163" s="2" t="n">
        <x:f>IF(B163=1,COUNTIFS('Trial Rows'!$B$2:$B$201,'Trial Rows'!B163,'Trial Rows'!$C$2:$C$201,'Trial Rows'!C163,'Trial Rows'!$F$2:$F$201,'Trial Rows'!F163,'Trial Rows'!$I$2:$I$201,'Trial Rows'!I163,'Trial Rows'!$Y$2:$Y$201,'Trial Rows'!Y163,'Trial Rows'!$G$2:$G$201,"A"),0)</x:f>
        <x:v>0</x:v>
      </x:c>
      <x:c r="D163" s="2" t="n">
        <x:f>IF(B163=1,COUNTIFS('Trial Rows'!$B$2:$B$201,'Trial Rows'!B163,'Trial Rows'!$C$2:$C$201,'Trial Rows'!C163,'Trial Rows'!$F$2:$F$201,'Trial Rows'!F163,'Trial Rows'!$I$2:$I$201,'Trial Rows'!I163,'Trial Rows'!$Y$2:$Y$201,'Trial Rows'!Y163,'Trial Rows'!$G$2:$G$201,"B"),0)</x:f>
        <x:v>0</x:v>
      </x:c>
      <x:c r="E163" s="2" t="str">
        <x:f>IF(AND(C163=1,COUNTIFS('Trial Rows'!$B$2:$B$201,'Trial Rows'!B163,'Trial Rows'!$C$2:$C$201,'Trial Rows'!C163,'Trial Rows'!$F$2:$F$201,'Trial Rows'!F163,'Trial Rows'!$I$2:$I$201,'Trial Rows'!I163,'Trial Rows'!$Y$2:$Y$201,'Trial Rows'!Y163,'Trial Rows'!$G$2:$G$201,"A",'Trial Rows'!$K$2:$K$201,"&gt;=0",'Trial Rows'!$K$2:$K$201,"&lt;=4",'Trial Rows'!$K$2:$K$201,"&lt;&gt;")=1),SUMIFS('Trial Rows'!$K$2:$K$201,'Trial Rows'!$B$2:$B$201,'Trial Rows'!B163,'Trial Rows'!$C$2:$C$201,'Trial Rows'!C163,'Trial Rows'!$F$2:$F$201,'Trial Rows'!F163,'Trial Rows'!$I$2:$I$201,'Trial Rows'!I163,'Trial Rows'!$Y$2:$Y$201,'Trial Rows'!Y163,'Trial Rows'!$G$2:$G$201,"A"),"")</x:f>
      </x:c>
      <x:c r="F163" s="2" t="n">
        <x:f>IF(AND(B163=1,'Trial Rows'!G163="B",C163=1,D163=1,ISNUMBER(E163),ISNUMBER('Trial Rows'!M163),'Trial Rows'!M163&gt;=0,'Trial Rows'!M163&lt;=4,'Trial Rows'!Q163=0,'Trial Rows'!S163=0),1,0)</x:f>
        <x:v>0</x:v>
      </x:c>
      <x:c r="G163" s="2" t="n">
        <x:f>IF(F163=1,IF(E163='Trial Rows'!M163,1,0),0)</x:f>
        <x:v>0</x:v>
      </x:c>
      <x:c r="H163" s="2" t="n">
        <x:f>IF(AND(B163=1,'Trial Rows'!G163="B",C163=1,D163=1,ISNUMBER(E163),'Trial Rows'!R163=1,'Trial Rows'!Q163=0,'Trial Rows'!S163=0,ISNUMBER('Trial Rows'!L163),'Trial Rows'!L163&gt;=0,'Trial Rows'!L163&lt;=4),1,0)</x:f>
        <x:v>0</x:v>
      </x:c>
      <x:c r="I163" s="2" t="n">
        <x:f>IF(H163=1,IF(E163='Trial Rows'!L163,1,0),0)</x:f>
        <x:v>0</x:v>
      </x:c>
      <x:c r="J163" s="2" t="n">
        <x:f>IF(AND(B163=1,'Trial Rows'!G163="B",'Trial Rows'!P163&gt;0),1,0)</x:f>
        <x:v>0</x:v>
      </x:c>
      <x:c r="K163" s="2" t="n">
        <x:f>IF(AND(B163=1,'Trial Rows'!G163="B",'Trial Rows'!Q163=1),1,0)</x:f>
        <x:v>0</x:v>
      </x:c>
      <x:c r="L163" s="2" t="n">
        <x:f>IF(AND(B163=1,'Trial Rows'!G163="B",'Trial Rows'!R163=1,'Trial Rows'!Q163=0,'Trial Rows'!S163=0),1,0)</x:f>
        <x:v>0</x:v>
      </x:c>
      <x:c r="M163" s="2" t="n">
        <x:f>IF(AND(B163=1,'Trial Rows'!G163="B"),1,0)</x:f>
        <x:v>0</x:v>
      </x:c>
      <x:c r="N163" s="2" t="n">
        <x:f>IF(AND(B163=1,'Trial Rows'!I163=1,COUNTIFS('Trial Rows'!$B$2:$B$201,'Trial Rows'!B163,'Trial Rows'!$C$2:$C$201,'Trial Rows'!C163,'Trial Rows'!$F$2:$F$201,'Trial Rows'!F163,'Trial Rows'!$G$2:$G$201,'Trial Rows'!G163,'Trial Rows'!$Y$2:$Y$201,'Trial Rows'!Y163)=4,COUNTIFS('Trial Rows'!$B$2:$B$201,'Trial Rows'!B163,'Trial Rows'!$C$2:$C$201,'Trial Rows'!C163,'Trial Rows'!$F$2:$F$201,'Trial Rows'!F163,'Trial Rows'!$G$2:$G$201,'Trial Rows'!G163,'Trial Rows'!$Y$2:$Y$201,'Trial Rows'!Y163,'Trial Rows'!$I$2:$I$201,1)=1,COUNTIFS('Trial Rows'!$B$2:$B$201,'Trial Rows'!B163,'Trial Rows'!$C$2:$C$201,'Trial Rows'!C163,'Trial Rows'!$F$2:$F$201,'Trial Rows'!F163,'Trial Rows'!$G$2:$G$201,'Trial Rows'!G163,'Trial Rows'!$Y$2:$Y$201,'Trial Rows'!Y163,'Trial Rows'!$I$2:$I$201,2)=1,COUNTIFS('Trial Rows'!$B$2:$B$201,'Trial Rows'!B163,'Trial Rows'!$C$2:$C$201,'Trial Rows'!C163,'Trial Rows'!$F$2:$F$201,'Trial Rows'!F163,'Trial Rows'!$G$2:$G$201,'Trial Rows'!G163,'Trial Rows'!$Y$2:$Y$201,'Trial Rows'!Y163,'Trial Rows'!$I$2:$I$201,3)=1,COUNTIFS('Trial Rows'!$B$2:$B$201,'Trial Rows'!B163,'Trial Rows'!$C$2:$C$201,'Trial Rows'!C163,'Trial Rows'!$F$2:$F$201,'Trial Rows'!F163,'Trial Rows'!$G$2:$G$201,'Trial Rows'!G163,'Trial Rows'!$Y$2:$Y$201,'Trial Rows'!Y163,'Trial Rows'!$I$2:$I$201,4)=1,COUNTIFS('Trial Rows'!$B$2:$B$201,'Trial Rows'!B163,'Trial Rows'!$C$2:$C$201,'Trial Rows'!C163,'Trial Rows'!$F$2:$F$201,'Trial Rows'!F163,'Trial Rows'!$G$2:$G$201,'Trial Rows'!G163,'Trial Rows'!$Y$2:$Y$201,'Trial Rows'!Y163,'Trial Rows'!$W$2:$W$201,"&lt;&gt;")=4,ISNUMBER('Trial Rows'!U163),COUNTIFS('Trial Rows'!$B$2:$B$201,'Trial Rows'!B163,'Trial Rows'!$C$2:$C$201,'Trial Rows'!C163,'Trial Rows'!$F$2:$F$201,'Trial Rows'!F163,'Trial Rows'!$G$2:$G$201,'Trial Rows'!G163,'Trial Rows'!$Y$2:$Y$201,'Trial Rows'!Y163,'Trial Rows'!$U$2:$U$201,'Trial Rows'!U163)=4,'Trial Rows'!U163&gt;=0),1,0)</x:f>
        <x:v>0</x:v>
      </x:c>
      <x:c r="O163" s="2" t="str">
        <x:f>IF(N163=1,'Trial Rows'!U163/1000,"")</x:f>
      </x:c>
      <x:c r="P163" s="2" t="str">
        <x:f>IF(AND(N163=1,'Trial Rows'!G163="A"),O163,"")</x:f>
      </x:c>
      <x:c r="Q163" s="2" t="str">
        <x:f>IF(AND(N163=1,'Trial Rows'!G163="B"),O163,"")</x:f>
      </x:c>
      <x:c r="R163" s="2" t="str">
        <x:f>IF(AND(N163=1,COUNTIFS('Trial Rows'!$B$2:$B$201,'Trial Rows'!B163,'Trial Rows'!$C$2:$C$201,'Trial Rows'!C163,'Trial Rows'!$F$2:$F$201,'Trial Rows'!F163,'Trial Rows'!$G$2:$G$201,'Trial Rows'!G163,'Trial Rows'!$Y$2:$Y$201,'Trial Rows'!Y163,'Trial Rows'!$N$2:$N$201,"&gt;=0",'Trial Rows'!$N$2:$N$201,"&lt;=4",'Trial Rows'!$N$2:$N$201,"&lt;&gt;")=4),SUMIFS('Trial Rows'!$N$2:$N$201,'Trial Rows'!$B$2:$B$201,'Trial Rows'!B163,'Trial Rows'!$C$2:$C$201,'Trial Rows'!C163,'Trial Rows'!$F$2:$F$201,'Trial Rows'!F163,'Trial Rows'!$G$2:$G$201,'Trial Rows'!G163,'Trial Rows'!$Y$2:$Y$201,'Trial Rows'!Y163,'Trial Rows'!$I$2:$I$201,1)+4-SUMIFS('Trial Rows'!$N$2:$N$201,'Trial Rows'!$B$2:$B$201,'Trial Rows'!B163,'Trial Rows'!$C$2:$C$201,'Trial Rows'!C163,'Trial Rows'!$F$2:$F$201,'Trial Rows'!F163,'Trial Rows'!$G$2:$G$201,'Trial Rows'!G163,'Trial Rows'!$Y$2:$Y$201,'Trial Rows'!Y163,'Trial Rows'!$I$2:$I$201,2)+4-SUMIFS('Trial Rows'!$N$2:$N$201,'Trial Rows'!$B$2:$B$201,'Trial Rows'!B163,'Trial Rows'!$C$2:$C$201,'Trial Rows'!C163,'Trial Rows'!$F$2:$F$201,'Trial Rows'!F163,'Trial Rows'!$G$2:$G$201,'Trial Rows'!G163,'Trial Rows'!$Y$2:$Y$201,'Trial Rows'!Y163,'Trial Rows'!$I$2:$I$201,3)+SUMIFS('Trial Rows'!$N$2:$N$201,'Trial Rows'!$B$2:$B$201,'Trial Rows'!B163,'Trial Rows'!$C$2:$C$201,'Trial Rows'!C163,'Trial Rows'!$F$2:$F$201,'Trial Rows'!F163,'Trial Rows'!$G$2:$G$201,'Trial Rows'!G163,'Trial Rows'!$Y$2:$Y$201,'Trial Rows'!Y163,'Trial Rows'!$I$2:$I$201,4),"")</x:f>
      </x:c>
      <x:c r="S163" s="2" t="n">
        <x:f>IF(AND(B163=1,COUNTIFS('Trial Rows'!$C$2:C163,'Trial Rows'!C163,'Trial Rows'!$F$2:F163,Summary!$B$5,'Trial Rows'!$Y$2:Y163,Summary!$B$4)=1),1,0)</x:f>
        <x:v>0</x:v>
      </x:c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 t="str">
        <x:f>IF('Trial Rows'!A164="","",'Trial Rows'!F164&amp;"|"&amp;'Trial Rows'!B164&amp;"|"&amp;'Trial Rows'!C164&amp;"|"&amp;'Trial Rows'!I164)</x:f>
      </x:c>
      <x:c r="B164" s="2" t="n">
        <x:f>IF(AND('Trial Rows'!A164&lt;&gt;"",'Trial Rows'!Y164=Summary!$B$4,'Trial Rows'!F164=Summary!$B$5),1,0)</x:f>
        <x:v>0</x:v>
      </x:c>
      <x:c r="C164" s="2" t="n">
        <x:f>IF(B164=1,COUNTIFS('Trial Rows'!$B$2:$B$201,'Trial Rows'!B164,'Trial Rows'!$C$2:$C$201,'Trial Rows'!C164,'Trial Rows'!$F$2:$F$201,'Trial Rows'!F164,'Trial Rows'!$I$2:$I$201,'Trial Rows'!I164,'Trial Rows'!$Y$2:$Y$201,'Trial Rows'!Y164,'Trial Rows'!$G$2:$G$201,"A"),0)</x:f>
        <x:v>0</x:v>
      </x:c>
      <x:c r="D164" s="2" t="n">
        <x:f>IF(B164=1,COUNTIFS('Trial Rows'!$B$2:$B$201,'Trial Rows'!B164,'Trial Rows'!$C$2:$C$201,'Trial Rows'!C164,'Trial Rows'!$F$2:$F$201,'Trial Rows'!F164,'Trial Rows'!$I$2:$I$201,'Trial Rows'!I164,'Trial Rows'!$Y$2:$Y$201,'Trial Rows'!Y164,'Trial Rows'!$G$2:$G$201,"B"),0)</x:f>
        <x:v>0</x:v>
      </x:c>
      <x:c r="E164" s="2" t="str">
        <x:f>IF(AND(C164=1,COUNTIFS('Trial Rows'!$B$2:$B$201,'Trial Rows'!B164,'Trial Rows'!$C$2:$C$201,'Trial Rows'!C164,'Trial Rows'!$F$2:$F$201,'Trial Rows'!F164,'Trial Rows'!$I$2:$I$201,'Trial Rows'!I164,'Trial Rows'!$Y$2:$Y$201,'Trial Rows'!Y164,'Trial Rows'!$G$2:$G$201,"A",'Trial Rows'!$K$2:$K$201,"&gt;=0",'Trial Rows'!$K$2:$K$201,"&lt;=4",'Trial Rows'!$K$2:$K$201,"&lt;&gt;")=1),SUMIFS('Trial Rows'!$K$2:$K$201,'Trial Rows'!$B$2:$B$201,'Trial Rows'!B164,'Trial Rows'!$C$2:$C$201,'Trial Rows'!C164,'Trial Rows'!$F$2:$F$201,'Trial Rows'!F164,'Trial Rows'!$I$2:$I$201,'Trial Rows'!I164,'Trial Rows'!$Y$2:$Y$201,'Trial Rows'!Y164,'Trial Rows'!$G$2:$G$201,"A"),"")</x:f>
      </x:c>
      <x:c r="F164" s="2" t="n">
        <x:f>IF(AND(B164=1,'Trial Rows'!G164="B",C164=1,D164=1,ISNUMBER(E164),ISNUMBER('Trial Rows'!M164),'Trial Rows'!M164&gt;=0,'Trial Rows'!M164&lt;=4,'Trial Rows'!Q164=0,'Trial Rows'!S164=0),1,0)</x:f>
        <x:v>0</x:v>
      </x:c>
      <x:c r="G164" s="2" t="n">
        <x:f>IF(F164=1,IF(E164='Trial Rows'!M164,1,0),0)</x:f>
        <x:v>0</x:v>
      </x:c>
      <x:c r="H164" s="2" t="n">
        <x:f>IF(AND(B164=1,'Trial Rows'!G164="B",C164=1,D164=1,ISNUMBER(E164),'Trial Rows'!R164=1,'Trial Rows'!Q164=0,'Trial Rows'!S164=0,ISNUMBER('Trial Rows'!L164),'Trial Rows'!L164&gt;=0,'Trial Rows'!L164&lt;=4),1,0)</x:f>
        <x:v>0</x:v>
      </x:c>
      <x:c r="I164" s="2" t="n">
        <x:f>IF(H164=1,IF(E164='Trial Rows'!L164,1,0),0)</x:f>
        <x:v>0</x:v>
      </x:c>
      <x:c r="J164" s="2" t="n">
        <x:f>IF(AND(B164=1,'Trial Rows'!G164="B",'Trial Rows'!P164&gt;0),1,0)</x:f>
        <x:v>0</x:v>
      </x:c>
      <x:c r="K164" s="2" t="n">
        <x:f>IF(AND(B164=1,'Trial Rows'!G164="B",'Trial Rows'!Q164=1),1,0)</x:f>
        <x:v>0</x:v>
      </x:c>
      <x:c r="L164" s="2" t="n">
        <x:f>IF(AND(B164=1,'Trial Rows'!G164="B",'Trial Rows'!R164=1,'Trial Rows'!Q164=0,'Trial Rows'!S164=0),1,0)</x:f>
        <x:v>0</x:v>
      </x:c>
      <x:c r="M164" s="2" t="n">
        <x:f>IF(AND(B164=1,'Trial Rows'!G164="B"),1,0)</x:f>
        <x:v>0</x:v>
      </x:c>
      <x:c r="N164" s="2" t="n">
        <x:f>IF(AND(B164=1,'Trial Rows'!I164=1,COUNTIFS('Trial Rows'!$B$2:$B$201,'Trial Rows'!B164,'Trial Rows'!$C$2:$C$201,'Trial Rows'!C164,'Trial Rows'!$F$2:$F$201,'Trial Rows'!F164,'Trial Rows'!$G$2:$G$201,'Trial Rows'!G164,'Trial Rows'!$Y$2:$Y$201,'Trial Rows'!Y164)=4,COUNTIFS('Trial Rows'!$B$2:$B$201,'Trial Rows'!B164,'Trial Rows'!$C$2:$C$201,'Trial Rows'!C164,'Trial Rows'!$F$2:$F$201,'Trial Rows'!F164,'Trial Rows'!$G$2:$G$201,'Trial Rows'!G164,'Trial Rows'!$Y$2:$Y$201,'Trial Rows'!Y164,'Trial Rows'!$I$2:$I$201,1)=1,COUNTIFS('Trial Rows'!$B$2:$B$201,'Trial Rows'!B164,'Trial Rows'!$C$2:$C$201,'Trial Rows'!C164,'Trial Rows'!$F$2:$F$201,'Trial Rows'!F164,'Trial Rows'!$G$2:$G$201,'Trial Rows'!G164,'Trial Rows'!$Y$2:$Y$201,'Trial Rows'!Y164,'Trial Rows'!$I$2:$I$201,2)=1,COUNTIFS('Trial Rows'!$B$2:$B$201,'Trial Rows'!B164,'Trial Rows'!$C$2:$C$201,'Trial Rows'!C164,'Trial Rows'!$F$2:$F$201,'Trial Rows'!F164,'Trial Rows'!$G$2:$G$201,'Trial Rows'!G164,'Trial Rows'!$Y$2:$Y$201,'Trial Rows'!Y164,'Trial Rows'!$I$2:$I$201,3)=1,COUNTIFS('Trial Rows'!$B$2:$B$201,'Trial Rows'!B164,'Trial Rows'!$C$2:$C$201,'Trial Rows'!C164,'Trial Rows'!$F$2:$F$201,'Trial Rows'!F164,'Trial Rows'!$G$2:$G$201,'Trial Rows'!G164,'Trial Rows'!$Y$2:$Y$201,'Trial Rows'!Y164,'Trial Rows'!$I$2:$I$201,4)=1,COUNTIFS('Trial Rows'!$B$2:$B$201,'Trial Rows'!B164,'Trial Rows'!$C$2:$C$201,'Trial Rows'!C164,'Trial Rows'!$F$2:$F$201,'Trial Rows'!F164,'Trial Rows'!$G$2:$G$201,'Trial Rows'!G164,'Trial Rows'!$Y$2:$Y$201,'Trial Rows'!Y164,'Trial Rows'!$W$2:$W$201,"&lt;&gt;")=4,ISNUMBER('Trial Rows'!U164),COUNTIFS('Trial Rows'!$B$2:$B$201,'Trial Rows'!B164,'Trial Rows'!$C$2:$C$201,'Trial Rows'!C164,'Trial Rows'!$F$2:$F$201,'Trial Rows'!F164,'Trial Rows'!$G$2:$G$201,'Trial Rows'!G164,'Trial Rows'!$Y$2:$Y$201,'Trial Rows'!Y164,'Trial Rows'!$U$2:$U$201,'Trial Rows'!U164)=4,'Trial Rows'!U164&gt;=0),1,0)</x:f>
        <x:v>0</x:v>
      </x:c>
      <x:c r="O164" s="2" t="str">
        <x:f>IF(N164=1,'Trial Rows'!U164/1000,"")</x:f>
      </x:c>
      <x:c r="P164" s="2" t="str">
        <x:f>IF(AND(N164=1,'Trial Rows'!G164="A"),O164,"")</x:f>
      </x:c>
      <x:c r="Q164" s="2" t="str">
        <x:f>IF(AND(N164=1,'Trial Rows'!G164="B"),O164,"")</x:f>
      </x:c>
      <x:c r="R164" s="2" t="str">
        <x:f>IF(AND(N164=1,COUNTIFS('Trial Rows'!$B$2:$B$201,'Trial Rows'!B164,'Trial Rows'!$C$2:$C$201,'Trial Rows'!C164,'Trial Rows'!$F$2:$F$201,'Trial Rows'!F164,'Trial Rows'!$G$2:$G$201,'Trial Rows'!G164,'Trial Rows'!$Y$2:$Y$201,'Trial Rows'!Y164,'Trial Rows'!$N$2:$N$201,"&gt;=0",'Trial Rows'!$N$2:$N$201,"&lt;=4",'Trial Rows'!$N$2:$N$201,"&lt;&gt;")=4),SUMIFS('Trial Rows'!$N$2:$N$201,'Trial Rows'!$B$2:$B$201,'Trial Rows'!B164,'Trial Rows'!$C$2:$C$201,'Trial Rows'!C164,'Trial Rows'!$F$2:$F$201,'Trial Rows'!F164,'Trial Rows'!$G$2:$G$201,'Trial Rows'!G164,'Trial Rows'!$Y$2:$Y$201,'Trial Rows'!Y164,'Trial Rows'!$I$2:$I$201,1)+4-SUMIFS('Trial Rows'!$N$2:$N$201,'Trial Rows'!$B$2:$B$201,'Trial Rows'!B164,'Trial Rows'!$C$2:$C$201,'Trial Rows'!C164,'Trial Rows'!$F$2:$F$201,'Trial Rows'!F164,'Trial Rows'!$G$2:$G$201,'Trial Rows'!G164,'Trial Rows'!$Y$2:$Y$201,'Trial Rows'!Y164,'Trial Rows'!$I$2:$I$201,2)+4-SUMIFS('Trial Rows'!$N$2:$N$201,'Trial Rows'!$B$2:$B$201,'Trial Rows'!B164,'Trial Rows'!$C$2:$C$201,'Trial Rows'!C164,'Trial Rows'!$F$2:$F$201,'Trial Rows'!F164,'Trial Rows'!$G$2:$G$201,'Trial Rows'!G164,'Trial Rows'!$Y$2:$Y$201,'Trial Rows'!Y164,'Trial Rows'!$I$2:$I$201,3)+SUMIFS('Trial Rows'!$N$2:$N$201,'Trial Rows'!$B$2:$B$201,'Trial Rows'!B164,'Trial Rows'!$C$2:$C$201,'Trial Rows'!C164,'Trial Rows'!$F$2:$F$201,'Trial Rows'!F164,'Trial Rows'!$G$2:$G$201,'Trial Rows'!G164,'Trial Rows'!$Y$2:$Y$201,'Trial Rows'!Y164,'Trial Rows'!$I$2:$I$201,4),"")</x:f>
      </x:c>
      <x:c r="S164" s="2" t="n">
        <x:f>IF(AND(B164=1,COUNTIFS('Trial Rows'!$C$2:C164,'Trial Rows'!C164,'Trial Rows'!$F$2:F164,Summary!$B$5,'Trial Rows'!$Y$2:Y164,Summary!$B$4)=1),1,0)</x:f>
        <x:v>0</x:v>
      </x:c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 t="str">
        <x:f>IF('Trial Rows'!A165="","",'Trial Rows'!F165&amp;"|"&amp;'Trial Rows'!B165&amp;"|"&amp;'Trial Rows'!C165&amp;"|"&amp;'Trial Rows'!I165)</x:f>
      </x:c>
      <x:c r="B165" s="2" t="n">
        <x:f>IF(AND('Trial Rows'!A165&lt;&gt;"",'Trial Rows'!Y165=Summary!$B$4,'Trial Rows'!F165=Summary!$B$5),1,0)</x:f>
        <x:v>0</x:v>
      </x:c>
      <x:c r="C165" s="2" t="n">
        <x:f>IF(B165=1,COUNTIFS('Trial Rows'!$B$2:$B$201,'Trial Rows'!B165,'Trial Rows'!$C$2:$C$201,'Trial Rows'!C165,'Trial Rows'!$F$2:$F$201,'Trial Rows'!F165,'Trial Rows'!$I$2:$I$201,'Trial Rows'!I165,'Trial Rows'!$Y$2:$Y$201,'Trial Rows'!Y165,'Trial Rows'!$G$2:$G$201,"A"),0)</x:f>
        <x:v>0</x:v>
      </x:c>
      <x:c r="D165" s="2" t="n">
        <x:f>IF(B165=1,COUNTIFS('Trial Rows'!$B$2:$B$201,'Trial Rows'!B165,'Trial Rows'!$C$2:$C$201,'Trial Rows'!C165,'Trial Rows'!$F$2:$F$201,'Trial Rows'!F165,'Trial Rows'!$I$2:$I$201,'Trial Rows'!I165,'Trial Rows'!$Y$2:$Y$201,'Trial Rows'!Y165,'Trial Rows'!$G$2:$G$201,"B"),0)</x:f>
        <x:v>0</x:v>
      </x:c>
      <x:c r="E165" s="2" t="str">
        <x:f>IF(AND(C165=1,COUNTIFS('Trial Rows'!$B$2:$B$201,'Trial Rows'!B165,'Trial Rows'!$C$2:$C$201,'Trial Rows'!C165,'Trial Rows'!$F$2:$F$201,'Trial Rows'!F165,'Trial Rows'!$I$2:$I$201,'Trial Rows'!I165,'Trial Rows'!$Y$2:$Y$201,'Trial Rows'!Y165,'Trial Rows'!$G$2:$G$201,"A",'Trial Rows'!$K$2:$K$201,"&gt;=0",'Trial Rows'!$K$2:$K$201,"&lt;=4",'Trial Rows'!$K$2:$K$201,"&lt;&gt;")=1),SUMIFS('Trial Rows'!$K$2:$K$201,'Trial Rows'!$B$2:$B$201,'Trial Rows'!B165,'Trial Rows'!$C$2:$C$201,'Trial Rows'!C165,'Trial Rows'!$F$2:$F$201,'Trial Rows'!F165,'Trial Rows'!$I$2:$I$201,'Trial Rows'!I165,'Trial Rows'!$Y$2:$Y$201,'Trial Rows'!Y165,'Trial Rows'!$G$2:$G$201,"A"),"")</x:f>
      </x:c>
      <x:c r="F165" s="2" t="n">
        <x:f>IF(AND(B165=1,'Trial Rows'!G165="B",C165=1,D165=1,ISNUMBER(E165),ISNUMBER('Trial Rows'!M165),'Trial Rows'!M165&gt;=0,'Trial Rows'!M165&lt;=4,'Trial Rows'!Q165=0,'Trial Rows'!S165=0),1,0)</x:f>
        <x:v>0</x:v>
      </x:c>
      <x:c r="G165" s="2" t="n">
        <x:f>IF(F165=1,IF(E165='Trial Rows'!M165,1,0),0)</x:f>
        <x:v>0</x:v>
      </x:c>
      <x:c r="H165" s="2" t="n">
        <x:f>IF(AND(B165=1,'Trial Rows'!G165="B",C165=1,D165=1,ISNUMBER(E165),'Trial Rows'!R165=1,'Trial Rows'!Q165=0,'Trial Rows'!S165=0,ISNUMBER('Trial Rows'!L165),'Trial Rows'!L165&gt;=0,'Trial Rows'!L165&lt;=4),1,0)</x:f>
        <x:v>0</x:v>
      </x:c>
      <x:c r="I165" s="2" t="n">
        <x:f>IF(H165=1,IF(E165='Trial Rows'!L165,1,0),0)</x:f>
        <x:v>0</x:v>
      </x:c>
      <x:c r="J165" s="2" t="n">
        <x:f>IF(AND(B165=1,'Trial Rows'!G165="B",'Trial Rows'!P165&gt;0),1,0)</x:f>
        <x:v>0</x:v>
      </x:c>
      <x:c r="K165" s="2" t="n">
        <x:f>IF(AND(B165=1,'Trial Rows'!G165="B",'Trial Rows'!Q165=1),1,0)</x:f>
        <x:v>0</x:v>
      </x:c>
      <x:c r="L165" s="2" t="n">
        <x:f>IF(AND(B165=1,'Trial Rows'!G165="B",'Trial Rows'!R165=1,'Trial Rows'!Q165=0,'Trial Rows'!S165=0),1,0)</x:f>
        <x:v>0</x:v>
      </x:c>
      <x:c r="M165" s="2" t="n">
        <x:f>IF(AND(B165=1,'Trial Rows'!G165="B"),1,0)</x:f>
        <x:v>0</x:v>
      </x:c>
      <x:c r="N165" s="2" t="n">
        <x:f>IF(AND(B165=1,'Trial Rows'!I165=1,COUNTIFS('Trial Rows'!$B$2:$B$201,'Trial Rows'!B165,'Trial Rows'!$C$2:$C$201,'Trial Rows'!C165,'Trial Rows'!$F$2:$F$201,'Trial Rows'!F165,'Trial Rows'!$G$2:$G$201,'Trial Rows'!G165,'Trial Rows'!$Y$2:$Y$201,'Trial Rows'!Y165)=4,COUNTIFS('Trial Rows'!$B$2:$B$201,'Trial Rows'!B165,'Trial Rows'!$C$2:$C$201,'Trial Rows'!C165,'Trial Rows'!$F$2:$F$201,'Trial Rows'!F165,'Trial Rows'!$G$2:$G$201,'Trial Rows'!G165,'Trial Rows'!$Y$2:$Y$201,'Trial Rows'!Y165,'Trial Rows'!$I$2:$I$201,1)=1,COUNTIFS('Trial Rows'!$B$2:$B$201,'Trial Rows'!B165,'Trial Rows'!$C$2:$C$201,'Trial Rows'!C165,'Trial Rows'!$F$2:$F$201,'Trial Rows'!F165,'Trial Rows'!$G$2:$G$201,'Trial Rows'!G165,'Trial Rows'!$Y$2:$Y$201,'Trial Rows'!Y165,'Trial Rows'!$I$2:$I$201,2)=1,COUNTIFS('Trial Rows'!$B$2:$B$201,'Trial Rows'!B165,'Trial Rows'!$C$2:$C$201,'Trial Rows'!C165,'Trial Rows'!$F$2:$F$201,'Trial Rows'!F165,'Trial Rows'!$G$2:$G$201,'Trial Rows'!G165,'Trial Rows'!$Y$2:$Y$201,'Trial Rows'!Y165,'Trial Rows'!$I$2:$I$201,3)=1,COUNTIFS('Trial Rows'!$B$2:$B$201,'Trial Rows'!B165,'Trial Rows'!$C$2:$C$201,'Trial Rows'!C165,'Trial Rows'!$F$2:$F$201,'Trial Rows'!F165,'Trial Rows'!$G$2:$G$201,'Trial Rows'!G165,'Trial Rows'!$Y$2:$Y$201,'Trial Rows'!Y165,'Trial Rows'!$I$2:$I$201,4)=1,COUNTIFS('Trial Rows'!$B$2:$B$201,'Trial Rows'!B165,'Trial Rows'!$C$2:$C$201,'Trial Rows'!C165,'Trial Rows'!$F$2:$F$201,'Trial Rows'!F165,'Trial Rows'!$G$2:$G$201,'Trial Rows'!G165,'Trial Rows'!$Y$2:$Y$201,'Trial Rows'!Y165,'Trial Rows'!$W$2:$W$201,"&lt;&gt;")=4,ISNUMBER('Trial Rows'!U165),COUNTIFS('Trial Rows'!$B$2:$B$201,'Trial Rows'!B165,'Trial Rows'!$C$2:$C$201,'Trial Rows'!C165,'Trial Rows'!$F$2:$F$201,'Trial Rows'!F165,'Trial Rows'!$G$2:$G$201,'Trial Rows'!G165,'Trial Rows'!$Y$2:$Y$201,'Trial Rows'!Y165,'Trial Rows'!$U$2:$U$201,'Trial Rows'!U165)=4,'Trial Rows'!U165&gt;=0),1,0)</x:f>
        <x:v>0</x:v>
      </x:c>
      <x:c r="O165" s="2" t="str">
        <x:f>IF(N165=1,'Trial Rows'!U165/1000,"")</x:f>
      </x:c>
      <x:c r="P165" s="2" t="str">
        <x:f>IF(AND(N165=1,'Trial Rows'!G165="A"),O165,"")</x:f>
      </x:c>
      <x:c r="Q165" s="2" t="str">
        <x:f>IF(AND(N165=1,'Trial Rows'!G165="B"),O165,"")</x:f>
      </x:c>
      <x:c r="R165" s="2" t="str">
        <x:f>IF(AND(N165=1,COUNTIFS('Trial Rows'!$B$2:$B$201,'Trial Rows'!B165,'Trial Rows'!$C$2:$C$201,'Trial Rows'!C165,'Trial Rows'!$F$2:$F$201,'Trial Rows'!F165,'Trial Rows'!$G$2:$G$201,'Trial Rows'!G165,'Trial Rows'!$Y$2:$Y$201,'Trial Rows'!Y165,'Trial Rows'!$N$2:$N$201,"&gt;=0",'Trial Rows'!$N$2:$N$201,"&lt;=4",'Trial Rows'!$N$2:$N$201,"&lt;&gt;")=4),SUMIFS('Trial Rows'!$N$2:$N$201,'Trial Rows'!$B$2:$B$201,'Trial Rows'!B165,'Trial Rows'!$C$2:$C$201,'Trial Rows'!C165,'Trial Rows'!$F$2:$F$201,'Trial Rows'!F165,'Trial Rows'!$G$2:$G$201,'Trial Rows'!G165,'Trial Rows'!$Y$2:$Y$201,'Trial Rows'!Y165,'Trial Rows'!$I$2:$I$201,1)+4-SUMIFS('Trial Rows'!$N$2:$N$201,'Trial Rows'!$B$2:$B$201,'Trial Rows'!B165,'Trial Rows'!$C$2:$C$201,'Trial Rows'!C165,'Trial Rows'!$F$2:$F$201,'Trial Rows'!F165,'Trial Rows'!$G$2:$G$201,'Trial Rows'!G165,'Trial Rows'!$Y$2:$Y$201,'Trial Rows'!Y165,'Trial Rows'!$I$2:$I$201,2)+4-SUMIFS('Trial Rows'!$N$2:$N$201,'Trial Rows'!$B$2:$B$201,'Trial Rows'!B165,'Trial Rows'!$C$2:$C$201,'Trial Rows'!C165,'Trial Rows'!$F$2:$F$201,'Trial Rows'!F165,'Trial Rows'!$G$2:$G$201,'Trial Rows'!G165,'Trial Rows'!$Y$2:$Y$201,'Trial Rows'!Y165,'Trial Rows'!$I$2:$I$201,3)+SUMIFS('Trial Rows'!$N$2:$N$201,'Trial Rows'!$B$2:$B$201,'Trial Rows'!B165,'Trial Rows'!$C$2:$C$201,'Trial Rows'!C165,'Trial Rows'!$F$2:$F$201,'Trial Rows'!F165,'Trial Rows'!$G$2:$G$201,'Trial Rows'!G165,'Trial Rows'!$Y$2:$Y$201,'Trial Rows'!Y165,'Trial Rows'!$I$2:$I$201,4),"")</x:f>
      </x:c>
      <x:c r="S165" s="2" t="n">
        <x:f>IF(AND(B165=1,COUNTIFS('Trial Rows'!$C$2:C165,'Trial Rows'!C165,'Trial Rows'!$F$2:F165,Summary!$B$5,'Trial Rows'!$Y$2:Y165,Summary!$B$4)=1),1,0)</x:f>
        <x:v>0</x:v>
      </x:c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 t="str">
        <x:f>IF('Trial Rows'!A166="","",'Trial Rows'!F166&amp;"|"&amp;'Trial Rows'!B166&amp;"|"&amp;'Trial Rows'!C166&amp;"|"&amp;'Trial Rows'!I166)</x:f>
      </x:c>
      <x:c r="B166" s="2" t="n">
        <x:f>IF(AND('Trial Rows'!A166&lt;&gt;"",'Trial Rows'!Y166=Summary!$B$4,'Trial Rows'!F166=Summary!$B$5),1,0)</x:f>
        <x:v>0</x:v>
      </x:c>
      <x:c r="C166" s="2" t="n">
        <x:f>IF(B166=1,COUNTIFS('Trial Rows'!$B$2:$B$201,'Trial Rows'!B166,'Trial Rows'!$C$2:$C$201,'Trial Rows'!C166,'Trial Rows'!$F$2:$F$201,'Trial Rows'!F166,'Trial Rows'!$I$2:$I$201,'Trial Rows'!I166,'Trial Rows'!$Y$2:$Y$201,'Trial Rows'!Y166,'Trial Rows'!$G$2:$G$201,"A"),0)</x:f>
        <x:v>0</x:v>
      </x:c>
      <x:c r="D166" s="2" t="n">
        <x:f>IF(B166=1,COUNTIFS('Trial Rows'!$B$2:$B$201,'Trial Rows'!B166,'Trial Rows'!$C$2:$C$201,'Trial Rows'!C166,'Trial Rows'!$F$2:$F$201,'Trial Rows'!F166,'Trial Rows'!$I$2:$I$201,'Trial Rows'!I166,'Trial Rows'!$Y$2:$Y$201,'Trial Rows'!Y166,'Trial Rows'!$G$2:$G$201,"B"),0)</x:f>
        <x:v>0</x:v>
      </x:c>
      <x:c r="E166" s="2" t="str">
        <x:f>IF(AND(C166=1,COUNTIFS('Trial Rows'!$B$2:$B$201,'Trial Rows'!B166,'Trial Rows'!$C$2:$C$201,'Trial Rows'!C166,'Trial Rows'!$F$2:$F$201,'Trial Rows'!F166,'Trial Rows'!$I$2:$I$201,'Trial Rows'!I166,'Trial Rows'!$Y$2:$Y$201,'Trial Rows'!Y166,'Trial Rows'!$G$2:$G$201,"A",'Trial Rows'!$K$2:$K$201,"&gt;=0",'Trial Rows'!$K$2:$K$201,"&lt;=4",'Trial Rows'!$K$2:$K$201,"&lt;&gt;")=1),SUMIFS('Trial Rows'!$K$2:$K$201,'Trial Rows'!$B$2:$B$201,'Trial Rows'!B166,'Trial Rows'!$C$2:$C$201,'Trial Rows'!C166,'Trial Rows'!$F$2:$F$201,'Trial Rows'!F166,'Trial Rows'!$I$2:$I$201,'Trial Rows'!I166,'Trial Rows'!$Y$2:$Y$201,'Trial Rows'!Y166,'Trial Rows'!$G$2:$G$201,"A"),"")</x:f>
      </x:c>
      <x:c r="F166" s="2" t="n">
        <x:f>IF(AND(B166=1,'Trial Rows'!G166="B",C166=1,D166=1,ISNUMBER(E166),ISNUMBER('Trial Rows'!M166),'Trial Rows'!M166&gt;=0,'Trial Rows'!M166&lt;=4,'Trial Rows'!Q166=0,'Trial Rows'!S166=0),1,0)</x:f>
        <x:v>0</x:v>
      </x:c>
      <x:c r="G166" s="2" t="n">
        <x:f>IF(F166=1,IF(E166='Trial Rows'!M166,1,0),0)</x:f>
        <x:v>0</x:v>
      </x:c>
      <x:c r="H166" s="2" t="n">
        <x:f>IF(AND(B166=1,'Trial Rows'!G166="B",C166=1,D166=1,ISNUMBER(E166),'Trial Rows'!R166=1,'Trial Rows'!Q166=0,'Trial Rows'!S166=0,ISNUMBER('Trial Rows'!L166),'Trial Rows'!L166&gt;=0,'Trial Rows'!L166&lt;=4),1,0)</x:f>
        <x:v>0</x:v>
      </x:c>
      <x:c r="I166" s="2" t="n">
        <x:f>IF(H166=1,IF(E166='Trial Rows'!L166,1,0),0)</x:f>
        <x:v>0</x:v>
      </x:c>
      <x:c r="J166" s="2" t="n">
        <x:f>IF(AND(B166=1,'Trial Rows'!G166="B",'Trial Rows'!P166&gt;0),1,0)</x:f>
        <x:v>0</x:v>
      </x:c>
      <x:c r="K166" s="2" t="n">
        <x:f>IF(AND(B166=1,'Trial Rows'!G166="B",'Trial Rows'!Q166=1),1,0)</x:f>
        <x:v>0</x:v>
      </x:c>
      <x:c r="L166" s="2" t="n">
        <x:f>IF(AND(B166=1,'Trial Rows'!G166="B",'Trial Rows'!R166=1,'Trial Rows'!Q166=0,'Trial Rows'!S166=0),1,0)</x:f>
        <x:v>0</x:v>
      </x:c>
      <x:c r="M166" s="2" t="n">
        <x:f>IF(AND(B166=1,'Trial Rows'!G166="B"),1,0)</x:f>
        <x:v>0</x:v>
      </x:c>
      <x:c r="N166" s="2" t="n">
        <x:f>IF(AND(B166=1,'Trial Rows'!I166=1,COUNTIFS('Trial Rows'!$B$2:$B$201,'Trial Rows'!B166,'Trial Rows'!$C$2:$C$201,'Trial Rows'!C166,'Trial Rows'!$F$2:$F$201,'Trial Rows'!F166,'Trial Rows'!$G$2:$G$201,'Trial Rows'!G166,'Trial Rows'!$Y$2:$Y$201,'Trial Rows'!Y166)=4,COUNTIFS('Trial Rows'!$B$2:$B$201,'Trial Rows'!B166,'Trial Rows'!$C$2:$C$201,'Trial Rows'!C166,'Trial Rows'!$F$2:$F$201,'Trial Rows'!F166,'Trial Rows'!$G$2:$G$201,'Trial Rows'!G166,'Trial Rows'!$Y$2:$Y$201,'Trial Rows'!Y166,'Trial Rows'!$I$2:$I$201,1)=1,COUNTIFS('Trial Rows'!$B$2:$B$201,'Trial Rows'!B166,'Trial Rows'!$C$2:$C$201,'Trial Rows'!C166,'Trial Rows'!$F$2:$F$201,'Trial Rows'!F166,'Trial Rows'!$G$2:$G$201,'Trial Rows'!G166,'Trial Rows'!$Y$2:$Y$201,'Trial Rows'!Y166,'Trial Rows'!$I$2:$I$201,2)=1,COUNTIFS('Trial Rows'!$B$2:$B$201,'Trial Rows'!B166,'Trial Rows'!$C$2:$C$201,'Trial Rows'!C166,'Trial Rows'!$F$2:$F$201,'Trial Rows'!F166,'Trial Rows'!$G$2:$G$201,'Trial Rows'!G166,'Trial Rows'!$Y$2:$Y$201,'Trial Rows'!Y166,'Trial Rows'!$I$2:$I$201,3)=1,COUNTIFS('Trial Rows'!$B$2:$B$201,'Trial Rows'!B166,'Trial Rows'!$C$2:$C$201,'Trial Rows'!C166,'Trial Rows'!$F$2:$F$201,'Trial Rows'!F166,'Trial Rows'!$G$2:$G$201,'Trial Rows'!G166,'Trial Rows'!$Y$2:$Y$201,'Trial Rows'!Y166,'Trial Rows'!$I$2:$I$201,4)=1,COUNTIFS('Trial Rows'!$B$2:$B$201,'Trial Rows'!B166,'Trial Rows'!$C$2:$C$201,'Trial Rows'!C166,'Trial Rows'!$F$2:$F$201,'Trial Rows'!F166,'Trial Rows'!$G$2:$G$201,'Trial Rows'!G166,'Trial Rows'!$Y$2:$Y$201,'Trial Rows'!Y166,'Trial Rows'!$W$2:$W$201,"&lt;&gt;")=4,ISNUMBER('Trial Rows'!U166),COUNTIFS('Trial Rows'!$B$2:$B$201,'Trial Rows'!B166,'Trial Rows'!$C$2:$C$201,'Trial Rows'!C166,'Trial Rows'!$F$2:$F$201,'Trial Rows'!F166,'Trial Rows'!$G$2:$G$201,'Trial Rows'!G166,'Trial Rows'!$Y$2:$Y$201,'Trial Rows'!Y166,'Trial Rows'!$U$2:$U$201,'Trial Rows'!U166)=4,'Trial Rows'!U166&gt;=0),1,0)</x:f>
        <x:v>0</x:v>
      </x:c>
      <x:c r="O166" s="2" t="str">
        <x:f>IF(N166=1,'Trial Rows'!U166/1000,"")</x:f>
      </x:c>
      <x:c r="P166" s="2" t="str">
        <x:f>IF(AND(N166=1,'Trial Rows'!G166="A"),O166,"")</x:f>
      </x:c>
      <x:c r="Q166" s="2" t="str">
        <x:f>IF(AND(N166=1,'Trial Rows'!G166="B"),O166,"")</x:f>
      </x:c>
      <x:c r="R166" s="2" t="str">
        <x:f>IF(AND(N166=1,COUNTIFS('Trial Rows'!$B$2:$B$201,'Trial Rows'!B166,'Trial Rows'!$C$2:$C$201,'Trial Rows'!C166,'Trial Rows'!$F$2:$F$201,'Trial Rows'!F166,'Trial Rows'!$G$2:$G$201,'Trial Rows'!G166,'Trial Rows'!$Y$2:$Y$201,'Trial Rows'!Y166,'Trial Rows'!$N$2:$N$201,"&gt;=0",'Trial Rows'!$N$2:$N$201,"&lt;=4",'Trial Rows'!$N$2:$N$201,"&lt;&gt;")=4),SUMIFS('Trial Rows'!$N$2:$N$201,'Trial Rows'!$B$2:$B$201,'Trial Rows'!B166,'Trial Rows'!$C$2:$C$201,'Trial Rows'!C166,'Trial Rows'!$F$2:$F$201,'Trial Rows'!F166,'Trial Rows'!$G$2:$G$201,'Trial Rows'!G166,'Trial Rows'!$Y$2:$Y$201,'Trial Rows'!Y166,'Trial Rows'!$I$2:$I$201,1)+4-SUMIFS('Trial Rows'!$N$2:$N$201,'Trial Rows'!$B$2:$B$201,'Trial Rows'!B166,'Trial Rows'!$C$2:$C$201,'Trial Rows'!C166,'Trial Rows'!$F$2:$F$201,'Trial Rows'!F166,'Trial Rows'!$G$2:$G$201,'Trial Rows'!G166,'Trial Rows'!$Y$2:$Y$201,'Trial Rows'!Y166,'Trial Rows'!$I$2:$I$201,2)+4-SUMIFS('Trial Rows'!$N$2:$N$201,'Trial Rows'!$B$2:$B$201,'Trial Rows'!B166,'Trial Rows'!$C$2:$C$201,'Trial Rows'!C166,'Trial Rows'!$F$2:$F$201,'Trial Rows'!F166,'Trial Rows'!$G$2:$G$201,'Trial Rows'!G166,'Trial Rows'!$Y$2:$Y$201,'Trial Rows'!Y166,'Trial Rows'!$I$2:$I$201,3)+SUMIFS('Trial Rows'!$N$2:$N$201,'Trial Rows'!$B$2:$B$201,'Trial Rows'!B166,'Trial Rows'!$C$2:$C$201,'Trial Rows'!C166,'Trial Rows'!$F$2:$F$201,'Trial Rows'!F166,'Trial Rows'!$G$2:$G$201,'Trial Rows'!G166,'Trial Rows'!$Y$2:$Y$201,'Trial Rows'!Y166,'Trial Rows'!$I$2:$I$201,4),"")</x:f>
      </x:c>
      <x:c r="S166" s="2" t="n">
        <x:f>IF(AND(B166=1,COUNTIFS('Trial Rows'!$C$2:C166,'Trial Rows'!C166,'Trial Rows'!$F$2:F166,Summary!$B$5,'Trial Rows'!$Y$2:Y166,Summary!$B$4)=1),1,0)</x:f>
        <x:v>0</x:v>
      </x:c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 t="str">
        <x:f>IF('Trial Rows'!A167="","",'Trial Rows'!F167&amp;"|"&amp;'Trial Rows'!B167&amp;"|"&amp;'Trial Rows'!C167&amp;"|"&amp;'Trial Rows'!I167)</x:f>
      </x:c>
      <x:c r="B167" s="2" t="n">
        <x:f>IF(AND('Trial Rows'!A167&lt;&gt;"",'Trial Rows'!Y167=Summary!$B$4,'Trial Rows'!F167=Summary!$B$5),1,0)</x:f>
        <x:v>0</x:v>
      </x:c>
      <x:c r="C167" s="2" t="n">
        <x:f>IF(B167=1,COUNTIFS('Trial Rows'!$B$2:$B$201,'Trial Rows'!B167,'Trial Rows'!$C$2:$C$201,'Trial Rows'!C167,'Trial Rows'!$F$2:$F$201,'Trial Rows'!F167,'Trial Rows'!$I$2:$I$201,'Trial Rows'!I167,'Trial Rows'!$Y$2:$Y$201,'Trial Rows'!Y167,'Trial Rows'!$G$2:$G$201,"A"),0)</x:f>
        <x:v>0</x:v>
      </x:c>
      <x:c r="D167" s="2" t="n">
        <x:f>IF(B167=1,COUNTIFS('Trial Rows'!$B$2:$B$201,'Trial Rows'!B167,'Trial Rows'!$C$2:$C$201,'Trial Rows'!C167,'Trial Rows'!$F$2:$F$201,'Trial Rows'!F167,'Trial Rows'!$I$2:$I$201,'Trial Rows'!I167,'Trial Rows'!$Y$2:$Y$201,'Trial Rows'!Y167,'Trial Rows'!$G$2:$G$201,"B"),0)</x:f>
        <x:v>0</x:v>
      </x:c>
      <x:c r="E167" s="2" t="str">
        <x:f>IF(AND(C167=1,COUNTIFS('Trial Rows'!$B$2:$B$201,'Trial Rows'!B167,'Trial Rows'!$C$2:$C$201,'Trial Rows'!C167,'Trial Rows'!$F$2:$F$201,'Trial Rows'!F167,'Trial Rows'!$I$2:$I$201,'Trial Rows'!I167,'Trial Rows'!$Y$2:$Y$201,'Trial Rows'!Y167,'Trial Rows'!$G$2:$G$201,"A",'Trial Rows'!$K$2:$K$201,"&gt;=0",'Trial Rows'!$K$2:$K$201,"&lt;=4",'Trial Rows'!$K$2:$K$201,"&lt;&gt;")=1),SUMIFS('Trial Rows'!$K$2:$K$201,'Trial Rows'!$B$2:$B$201,'Trial Rows'!B167,'Trial Rows'!$C$2:$C$201,'Trial Rows'!C167,'Trial Rows'!$F$2:$F$201,'Trial Rows'!F167,'Trial Rows'!$I$2:$I$201,'Trial Rows'!I167,'Trial Rows'!$Y$2:$Y$201,'Trial Rows'!Y167,'Trial Rows'!$G$2:$G$201,"A"),"")</x:f>
      </x:c>
      <x:c r="F167" s="2" t="n">
        <x:f>IF(AND(B167=1,'Trial Rows'!G167="B",C167=1,D167=1,ISNUMBER(E167),ISNUMBER('Trial Rows'!M167),'Trial Rows'!M167&gt;=0,'Trial Rows'!M167&lt;=4,'Trial Rows'!Q167=0,'Trial Rows'!S167=0),1,0)</x:f>
        <x:v>0</x:v>
      </x:c>
      <x:c r="G167" s="2" t="n">
        <x:f>IF(F167=1,IF(E167='Trial Rows'!M167,1,0),0)</x:f>
        <x:v>0</x:v>
      </x:c>
      <x:c r="H167" s="2" t="n">
        <x:f>IF(AND(B167=1,'Trial Rows'!G167="B",C167=1,D167=1,ISNUMBER(E167),'Trial Rows'!R167=1,'Trial Rows'!Q167=0,'Trial Rows'!S167=0,ISNUMBER('Trial Rows'!L167),'Trial Rows'!L167&gt;=0,'Trial Rows'!L167&lt;=4),1,0)</x:f>
        <x:v>0</x:v>
      </x:c>
      <x:c r="I167" s="2" t="n">
        <x:f>IF(H167=1,IF(E167='Trial Rows'!L167,1,0),0)</x:f>
        <x:v>0</x:v>
      </x:c>
      <x:c r="J167" s="2" t="n">
        <x:f>IF(AND(B167=1,'Trial Rows'!G167="B",'Trial Rows'!P167&gt;0),1,0)</x:f>
        <x:v>0</x:v>
      </x:c>
      <x:c r="K167" s="2" t="n">
        <x:f>IF(AND(B167=1,'Trial Rows'!G167="B",'Trial Rows'!Q167=1),1,0)</x:f>
        <x:v>0</x:v>
      </x:c>
      <x:c r="L167" s="2" t="n">
        <x:f>IF(AND(B167=1,'Trial Rows'!G167="B",'Trial Rows'!R167=1,'Trial Rows'!Q167=0,'Trial Rows'!S167=0),1,0)</x:f>
        <x:v>0</x:v>
      </x:c>
      <x:c r="M167" s="2" t="n">
        <x:f>IF(AND(B167=1,'Trial Rows'!G167="B"),1,0)</x:f>
        <x:v>0</x:v>
      </x:c>
      <x:c r="N167" s="2" t="n">
        <x:f>IF(AND(B167=1,'Trial Rows'!I167=1,COUNTIFS('Trial Rows'!$B$2:$B$201,'Trial Rows'!B167,'Trial Rows'!$C$2:$C$201,'Trial Rows'!C167,'Trial Rows'!$F$2:$F$201,'Trial Rows'!F167,'Trial Rows'!$G$2:$G$201,'Trial Rows'!G167,'Trial Rows'!$Y$2:$Y$201,'Trial Rows'!Y167)=4,COUNTIFS('Trial Rows'!$B$2:$B$201,'Trial Rows'!B167,'Trial Rows'!$C$2:$C$201,'Trial Rows'!C167,'Trial Rows'!$F$2:$F$201,'Trial Rows'!F167,'Trial Rows'!$G$2:$G$201,'Trial Rows'!G167,'Trial Rows'!$Y$2:$Y$201,'Trial Rows'!Y167,'Trial Rows'!$I$2:$I$201,1)=1,COUNTIFS('Trial Rows'!$B$2:$B$201,'Trial Rows'!B167,'Trial Rows'!$C$2:$C$201,'Trial Rows'!C167,'Trial Rows'!$F$2:$F$201,'Trial Rows'!F167,'Trial Rows'!$G$2:$G$201,'Trial Rows'!G167,'Trial Rows'!$Y$2:$Y$201,'Trial Rows'!Y167,'Trial Rows'!$I$2:$I$201,2)=1,COUNTIFS('Trial Rows'!$B$2:$B$201,'Trial Rows'!B167,'Trial Rows'!$C$2:$C$201,'Trial Rows'!C167,'Trial Rows'!$F$2:$F$201,'Trial Rows'!F167,'Trial Rows'!$G$2:$G$201,'Trial Rows'!G167,'Trial Rows'!$Y$2:$Y$201,'Trial Rows'!Y167,'Trial Rows'!$I$2:$I$201,3)=1,COUNTIFS('Trial Rows'!$B$2:$B$201,'Trial Rows'!B167,'Trial Rows'!$C$2:$C$201,'Trial Rows'!C167,'Trial Rows'!$F$2:$F$201,'Trial Rows'!F167,'Trial Rows'!$G$2:$G$201,'Trial Rows'!G167,'Trial Rows'!$Y$2:$Y$201,'Trial Rows'!Y167,'Trial Rows'!$I$2:$I$201,4)=1,COUNTIFS('Trial Rows'!$B$2:$B$201,'Trial Rows'!B167,'Trial Rows'!$C$2:$C$201,'Trial Rows'!C167,'Trial Rows'!$F$2:$F$201,'Trial Rows'!F167,'Trial Rows'!$G$2:$G$201,'Trial Rows'!G167,'Trial Rows'!$Y$2:$Y$201,'Trial Rows'!Y167,'Trial Rows'!$W$2:$W$201,"&lt;&gt;")=4,ISNUMBER('Trial Rows'!U167),COUNTIFS('Trial Rows'!$B$2:$B$201,'Trial Rows'!B167,'Trial Rows'!$C$2:$C$201,'Trial Rows'!C167,'Trial Rows'!$F$2:$F$201,'Trial Rows'!F167,'Trial Rows'!$G$2:$G$201,'Trial Rows'!G167,'Trial Rows'!$Y$2:$Y$201,'Trial Rows'!Y167,'Trial Rows'!$U$2:$U$201,'Trial Rows'!U167)=4,'Trial Rows'!U167&gt;=0),1,0)</x:f>
        <x:v>0</x:v>
      </x:c>
      <x:c r="O167" s="2" t="str">
        <x:f>IF(N167=1,'Trial Rows'!U167/1000,"")</x:f>
      </x:c>
      <x:c r="P167" s="2" t="str">
        <x:f>IF(AND(N167=1,'Trial Rows'!G167="A"),O167,"")</x:f>
      </x:c>
      <x:c r="Q167" s="2" t="str">
        <x:f>IF(AND(N167=1,'Trial Rows'!G167="B"),O167,"")</x:f>
      </x:c>
      <x:c r="R167" s="2" t="str">
        <x:f>IF(AND(N167=1,COUNTIFS('Trial Rows'!$B$2:$B$201,'Trial Rows'!B167,'Trial Rows'!$C$2:$C$201,'Trial Rows'!C167,'Trial Rows'!$F$2:$F$201,'Trial Rows'!F167,'Trial Rows'!$G$2:$G$201,'Trial Rows'!G167,'Trial Rows'!$Y$2:$Y$201,'Trial Rows'!Y167,'Trial Rows'!$N$2:$N$201,"&gt;=0",'Trial Rows'!$N$2:$N$201,"&lt;=4",'Trial Rows'!$N$2:$N$201,"&lt;&gt;")=4),SUMIFS('Trial Rows'!$N$2:$N$201,'Trial Rows'!$B$2:$B$201,'Trial Rows'!B167,'Trial Rows'!$C$2:$C$201,'Trial Rows'!C167,'Trial Rows'!$F$2:$F$201,'Trial Rows'!F167,'Trial Rows'!$G$2:$G$201,'Trial Rows'!G167,'Trial Rows'!$Y$2:$Y$201,'Trial Rows'!Y167,'Trial Rows'!$I$2:$I$201,1)+4-SUMIFS('Trial Rows'!$N$2:$N$201,'Trial Rows'!$B$2:$B$201,'Trial Rows'!B167,'Trial Rows'!$C$2:$C$201,'Trial Rows'!C167,'Trial Rows'!$F$2:$F$201,'Trial Rows'!F167,'Trial Rows'!$G$2:$G$201,'Trial Rows'!G167,'Trial Rows'!$Y$2:$Y$201,'Trial Rows'!Y167,'Trial Rows'!$I$2:$I$201,2)+4-SUMIFS('Trial Rows'!$N$2:$N$201,'Trial Rows'!$B$2:$B$201,'Trial Rows'!B167,'Trial Rows'!$C$2:$C$201,'Trial Rows'!C167,'Trial Rows'!$F$2:$F$201,'Trial Rows'!F167,'Trial Rows'!$G$2:$G$201,'Trial Rows'!G167,'Trial Rows'!$Y$2:$Y$201,'Trial Rows'!Y167,'Trial Rows'!$I$2:$I$201,3)+SUMIFS('Trial Rows'!$N$2:$N$201,'Trial Rows'!$B$2:$B$201,'Trial Rows'!B167,'Trial Rows'!$C$2:$C$201,'Trial Rows'!C167,'Trial Rows'!$F$2:$F$201,'Trial Rows'!F167,'Trial Rows'!$G$2:$G$201,'Trial Rows'!G167,'Trial Rows'!$Y$2:$Y$201,'Trial Rows'!Y167,'Trial Rows'!$I$2:$I$201,4),"")</x:f>
      </x:c>
      <x:c r="S167" s="2" t="n">
        <x:f>IF(AND(B167=1,COUNTIFS('Trial Rows'!$C$2:C167,'Trial Rows'!C167,'Trial Rows'!$F$2:F167,Summary!$B$5,'Trial Rows'!$Y$2:Y167,Summary!$B$4)=1),1,0)</x:f>
        <x:v>0</x:v>
      </x:c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 t="str">
        <x:f>IF('Trial Rows'!A168="","",'Trial Rows'!F168&amp;"|"&amp;'Trial Rows'!B168&amp;"|"&amp;'Trial Rows'!C168&amp;"|"&amp;'Trial Rows'!I168)</x:f>
      </x:c>
      <x:c r="B168" s="2" t="n">
        <x:f>IF(AND('Trial Rows'!A168&lt;&gt;"",'Trial Rows'!Y168=Summary!$B$4,'Trial Rows'!F168=Summary!$B$5),1,0)</x:f>
        <x:v>0</x:v>
      </x:c>
      <x:c r="C168" s="2" t="n">
        <x:f>IF(B168=1,COUNTIFS('Trial Rows'!$B$2:$B$201,'Trial Rows'!B168,'Trial Rows'!$C$2:$C$201,'Trial Rows'!C168,'Trial Rows'!$F$2:$F$201,'Trial Rows'!F168,'Trial Rows'!$I$2:$I$201,'Trial Rows'!I168,'Trial Rows'!$Y$2:$Y$201,'Trial Rows'!Y168,'Trial Rows'!$G$2:$G$201,"A"),0)</x:f>
        <x:v>0</x:v>
      </x:c>
      <x:c r="D168" s="2" t="n">
        <x:f>IF(B168=1,COUNTIFS('Trial Rows'!$B$2:$B$201,'Trial Rows'!B168,'Trial Rows'!$C$2:$C$201,'Trial Rows'!C168,'Trial Rows'!$F$2:$F$201,'Trial Rows'!F168,'Trial Rows'!$I$2:$I$201,'Trial Rows'!I168,'Trial Rows'!$Y$2:$Y$201,'Trial Rows'!Y168,'Trial Rows'!$G$2:$G$201,"B"),0)</x:f>
        <x:v>0</x:v>
      </x:c>
      <x:c r="E168" s="2" t="str">
        <x:f>IF(AND(C168=1,COUNTIFS('Trial Rows'!$B$2:$B$201,'Trial Rows'!B168,'Trial Rows'!$C$2:$C$201,'Trial Rows'!C168,'Trial Rows'!$F$2:$F$201,'Trial Rows'!F168,'Trial Rows'!$I$2:$I$201,'Trial Rows'!I168,'Trial Rows'!$Y$2:$Y$201,'Trial Rows'!Y168,'Trial Rows'!$G$2:$G$201,"A",'Trial Rows'!$K$2:$K$201,"&gt;=0",'Trial Rows'!$K$2:$K$201,"&lt;=4",'Trial Rows'!$K$2:$K$201,"&lt;&gt;")=1),SUMIFS('Trial Rows'!$K$2:$K$201,'Trial Rows'!$B$2:$B$201,'Trial Rows'!B168,'Trial Rows'!$C$2:$C$201,'Trial Rows'!C168,'Trial Rows'!$F$2:$F$201,'Trial Rows'!F168,'Trial Rows'!$I$2:$I$201,'Trial Rows'!I168,'Trial Rows'!$Y$2:$Y$201,'Trial Rows'!Y168,'Trial Rows'!$G$2:$G$201,"A"),"")</x:f>
      </x:c>
      <x:c r="F168" s="2" t="n">
        <x:f>IF(AND(B168=1,'Trial Rows'!G168="B",C168=1,D168=1,ISNUMBER(E168),ISNUMBER('Trial Rows'!M168),'Trial Rows'!M168&gt;=0,'Trial Rows'!M168&lt;=4,'Trial Rows'!Q168=0,'Trial Rows'!S168=0),1,0)</x:f>
        <x:v>0</x:v>
      </x:c>
      <x:c r="G168" s="2" t="n">
        <x:f>IF(F168=1,IF(E168='Trial Rows'!M168,1,0),0)</x:f>
        <x:v>0</x:v>
      </x:c>
      <x:c r="H168" s="2" t="n">
        <x:f>IF(AND(B168=1,'Trial Rows'!G168="B",C168=1,D168=1,ISNUMBER(E168),'Trial Rows'!R168=1,'Trial Rows'!Q168=0,'Trial Rows'!S168=0,ISNUMBER('Trial Rows'!L168),'Trial Rows'!L168&gt;=0,'Trial Rows'!L168&lt;=4),1,0)</x:f>
        <x:v>0</x:v>
      </x:c>
      <x:c r="I168" s="2" t="n">
        <x:f>IF(H168=1,IF(E168='Trial Rows'!L168,1,0),0)</x:f>
        <x:v>0</x:v>
      </x:c>
      <x:c r="J168" s="2" t="n">
        <x:f>IF(AND(B168=1,'Trial Rows'!G168="B",'Trial Rows'!P168&gt;0),1,0)</x:f>
        <x:v>0</x:v>
      </x:c>
      <x:c r="K168" s="2" t="n">
        <x:f>IF(AND(B168=1,'Trial Rows'!G168="B",'Trial Rows'!Q168=1),1,0)</x:f>
        <x:v>0</x:v>
      </x:c>
      <x:c r="L168" s="2" t="n">
        <x:f>IF(AND(B168=1,'Trial Rows'!G168="B",'Trial Rows'!R168=1,'Trial Rows'!Q168=0,'Trial Rows'!S168=0),1,0)</x:f>
        <x:v>0</x:v>
      </x:c>
      <x:c r="M168" s="2" t="n">
        <x:f>IF(AND(B168=1,'Trial Rows'!G168="B"),1,0)</x:f>
        <x:v>0</x:v>
      </x:c>
      <x:c r="N168" s="2" t="n">
        <x:f>IF(AND(B168=1,'Trial Rows'!I168=1,COUNTIFS('Trial Rows'!$B$2:$B$201,'Trial Rows'!B168,'Trial Rows'!$C$2:$C$201,'Trial Rows'!C168,'Trial Rows'!$F$2:$F$201,'Trial Rows'!F168,'Trial Rows'!$G$2:$G$201,'Trial Rows'!G168,'Trial Rows'!$Y$2:$Y$201,'Trial Rows'!Y168)=4,COUNTIFS('Trial Rows'!$B$2:$B$201,'Trial Rows'!B168,'Trial Rows'!$C$2:$C$201,'Trial Rows'!C168,'Trial Rows'!$F$2:$F$201,'Trial Rows'!F168,'Trial Rows'!$G$2:$G$201,'Trial Rows'!G168,'Trial Rows'!$Y$2:$Y$201,'Trial Rows'!Y168,'Trial Rows'!$I$2:$I$201,1)=1,COUNTIFS('Trial Rows'!$B$2:$B$201,'Trial Rows'!B168,'Trial Rows'!$C$2:$C$201,'Trial Rows'!C168,'Trial Rows'!$F$2:$F$201,'Trial Rows'!F168,'Trial Rows'!$G$2:$G$201,'Trial Rows'!G168,'Trial Rows'!$Y$2:$Y$201,'Trial Rows'!Y168,'Trial Rows'!$I$2:$I$201,2)=1,COUNTIFS('Trial Rows'!$B$2:$B$201,'Trial Rows'!B168,'Trial Rows'!$C$2:$C$201,'Trial Rows'!C168,'Trial Rows'!$F$2:$F$201,'Trial Rows'!F168,'Trial Rows'!$G$2:$G$201,'Trial Rows'!G168,'Trial Rows'!$Y$2:$Y$201,'Trial Rows'!Y168,'Trial Rows'!$I$2:$I$201,3)=1,COUNTIFS('Trial Rows'!$B$2:$B$201,'Trial Rows'!B168,'Trial Rows'!$C$2:$C$201,'Trial Rows'!C168,'Trial Rows'!$F$2:$F$201,'Trial Rows'!F168,'Trial Rows'!$G$2:$G$201,'Trial Rows'!G168,'Trial Rows'!$Y$2:$Y$201,'Trial Rows'!Y168,'Trial Rows'!$I$2:$I$201,4)=1,COUNTIFS('Trial Rows'!$B$2:$B$201,'Trial Rows'!B168,'Trial Rows'!$C$2:$C$201,'Trial Rows'!C168,'Trial Rows'!$F$2:$F$201,'Trial Rows'!F168,'Trial Rows'!$G$2:$G$201,'Trial Rows'!G168,'Trial Rows'!$Y$2:$Y$201,'Trial Rows'!Y168,'Trial Rows'!$W$2:$W$201,"&lt;&gt;")=4,ISNUMBER('Trial Rows'!U168),COUNTIFS('Trial Rows'!$B$2:$B$201,'Trial Rows'!B168,'Trial Rows'!$C$2:$C$201,'Trial Rows'!C168,'Trial Rows'!$F$2:$F$201,'Trial Rows'!F168,'Trial Rows'!$G$2:$G$201,'Trial Rows'!G168,'Trial Rows'!$Y$2:$Y$201,'Trial Rows'!Y168,'Trial Rows'!$U$2:$U$201,'Trial Rows'!U168)=4,'Trial Rows'!U168&gt;=0),1,0)</x:f>
        <x:v>0</x:v>
      </x:c>
      <x:c r="O168" s="2" t="str">
        <x:f>IF(N168=1,'Trial Rows'!U168/1000,"")</x:f>
      </x:c>
      <x:c r="P168" s="2" t="str">
        <x:f>IF(AND(N168=1,'Trial Rows'!G168="A"),O168,"")</x:f>
      </x:c>
      <x:c r="Q168" s="2" t="str">
        <x:f>IF(AND(N168=1,'Trial Rows'!G168="B"),O168,"")</x:f>
      </x:c>
      <x:c r="R168" s="2" t="str">
        <x:f>IF(AND(N168=1,COUNTIFS('Trial Rows'!$B$2:$B$201,'Trial Rows'!B168,'Trial Rows'!$C$2:$C$201,'Trial Rows'!C168,'Trial Rows'!$F$2:$F$201,'Trial Rows'!F168,'Trial Rows'!$G$2:$G$201,'Trial Rows'!G168,'Trial Rows'!$Y$2:$Y$201,'Trial Rows'!Y168,'Trial Rows'!$N$2:$N$201,"&gt;=0",'Trial Rows'!$N$2:$N$201,"&lt;=4",'Trial Rows'!$N$2:$N$201,"&lt;&gt;")=4),SUMIFS('Trial Rows'!$N$2:$N$201,'Trial Rows'!$B$2:$B$201,'Trial Rows'!B168,'Trial Rows'!$C$2:$C$201,'Trial Rows'!C168,'Trial Rows'!$F$2:$F$201,'Trial Rows'!F168,'Trial Rows'!$G$2:$G$201,'Trial Rows'!G168,'Trial Rows'!$Y$2:$Y$201,'Trial Rows'!Y168,'Trial Rows'!$I$2:$I$201,1)+4-SUMIFS('Trial Rows'!$N$2:$N$201,'Trial Rows'!$B$2:$B$201,'Trial Rows'!B168,'Trial Rows'!$C$2:$C$201,'Trial Rows'!C168,'Trial Rows'!$F$2:$F$201,'Trial Rows'!F168,'Trial Rows'!$G$2:$G$201,'Trial Rows'!G168,'Trial Rows'!$Y$2:$Y$201,'Trial Rows'!Y168,'Trial Rows'!$I$2:$I$201,2)+4-SUMIFS('Trial Rows'!$N$2:$N$201,'Trial Rows'!$B$2:$B$201,'Trial Rows'!B168,'Trial Rows'!$C$2:$C$201,'Trial Rows'!C168,'Trial Rows'!$F$2:$F$201,'Trial Rows'!F168,'Trial Rows'!$G$2:$G$201,'Trial Rows'!G168,'Trial Rows'!$Y$2:$Y$201,'Trial Rows'!Y168,'Trial Rows'!$I$2:$I$201,3)+SUMIFS('Trial Rows'!$N$2:$N$201,'Trial Rows'!$B$2:$B$201,'Trial Rows'!B168,'Trial Rows'!$C$2:$C$201,'Trial Rows'!C168,'Trial Rows'!$F$2:$F$201,'Trial Rows'!F168,'Trial Rows'!$G$2:$G$201,'Trial Rows'!G168,'Trial Rows'!$Y$2:$Y$201,'Trial Rows'!Y168,'Trial Rows'!$I$2:$I$201,4),"")</x:f>
      </x:c>
      <x:c r="S168" s="2" t="n">
        <x:f>IF(AND(B168=1,COUNTIFS('Trial Rows'!$C$2:C168,'Trial Rows'!C168,'Trial Rows'!$F$2:F168,Summary!$B$5,'Trial Rows'!$Y$2:Y168,Summary!$B$4)=1),1,0)</x:f>
        <x:v>0</x:v>
      </x:c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 t="str">
        <x:f>IF('Trial Rows'!A169="","",'Trial Rows'!F169&amp;"|"&amp;'Trial Rows'!B169&amp;"|"&amp;'Trial Rows'!C169&amp;"|"&amp;'Trial Rows'!I169)</x:f>
      </x:c>
      <x:c r="B169" s="2" t="n">
        <x:f>IF(AND('Trial Rows'!A169&lt;&gt;"",'Trial Rows'!Y169=Summary!$B$4,'Trial Rows'!F169=Summary!$B$5),1,0)</x:f>
        <x:v>0</x:v>
      </x:c>
      <x:c r="C169" s="2" t="n">
        <x:f>IF(B169=1,COUNTIFS('Trial Rows'!$B$2:$B$201,'Trial Rows'!B169,'Trial Rows'!$C$2:$C$201,'Trial Rows'!C169,'Trial Rows'!$F$2:$F$201,'Trial Rows'!F169,'Trial Rows'!$I$2:$I$201,'Trial Rows'!I169,'Trial Rows'!$Y$2:$Y$201,'Trial Rows'!Y169,'Trial Rows'!$G$2:$G$201,"A"),0)</x:f>
        <x:v>0</x:v>
      </x:c>
      <x:c r="D169" s="2" t="n">
        <x:f>IF(B169=1,COUNTIFS('Trial Rows'!$B$2:$B$201,'Trial Rows'!B169,'Trial Rows'!$C$2:$C$201,'Trial Rows'!C169,'Trial Rows'!$F$2:$F$201,'Trial Rows'!F169,'Trial Rows'!$I$2:$I$201,'Trial Rows'!I169,'Trial Rows'!$Y$2:$Y$201,'Trial Rows'!Y169,'Trial Rows'!$G$2:$G$201,"B"),0)</x:f>
        <x:v>0</x:v>
      </x:c>
      <x:c r="E169" s="2" t="str">
        <x:f>IF(AND(C169=1,COUNTIFS('Trial Rows'!$B$2:$B$201,'Trial Rows'!B169,'Trial Rows'!$C$2:$C$201,'Trial Rows'!C169,'Trial Rows'!$F$2:$F$201,'Trial Rows'!F169,'Trial Rows'!$I$2:$I$201,'Trial Rows'!I169,'Trial Rows'!$Y$2:$Y$201,'Trial Rows'!Y169,'Trial Rows'!$G$2:$G$201,"A",'Trial Rows'!$K$2:$K$201,"&gt;=0",'Trial Rows'!$K$2:$K$201,"&lt;=4",'Trial Rows'!$K$2:$K$201,"&lt;&gt;")=1),SUMIFS('Trial Rows'!$K$2:$K$201,'Trial Rows'!$B$2:$B$201,'Trial Rows'!B169,'Trial Rows'!$C$2:$C$201,'Trial Rows'!C169,'Trial Rows'!$F$2:$F$201,'Trial Rows'!F169,'Trial Rows'!$I$2:$I$201,'Trial Rows'!I169,'Trial Rows'!$Y$2:$Y$201,'Trial Rows'!Y169,'Trial Rows'!$G$2:$G$201,"A"),"")</x:f>
      </x:c>
      <x:c r="F169" s="2" t="n">
        <x:f>IF(AND(B169=1,'Trial Rows'!G169="B",C169=1,D169=1,ISNUMBER(E169),ISNUMBER('Trial Rows'!M169),'Trial Rows'!M169&gt;=0,'Trial Rows'!M169&lt;=4,'Trial Rows'!Q169=0,'Trial Rows'!S169=0),1,0)</x:f>
        <x:v>0</x:v>
      </x:c>
      <x:c r="G169" s="2" t="n">
        <x:f>IF(F169=1,IF(E169='Trial Rows'!M169,1,0),0)</x:f>
        <x:v>0</x:v>
      </x:c>
      <x:c r="H169" s="2" t="n">
        <x:f>IF(AND(B169=1,'Trial Rows'!G169="B",C169=1,D169=1,ISNUMBER(E169),'Trial Rows'!R169=1,'Trial Rows'!Q169=0,'Trial Rows'!S169=0,ISNUMBER('Trial Rows'!L169),'Trial Rows'!L169&gt;=0,'Trial Rows'!L169&lt;=4),1,0)</x:f>
        <x:v>0</x:v>
      </x:c>
      <x:c r="I169" s="2" t="n">
        <x:f>IF(H169=1,IF(E169='Trial Rows'!L169,1,0),0)</x:f>
        <x:v>0</x:v>
      </x:c>
      <x:c r="J169" s="2" t="n">
        <x:f>IF(AND(B169=1,'Trial Rows'!G169="B",'Trial Rows'!P169&gt;0),1,0)</x:f>
        <x:v>0</x:v>
      </x:c>
      <x:c r="K169" s="2" t="n">
        <x:f>IF(AND(B169=1,'Trial Rows'!G169="B",'Trial Rows'!Q169=1),1,0)</x:f>
        <x:v>0</x:v>
      </x:c>
      <x:c r="L169" s="2" t="n">
        <x:f>IF(AND(B169=1,'Trial Rows'!G169="B",'Trial Rows'!R169=1,'Trial Rows'!Q169=0,'Trial Rows'!S169=0),1,0)</x:f>
        <x:v>0</x:v>
      </x:c>
      <x:c r="M169" s="2" t="n">
        <x:f>IF(AND(B169=1,'Trial Rows'!G169="B"),1,0)</x:f>
        <x:v>0</x:v>
      </x:c>
      <x:c r="N169" s="2" t="n">
        <x:f>IF(AND(B169=1,'Trial Rows'!I169=1,COUNTIFS('Trial Rows'!$B$2:$B$201,'Trial Rows'!B169,'Trial Rows'!$C$2:$C$201,'Trial Rows'!C169,'Trial Rows'!$F$2:$F$201,'Trial Rows'!F169,'Trial Rows'!$G$2:$G$201,'Trial Rows'!G169,'Trial Rows'!$Y$2:$Y$201,'Trial Rows'!Y169)=4,COUNTIFS('Trial Rows'!$B$2:$B$201,'Trial Rows'!B169,'Trial Rows'!$C$2:$C$201,'Trial Rows'!C169,'Trial Rows'!$F$2:$F$201,'Trial Rows'!F169,'Trial Rows'!$G$2:$G$201,'Trial Rows'!G169,'Trial Rows'!$Y$2:$Y$201,'Trial Rows'!Y169,'Trial Rows'!$I$2:$I$201,1)=1,COUNTIFS('Trial Rows'!$B$2:$B$201,'Trial Rows'!B169,'Trial Rows'!$C$2:$C$201,'Trial Rows'!C169,'Trial Rows'!$F$2:$F$201,'Trial Rows'!F169,'Trial Rows'!$G$2:$G$201,'Trial Rows'!G169,'Trial Rows'!$Y$2:$Y$201,'Trial Rows'!Y169,'Trial Rows'!$I$2:$I$201,2)=1,COUNTIFS('Trial Rows'!$B$2:$B$201,'Trial Rows'!B169,'Trial Rows'!$C$2:$C$201,'Trial Rows'!C169,'Trial Rows'!$F$2:$F$201,'Trial Rows'!F169,'Trial Rows'!$G$2:$G$201,'Trial Rows'!G169,'Trial Rows'!$Y$2:$Y$201,'Trial Rows'!Y169,'Trial Rows'!$I$2:$I$201,3)=1,COUNTIFS('Trial Rows'!$B$2:$B$201,'Trial Rows'!B169,'Trial Rows'!$C$2:$C$201,'Trial Rows'!C169,'Trial Rows'!$F$2:$F$201,'Trial Rows'!F169,'Trial Rows'!$G$2:$G$201,'Trial Rows'!G169,'Trial Rows'!$Y$2:$Y$201,'Trial Rows'!Y169,'Trial Rows'!$I$2:$I$201,4)=1,COUNTIFS('Trial Rows'!$B$2:$B$201,'Trial Rows'!B169,'Trial Rows'!$C$2:$C$201,'Trial Rows'!C169,'Trial Rows'!$F$2:$F$201,'Trial Rows'!F169,'Trial Rows'!$G$2:$G$201,'Trial Rows'!G169,'Trial Rows'!$Y$2:$Y$201,'Trial Rows'!Y169,'Trial Rows'!$W$2:$W$201,"&lt;&gt;")=4,ISNUMBER('Trial Rows'!U169),COUNTIFS('Trial Rows'!$B$2:$B$201,'Trial Rows'!B169,'Trial Rows'!$C$2:$C$201,'Trial Rows'!C169,'Trial Rows'!$F$2:$F$201,'Trial Rows'!F169,'Trial Rows'!$G$2:$G$201,'Trial Rows'!G169,'Trial Rows'!$Y$2:$Y$201,'Trial Rows'!Y169,'Trial Rows'!$U$2:$U$201,'Trial Rows'!U169)=4,'Trial Rows'!U169&gt;=0),1,0)</x:f>
        <x:v>0</x:v>
      </x:c>
      <x:c r="O169" s="2" t="str">
        <x:f>IF(N169=1,'Trial Rows'!U169/1000,"")</x:f>
      </x:c>
      <x:c r="P169" s="2" t="str">
        <x:f>IF(AND(N169=1,'Trial Rows'!G169="A"),O169,"")</x:f>
      </x:c>
      <x:c r="Q169" s="2" t="str">
        <x:f>IF(AND(N169=1,'Trial Rows'!G169="B"),O169,"")</x:f>
      </x:c>
      <x:c r="R169" s="2" t="str">
        <x:f>IF(AND(N169=1,COUNTIFS('Trial Rows'!$B$2:$B$201,'Trial Rows'!B169,'Trial Rows'!$C$2:$C$201,'Trial Rows'!C169,'Trial Rows'!$F$2:$F$201,'Trial Rows'!F169,'Trial Rows'!$G$2:$G$201,'Trial Rows'!G169,'Trial Rows'!$Y$2:$Y$201,'Trial Rows'!Y169,'Trial Rows'!$N$2:$N$201,"&gt;=0",'Trial Rows'!$N$2:$N$201,"&lt;=4",'Trial Rows'!$N$2:$N$201,"&lt;&gt;")=4),SUMIFS('Trial Rows'!$N$2:$N$201,'Trial Rows'!$B$2:$B$201,'Trial Rows'!B169,'Trial Rows'!$C$2:$C$201,'Trial Rows'!C169,'Trial Rows'!$F$2:$F$201,'Trial Rows'!F169,'Trial Rows'!$G$2:$G$201,'Trial Rows'!G169,'Trial Rows'!$Y$2:$Y$201,'Trial Rows'!Y169,'Trial Rows'!$I$2:$I$201,1)+4-SUMIFS('Trial Rows'!$N$2:$N$201,'Trial Rows'!$B$2:$B$201,'Trial Rows'!B169,'Trial Rows'!$C$2:$C$201,'Trial Rows'!C169,'Trial Rows'!$F$2:$F$201,'Trial Rows'!F169,'Trial Rows'!$G$2:$G$201,'Trial Rows'!G169,'Trial Rows'!$Y$2:$Y$201,'Trial Rows'!Y169,'Trial Rows'!$I$2:$I$201,2)+4-SUMIFS('Trial Rows'!$N$2:$N$201,'Trial Rows'!$B$2:$B$201,'Trial Rows'!B169,'Trial Rows'!$C$2:$C$201,'Trial Rows'!C169,'Trial Rows'!$F$2:$F$201,'Trial Rows'!F169,'Trial Rows'!$G$2:$G$201,'Trial Rows'!G169,'Trial Rows'!$Y$2:$Y$201,'Trial Rows'!Y169,'Trial Rows'!$I$2:$I$201,3)+SUMIFS('Trial Rows'!$N$2:$N$201,'Trial Rows'!$B$2:$B$201,'Trial Rows'!B169,'Trial Rows'!$C$2:$C$201,'Trial Rows'!C169,'Trial Rows'!$F$2:$F$201,'Trial Rows'!F169,'Trial Rows'!$G$2:$G$201,'Trial Rows'!G169,'Trial Rows'!$Y$2:$Y$201,'Trial Rows'!Y169,'Trial Rows'!$I$2:$I$201,4),"")</x:f>
      </x:c>
      <x:c r="S169" s="2" t="n">
        <x:f>IF(AND(B169=1,COUNTIFS('Trial Rows'!$C$2:C169,'Trial Rows'!C169,'Trial Rows'!$F$2:F169,Summary!$B$5,'Trial Rows'!$Y$2:Y169,Summary!$B$4)=1),1,0)</x:f>
        <x:v>0</x:v>
      </x:c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 t="str">
        <x:f>IF('Trial Rows'!A170="","",'Trial Rows'!F170&amp;"|"&amp;'Trial Rows'!B170&amp;"|"&amp;'Trial Rows'!C170&amp;"|"&amp;'Trial Rows'!I170)</x:f>
      </x:c>
      <x:c r="B170" s="2" t="n">
        <x:f>IF(AND('Trial Rows'!A170&lt;&gt;"",'Trial Rows'!Y170=Summary!$B$4,'Trial Rows'!F170=Summary!$B$5),1,0)</x:f>
        <x:v>0</x:v>
      </x:c>
      <x:c r="C170" s="2" t="n">
        <x:f>IF(B170=1,COUNTIFS('Trial Rows'!$B$2:$B$201,'Trial Rows'!B170,'Trial Rows'!$C$2:$C$201,'Trial Rows'!C170,'Trial Rows'!$F$2:$F$201,'Trial Rows'!F170,'Trial Rows'!$I$2:$I$201,'Trial Rows'!I170,'Trial Rows'!$Y$2:$Y$201,'Trial Rows'!Y170,'Trial Rows'!$G$2:$G$201,"A"),0)</x:f>
        <x:v>0</x:v>
      </x:c>
      <x:c r="D170" s="2" t="n">
        <x:f>IF(B170=1,COUNTIFS('Trial Rows'!$B$2:$B$201,'Trial Rows'!B170,'Trial Rows'!$C$2:$C$201,'Trial Rows'!C170,'Trial Rows'!$F$2:$F$201,'Trial Rows'!F170,'Trial Rows'!$I$2:$I$201,'Trial Rows'!I170,'Trial Rows'!$Y$2:$Y$201,'Trial Rows'!Y170,'Trial Rows'!$G$2:$G$201,"B"),0)</x:f>
        <x:v>0</x:v>
      </x:c>
      <x:c r="E170" s="2" t="str">
        <x:f>IF(AND(C170=1,COUNTIFS('Trial Rows'!$B$2:$B$201,'Trial Rows'!B170,'Trial Rows'!$C$2:$C$201,'Trial Rows'!C170,'Trial Rows'!$F$2:$F$201,'Trial Rows'!F170,'Trial Rows'!$I$2:$I$201,'Trial Rows'!I170,'Trial Rows'!$Y$2:$Y$201,'Trial Rows'!Y170,'Trial Rows'!$G$2:$G$201,"A",'Trial Rows'!$K$2:$K$201,"&gt;=0",'Trial Rows'!$K$2:$K$201,"&lt;=4",'Trial Rows'!$K$2:$K$201,"&lt;&gt;")=1),SUMIFS('Trial Rows'!$K$2:$K$201,'Trial Rows'!$B$2:$B$201,'Trial Rows'!B170,'Trial Rows'!$C$2:$C$201,'Trial Rows'!C170,'Trial Rows'!$F$2:$F$201,'Trial Rows'!F170,'Trial Rows'!$I$2:$I$201,'Trial Rows'!I170,'Trial Rows'!$Y$2:$Y$201,'Trial Rows'!Y170,'Trial Rows'!$G$2:$G$201,"A"),"")</x:f>
      </x:c>
      <x:c r="F170" s="2" t="n">
        <x:f>IF(AND(B170=1,'Trial Rows'!G170="B",C170=1,D170=1,ISNUMBER(E170),ISNUMBER('Trial Rows'!M170),'Trial Rows'!M170&gt;=0,'Trial Rows'!M170&lt;=4,'Trial Rows'!Q170=0,'Trial Rows'!S170=0),1,0)</x:f>
        <x:v>0</x:v>
      </x:c>
      <x:c r="G170" s="2" t="n">
        <x:f>IF(F170=1,IF(E170='Trial Rows'!M170,1,0),0)</x:f>
        <x:v>0</x:v>
      </x:c>
      <x:c r="H170" s="2" t="n">
        <x:f>IF(AND(B170=1,'Trial Rows'!G170="B",C170=1,D170=1,ISNUMBER(E170),'Trial Rows'!R170=1,'Trial Rows'!Q170=0,'Trial Rows'!S170=0,ISNUMBER('Trial Rows'!L170),'Trial Rows'!L170&gt;=0,'Trial Rows'!L170&lt;=4),1,0)</x:f>
        <x:v>0</x:v>
      </x:c>
      <x:c r="I170" s="2" t="n">
        <x:f>IF(H170=1,IF(E170='Trial Rows'!L170,1,0),0)</x:f>
        <x:v>0</x:v>
      </x:c>
      <x:c r="J170" s="2" t="n">
        <x:f>IF(AND(B170=1,'Trial Rows'!G170="B",'Trial Rows'!P170&gt;0),1,0)</x:f>
        <x:v>0</x:v>
      </x:c>
      <x:c r="K170" s="2" t="n">
        <x:f>IF(AND(B170=1,'Trial Rows'!G170="B",'Trial Rows'!Q170=1),1,0)</x:f>
        <x:v>0</x:v>
      </x:c>
      <x:c r="L170" s="2" t="n">
        <x:f>IF(AND(B170=1,'Trial Rows'!G170="B",'Trial Rows'!R170=1,'Trial Rows'!Q170=0,'Trial Rows'!S170=0),1,0)</x:f>
        <x:v>0</x:v>
      </x:c>
      <x:c r="M170" s="2" t="n">
        <x:f>IF(AND(B170=1,'Trial Rows'!G170="B"),1,0)</x:f>
        <x:v>0</x:v>
      </x:c>
      <x:c r="N170" s="2" t="n">
        <x:f>IF(AND(B170=1,'Trial Rows'!I170=1,COUNTIFS('Trial Rows'!$B$2:$B$201,'Trial Rows'!B170,'Trial Rows'!$C$2:$C$201,'Trial Rows'!C170,'Trial Rows'!$F$2:$F$201,'Trial Rows'!F170,'Trial Rows'!$G$2:$G$201,'Trial Rows'!G170,'Trial Rows'!$Y$2:$Y$201,'Trial Rows'!Y170)=4,COUNTIFS('Trial Rows'!$B$2:$B$201,'Trial Rows'!B170,'Trial Rows'!$C$2:$C$201,'Trial Rows'!C170,'Trial Rows'!$F$2:$F$201,'Trial Rows'!F170,'Trial Rows'!$G$2:$G$201,'Trial Rows'!G170,'Trial Rows'!$Y$2:$Y$201,'Trial Rows'!Y170,'Trial Rows'!$I$2:$I$201,1)=1,COUNTIFS('Trial Rows'!$B$2:$B$201,'Trial Rows'!B170,'Trial Rows'!$C$2:$C$201,'Trial Rows'!C170,'Trial Rows'!$F$2:$F$201,'Trial Rows'!F170,'Trial Rows'!$G$2:$G$201,'Trial Rows'!G170,'Trial Rows'!$Y$2:$Y$201,'Trial Rows'!Y170,'Trial Rows'!$I$2:$I$201,2)=1,COUNTIFS('Trial Rows'!$B$2:$B$201,'Trial Rows'!B170,'Trial Rows'!$C$2:$C$201,'Trial Rows'!C170,'Trial Rows'!$F$2:$F$201,'Trial Rows'!F170,'Trial Rows'!$G$2:$G$201,'Trial Rows'!G170,'Trial Rows'!$Y$2:$Y$201,'Trial Rows'!Y170,'Trial Rows'!$I$2:$I$201,3)=1,COUNTIFS('Trial Rows'!$B$2:$B$201,'Trial Rows'!B170,'Trial Rows'!$C$2:$C$201,'Trial Rows'!C170,'Trial Rows'!$F$2:$F$201,'Trial Rows'!F170,'Trial Rows'!$G$2:$G$201,'Trial Rows'!G170,'Trial Rows'!$Y$2:$Y$201,'Trial Rows'!Y170,'Trial Rows'!$I$2:$I$201,4)=1,COUNTIFS('Trial Rows'!$B$2:$B$201,'Trial Rows'!B170,'Trial Rows'!$C$2:$C$201,'Trial Rows'!C170,'Trial Rows'!$F$2:$F$201,'Trial Rows'!F170,'Trial Rows'!$G$2:$G$201,'Trial Rows'!G170,'Trial Rows'!$Y$2:$Y$201,'Trial Rows'!Y170,'Trial Rows'!$W$2:$W$201,"&lt;&gt;")=4,ISNUMBER('Trial Rows'!U170),COUNTIFS('Trial Rows'!$B$2:$B$201,'Trial Rows'!B170,'Trial Rows'!$C$2:$C$201,'Trial Rows'!C170,'Trial Rows'!$F$2:$F$201,'Trial Rows'!F170,'Trial Rows'!$G$2:$G$201,'Trial Rows'!G170,'Trial Rows'!$Y$2:$Y$201,'Trial Rows'!Y170,'Trial Rows'!$U$2:$U$201,'Trial Rows'!U170)=4,'Trial Rows'!U170&gt;=0),1,0)</x:f>
        <x:v>0</x:v>
      </x:c>
      <x:c r="O170" s="2" t="str">
        <x:f>IF(N170=1,'Trial Rows'!U170/1000,"")</x:f>
      </x:c>
      <x:c r="P170" s="2" t="str">
        <x:f>IF(AND(N170=1,'Trial Rows'!G170="A"),O170,"")</x:f>
      </x:c>
      <x:c r="Q170" s="2" t="str">
        <x:f>IF(AND(N170=1,'Trial Rows'!G170="B"),O170,"")</x:f>
      </x:c>
      <x:c r="R170" s="2" t="str">
        <x:f>IF(AND(N170=1,COUNTIFS('Trial Rows'!$B$2:$B$201,'Trial Rows'!B170,'Trial Rows'!$C$2:$C$201,'Trial Rows'!C170,'Trial Rows'!$F$2:$F$201,'Trial Rows'!F170,'Trial Rows'!$G$2:$G$201,'Trial Rows'!G170,'Trial Rows'!$Y$2:$Y$201,'Trial Rows'!Y170,'Trial Rows'!$N$2:$N$201,"&gt;=0",'Trial Rows'!$N$2:$N$201,"&lt;=4",'Trial Rows'!$N$2:$N$201,"&lt;&gt;")=4),SUMIFS('Trial Rows'!$N$2:$N$201,'Trial Rows'!$B$2:$B$201,'Trial Rows'!B170,'Trial Rows'!$C$2:$C$201,'Trial Rows'!C170,'Trial Rows'!$F$2:$F$201,'Trial Rows'!F170,'Trial Rows'!$G$2:$G$201,'Trial Rows'!G170,'Trial Rows'!$Y$2:$Y$201,'Trial Rows'!Y170,'Trial Rows'!$I$2:$I$201,1)+4-SUMIFS('Trial Rows'!$N$2:$N$201,'Trial Rows'!$B$2:$B$201,'Trial Rows'!B170,'Trial Rows'!$C$2:$C$201,'Trial Rows'!C170,'Trial Rows'!$F$2:$F$201,'Trial Rows'!F170,'Trial Rows'!$G$2:$G$201,'Trial Rows'!G170,'Trial Rows'!$Y$2:$Y$201,'Trial Rows'!Y170,'Trial Rows'!$I$2:$I$201,2)+4-SUMIFS('Trial Rows'!$N$2:$N$201,'Trial Rows'!$B$2:$B$201,'Trial Rows'!B170,'Trial Rows'!$C$2:$C$201,'Trial Rows'!C170,'Trial Rows'!$F$2:$F$201,'Trial Rows'!F170,'Trial Rows'!$G$2:$G$201,'Trial Rows'!G170,'Trial Rows'!$Y$2:$Y$201,'Trial Rows'!Y170,'Trial Rows'!$I$2:$I$201,3)+SUMIFS('Trial Rows'!$N$2:$N$201,'Trial Rows'!$B$2:$B$201,'Trial Rows'!B170,'Trial Rows'!$C$2:$C$201,'Trial Rows'!C170,'Trial Rows'!$F$2:$F$201,'Trial Rows'!F170,'Trial Rows'!$G$2:$G$201,'Trial Rows'!G170,'Trial Rows'!$Y$2:$Y$201,'Trial Rows'!Y170,'Trial Rows'!$I$2:$I$201,4),"")</x:f>
      </x:c>
      <x:c r="S170" s="2" t="n">
        <x:f>IF(AND(B170=1,COUNTIFS('Trial Rows'!$C$2:C170,'Trial Rows'!C170,'Trial Rows'!$F$2:F170,Summary!$B$5,'Trial Rows'!$Y$2:Y170,Summary!$B$4)=1),1,0)</x:f>
        <x:v>0</x:v>
      </x:c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 t="str">
        <x:f>IF('Trial Rows'!A171="","",'Trial Rows'!F171&amp;"|"&amp;'Trial Rows'!B171&amp;"|"&amp;'Trial Rows'!C171&amp;"|"&amp;'Trial Rows'!I171)</x:f>
      </x:c>
      <x:c r="B171" s="2" t="n">
        <x:f>IF(AND('Trial Rows'!A171&lt;&gt;"",'Trial Rows'!Y171=Summary!$B$4,'Trial Rows'!F171=Summary!$B$5),1,0)</x:f>
        <x:v>0</x:v>
      </x:c>
      <x:c r="C171" s="2" t="n">
        <x:f>IF(B171=1,COUNTIFS('Trial Rows'!$B$2:$B$201,'Trial Rows'!B171,'Trial Rows'!$C$2:$C$201,'Trial Rows'!C171,'Trial Rows'!$F$2:$F$201,'Trial Rows'!F171,'Trial Rows'!$I$2:$I$201,'Trial Rows'!I171,'Trial Rows'!$Y$2:$Y$201,'Trial Rows'!Y171,'Trial Rows'!$G$2:$G$201,"A"),0)</x:f>
        <x:v>0</x:v>
      </x:c>
      <x:c r="D171" s="2" t="n">
        <x:f>IF(B171=1,COUNTIFS('Trial Rows'!$B$2:$B$201,'Trial Rows'!B171,'Trial Rows'!$C$2:$C$201,'Trial Rows'!C171,'Trial Rows'!$F$2:$F$201,'Trial Rows'!F171,'Trial Rows'!$I$2:$I$201,'Trial Rows'!I171,'Trial Rows'!$Y$2:$Y$201,'Trial Rows'!Y171,'Trial Rows'!$G$2:$G$201,"B"),0)</x:f>
        <x:v>0</x:v>
      </x:c>
      <x:c r="E171" s="2" t="str">
        <x:f>IF(AND(C171=1,COUNTIFS('Trial Rows'!$B$2:$B$201,'Trial Rows'!B171,'Trial Rows'!$C$2:$C$201,'Trial Rows'!C171,'Trial Rows'!$F$2:$F$201,'Trial Rows'!F171,'Trial Rows'!$I$2:$I$201,'Trial Rows'!I171,'Trial Rows'!$Y$2:$Y$201,'Trial Rows'!Y171,'Trial Rows'!$G$2:$G$201,"A",'Trial Rows'!$K$2:$K$201,"&gt;=0",'Trial Rows'!$K$2:$K$201,"&lt;=4",'Trial Rows'!$K$2:$K$201,"&lt;&gt;")=1),SUMIFS('Trial Rows'!$K$2:$K$201,'Trial Rows'!$B$2:$B$201,'Trial Rows'!B171,'Trial Rows'!$C$2:$C$201,'Trial Rows'!C171,'Trial Rows'!$F$2:$F$201,'Trial Rows'!F171,'Trial Rows'!$I$2:$I$201,'Trial Rows'!I171,'Trial Rows'!$Y$2:$Y$201,'Trial Rows'!Y171,'Trial Rows'!$G$2:$G$201,"A"),"")</x:f>
      </x:c>
      <x:c r="F171" s="2" t="n">
        <x:f>IF(AND(B171=1,'Trial Rows'!G171="B",C171=1,D171=1,ISNUMBER(E171),ISNUMBER('Trial Rows'!M171),'Trial Rows'!M171&gt;=0,'Trial Rows'!M171&lt;=4,'Trial Rows'!Q171=0,'Trial Rows'!S171=0),1,0)</x:f>
        <x:v>0</x:v>
      </x:c>
      <x:c r="G171" s="2" t="n">
        <x:f>IF(F171=1,IF(E171='Trial Rows'!M171,1,0),0)</x:f>
        <x:v>0</x:v>
      </x:c>
      <x:c r="H171" s="2" t="n">
        <x:f>IF(AND(B171=1,'Trial Rows'!G171="B",C171=1,D171=1,ISNUMBER(E171),'Trial Rows'!R171=1,'Trial Rows'!Q171=0,'Trial Rows'!S171=0,ISNUMBER('Trial Rows'!L171),'Trial Rows'!L171&gt;=0,'Trial Rows'!L171&lt;=4),1,0)</x:f>
        <x:v>0</x:v>
      </x:c>
      <x:c r="I171" s="2" t="n">
        <x:f>IF(H171=1,IF(E171='Trial Rows'!L171,1,0),0)</x:f>
        <x:v>0</x:v>
      </x:c>
      <x:c r="J171" s="2" t="n">
        <x:f>IF(AND(B171=1,'Trial Rows'!G171="B",'Trial Rows'!P171&gt;0),1,0)</x:f>
        <x:v>0</x:v>
      </x:c>
      <x:c r="K171" s="2" t="n">
        <x:f>IF(AND(B171=1,'Trial Rows'!G171="B",'Trial Rows'!Q171=1),1,0)</x:f>
        <x:v>0</x:v>
      </x:c>
      <x:c r="L171" s="2" t="n">
        <x:f>IF(AND(B171=1,'Trial Rows'!G171="B",'Trial Rows'!R171=1,'Trial Rows'!Q171=0,'Trial Rows'!S171=0),1,0)</x:f>
        <x:v>0</x:v>
      </x:c>
      <x:c r="M171" s="2" t="n">
        <x:f>IF(AND(B171=1,'Trial Rows'!G171="B"),1,0)</x:f>
        <x:v>0</x:v>
      </x:c>
      <x:c r="N171" s="2" t="n">
        <x:f>IF(AND(B171=1,'Trial Rows'!I171=1,COUNTIFS('Trial Rows'!$B$2:$B$201,'Trial Rows'!B171,'Trial Rows'!$C$2:$C$201,'Trial Rows'!C171,'Trial Rows'!$F$2:$F$201,'Trial Rows'!F171,'Trial Rows'!$G$2:$G$201,'Trial Rows'!G171,'Trial Rows'!$Y$2:$Y$201,'Trial Rows'!Y171)=4,COUNTIFS('Trial Rows'!$B$2:$B$201,'Trial Rows'!B171,'Trial Rows'!$C$2:$C$201,'Trial Rows'!C171,'Trial Rows'!$F$2:$F$201,'Trial Rows'!F171,'Trial Rows'!$G$2:$G$201,'Trial Rows'!G171,'Trial Rows'!$Y$2:$Y$201,'Trial Rows'!Y171,'Trial Rows'!$I$2:$I$201,1)=1,COUNTIFS('Trial Rows'!$B$2:$B$201,'Trial Rows'!B171,'Trial Rows'!$C$2:$C$201,'Trial Rows'!C171,'Trial Rows'!$F$2:$F$201,'Trial Rows'!F171,'Trial Rows'!$G$2:$G$201,'Trial Rows'!G171,'Trial Rows'!$Y$2:$Y$201,'Trial Rows'!Y171,'Trial Rows'!$I$2:$I$201,2)=1,COUNTIFS('Trial Rows'!$B$2:$B$201,'Trial Rows'!B171,'Trial Rows'!$C$2:$C$201,'Trial Rows'!C171,'Trial Rows'!$F$2:$F$201,'Trial Rows'!F171,'Trial Rows'!$G$2:$G$201,'Trial Rows'!G171,'Trial Rows'!$Y$2:$Y$201,'Trial Rows'!Y171,'Trial Rows'!$I$2:$I$201,3)=1,COUNTIFS('Trial Rows'!$B$2:$B$201,'Trial Rows'!B171,'Trial Rows'!$C$2:$C$201,'Trial Rows'!C171,'Trial Rows'!$F$2:$F$201,'Trial Rows'!F171,'Trial Rows'!$G$2:$G$201,'Trial Rows'!G171,'Trial Rows'!$Y$2:$Y$201,'Trial Rows'!Y171,'Trial Rows'!$I$2:$I$201,4)=1,COUNTIFS('Trial Rows'!$B$2:$B$201,'Trial Rows'!B171,'Trial Rows'!$C$2:$C$201,'Trial Rows'!C171,'Trial Rows'!$F$2:$F$201,'Trial Rows'!F171,'Trial Rows'!$G$2:$G$201,'Trial Rows'!G171,'Trial Rows'!$Y$2:$Y$201,'Trial Rows'!Y171,'Trial Rows'!$W$2:$W$201,"&lt;&gt;")=4,ISNUMBER('Trial Rows'!U171),COUNTIFS('Trial Rows'!$B$2:$B$201,'Trial Rows'!B171,'Trial Rows'!$C$2:$C$201,'Trial Rows'!C171,'Trial Rows'!$F$2:$F$201,'Trial Rows'!F171,'Trial Rows'!$G$2:$G$201,'Trial Rows'!G171,'Trial Rows'!$Y$2:$Y$201,'Trial Rows'!Y171,'Trial Rows'!$U$2:$U$201,'Trial Rows'!U171)=4,'Trial Rows'!U171&gt;=0),1,0)</x:f>
        <x:v>0</x:v>
      </x:c>
      <x:c r="O171" s="2" t="str">
        <x:f>IF(N171=1,'Trial Rows'!U171/1000,"")</x:f>
      </x:c>
      <x:c r="P171" s="2" t="str">
        <x:f>IF(AND(N171=1,'Trial Rows'!G171="A"),O171,"")</x:f>
      </x:c>
      <x:c r="Q171" s="2" t="str">
        <x:f>IF(AND(N171=1,'Trial Rows'!G171="B"),O171,"")</x:f>
      </x:c>
      <x:c r="R171" s="2" t="str">
        <x:f>IF(AND(N171=1,COUNTIFS('Trial Rows'!$B$2:$B$201,'Trial Rows'!B171,'Trial Rows'!$C$2:$C$201,'Trial Rows'!C171,'Trial Rows'!$F$2:$F$201,'Trial Rows'!F171,'Trial Rows'!$G$2:$G$201,'Trial Rows'!G171,'Trial Rows'!$Y$2:$Y$201,'Trial Rows'!Y171,'Trial Rows'!$N$2:$N$201,"&gt;=0",'Trial Rows'!$N$2:$N$201,"&lt;=4",'Trial Rows'!$N$2:$N$201,"&lt;&gt;")=4),SUMIFS('Trial Rows'!$N$2:$N$201,'Trial Rows'!$B$2:$B$201,'Trial Rows'!B171,'Trial Rows'!$C$2:$C$201,'Trial Rows'!C171,'Trial Rows'!$F$2:$F$201,'Trial Rows'!F171,'Trial Rows'!$G$2:$G$201,'Trial Rows'!G171,'Trial Rows'!$Y$2:$Y$201,'Trial Rows'!Y171,'Trial Rows'!$I$2:$I$201,1)+4-SUMIFS('Trial Rows'!$N$2:$N$201,'Trial Rows'!$B$2:$B$201,'Trial Rows'!B171,'Trial Rows'!$C$2:$C$201,'Trial Rows'!C171,'Trial Rows'!$F$2:$F$201,'Trial Rows'!F171,'Trial Rows'!$G$2:$G$201,'Trial Rows'!G171,'Trial Rows'!$Y$2:$Y$201,'Trial Rows'!Y171,'Trial Rows'!$I$2:$I$201,2)+4-SUMIFS('Trial Rows'!$N$2:$N$201,'Trial Rows'!$B$2:$B$201,'Trial Rows'!B171,'Trial Rows'!$C$2:$C$201,'Trial Rows'!C171,'Trial Rows'!$F$2:$F$201,'Trial Rows'!F171,'Trial Rows'!$G$2:$G$201,'Trial Rows'!G171,'Trial Rows'!$Y$2:$Y$201,'Trial Rows'!Y171,'Trial Rows'!$I$2:$I$201,3)+SUMIFS('Trial Rows'!$N$2:$N$201,'Trial Rows'!$B$2:$B$201,'Trial Rows'!B171,'Trial Rows'!$C$2:$C$201,'Trial Rows'!C171,'Trial Rows'!$F$2:$F$201,'Trial Rows'!F171,'Trial Rows'!$G$2:$G$201,'Trial Rows'!G171,'Trial Rows'!$Y$2:$Y$201,'Trial Rows'!Y171,'Trial Rows'!$I$2:$I$201,4),"")</x:f>
      </x:c>
      <x:c r="S171" s="2" t="n">
        <x:f>IF(AND(B171=1,COUNTIFS('Trial Rows'!$C$2:C171,'Trial Rows'!C171,'Trial Rows'!$F$2:F171,Summary!$B$5,'Trial Rows'!$Y$2:Y171,Summary!$B$4)=1),1,0)</x:f>
        <x:v>0</x:v>
      </x:c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 t="str">
        <x:f>IF('Trial Rows'!A172="","",'Trial Rows'!F172&amp;"|"&amp;'Trial Rows'!B172&amp;"|"&amp;'Trial Rows'!C172&amp;"|"&amp;'Trial Rows'!I172)</x:f>
      </x:c>
      <x:c r="B172" s="2" t="n">
        <x:f>IF(AND('Trial Rows'!A172&lt;&gt;"",'Trial Rows'!Y172=Summary!$B$4,'Trial Rows'!F172=Summary!$B$5),1,0)</x:f>
        <x:v>0</x:v>
      </x:c>
      <x:c r="C172" s="2" t="n">
        <x:f>IF(B172=1,COUNTIFS('Trial Rows'!$B$2:$B$201,'Trial Rows'!B172,'Trial Rows'!$C$2:$C$201,'Trial Rows'!C172,'Trial Rows'!$F$2:$F$201,'Trial Rows'!F172,'Trial Rows'!$I$2:$I$201,'Trial Rows'!I172,'Trial Rows'!$Y$2:$Y$201,'Trial Rows'!Y172,'Trial Rows'!$G$2:$G$201,"A"),0)</x:f>
        <x:v>0</x:v>
      </x:c>
      <x:c r="D172" s="2" t="n">
        <x:f>IF(B172=1,COUNTIFS('Trial Rows'!$B$2:$B$201,'Trial Rows'!B172,'Trial Rows'!$C$2:$C$201,'Trial Rows'!C172,'Trial Rows'!$F$2:$F$201,'Trial Rows'!F172,'Trial Rows'!$I$2:$I$201,'Trial Rows'!I172,'Trial Rows'!$Y$2:$Y$201,'Trial Rows'!Y172,'Trial Rows'!$G$2:$G$201,"B"),0)</x:f>
        <x:v>0</x:v>
      </x:c>
      <x:c r="E172" s="2" t="str">
        <x:f>IF(AND(C172=1,COUNTIFS('Trial Rows'!$B$2:$B$201,'Trial Rows'!B172,'Trial Rows'!$C$2:$C$201,'Trial Rows'!C172,'Trial Rows'!$F$2:$F$201,'Trial Rows'!F172,'Trial Rows'!$I$2:$I$201,'Trial Rows'!I172,'Trial Rows'!$Y$2:$Y$201,'Trial Rows'!Y172,'Trial Rows'!$G$2:$G$201,"A",'Trial Rows'!$K$2:$K$201,"&gt;=0",'Trial Rows'!$K$2:$K$201,"&lt;=4",'Trial Rows'!$K$2:$K$201,"&lt;&gt;")=1),SUMIFS('Trial Rows'!$K$2:$K$201,'Trial Rows'!$B$2:$B$201,'Trial Rows'!B172,'Trial Rows'!$C$2:$C$201,'Trial Rows'!C172,'Trial Rows'!$F$2:$F$201,'Trial Rows'!F172,'Trial Rows'!$I$2:$I$201,'Trial Rows'!I172,'Trial Rows'!$Y$2:$Y$201,'Trial Rows'!Y172,'Trial Rows'!$G$2:$G$201,"A"),"")</x:f>
      </x:c>
      <x:c r="F172" s="2" t="n">
        <x:f>IF(AND(B172=1,'Trial Rows'!G172="B",C172=1,D172=1,ISNUMBER(E172),ISNUMBER('Trial Rows'!M172),'Trial Rows'!M172&gt;=0,'Trial Rows'!M172&lt;=4,'Trial Rows'!Q172=0,'Trial Rows'!S172=0),1,0)</x:f>
        <x:v>0</x:v>
      </x:c>
      <x:c r="G172" s="2" t="n">
        <x:f>IF(F172=1,IF(E172='Trial Rows'!M172,1,0),0)</x:f>
        <x:v>0</x:v>
      </x:c>
      <x:c r="H172" s="2" t="n">
        <x:f>IF(AND(B172=1,'Trial Rows'!G172="B",C172=1,D172=1,ISNUMBER(E172),'Trial Rows'!R172=1,'Trial Rows'!Q172=0,'Trial Rows'!S172=0,ISNUMBER('Trial Rows'!L172),'Trial Rows'!L172&gt;=0,'Trial Rows'!L172&lt;=4),1,0)</x:f>
        <x:v>0</x:v>
      </x:c>
      <x:c r="I172" s="2" t="n">
        <x:f>IF(H172=1,IF(E172='Trial Rows'!L172,1,0),0)</x:f>
        <x:v>0</x:v>
      </x:c>
      <x:c r="J172" s="2" t="n">
        <x:f>IF(AND(B172=1,'Trial Rows'!G172="B",'Trial Rows'!P172&gt;0),1,0)</x:f>
        <x:v>0</x:v>
      </x:c>
      <x:c r="K172" s="2" t="n">
        <x:f>IF(AND(B172=1,'Trial Rows'!G172="B",'Trial Rows'!Q172=1),1,0)</x:f>
        <x:v>0</x:v>
      </x:c>
      <x:c r="L172" s="2" t="n">
        <x:f>IF(AND(B172=1,'Trial Rows'!G172="B",'Trial Rows'!R172=1,'Trial Rows'!Q172=0,'Trial Rows'!S172=0),1,0)</x:f>
        <x:v>0</x:v>
      </x:c>
      <x:c r="M172" s="2" t="n">
        <x:f>IF(AND(B172=1,'Trial Rows'!G172="B"),1,0)</x:f>
        <x:v>0</x:v>
      </x:c>
      <x:c r="N172" s="2" t="n">
        <x:f>IF(AND(B172=1,'Trial Rows'!I172=1,COUNTIFS('Trial Rows'!$B$2:$B$201,'Trial Rows'!B172,'Trial Rows'!$C$2:$C$201,'Trial Rows'!C172,'Trial Rows'!$F$2:$F$201,'Trial Rows'!F172,'Trial Rows'!$G$2:$G$201,'Trial Rows'!G172,'Trial Rows'!$Y$2:$Y$201,'Trial Rows'!Y172)=4,COUNTIFS('Trial Rows'!$B$2:$B$201,'Trial Rows'!B172,'Trial Rows'!$C$2:$C$201,'Trial Rows'!C172,'Trial Rows'!$F$2:$F$201,'Trial Rows'!F172,'Trial Rows'!$G$2:$G$201,'Trial Rows'!G172,'Trial Rows'!$Y$2:$Y$201,'Trial Rows'!Y172,'Trial Rows'!$I$2:$I$201,1)=1,COUNTIFS('Trial Rows'!$B$2:$B$201,'Trial Rows'!B172,'Trial Rows'!$C$2:$C$201,'Trial Rows'!C172,'Trial Rows'!$F$2:$F$201,'Trial Rows'!F172,'Trial Rows'!$G$2:$G$201,'Trial Rows'!G172,'Trial Rows'!$Y$2:$Y$201,'Trial Rows'!Y172,'Trial Rows'!$I$2:$I$201,2)=1,COUNTIFS('Trial Rows'!$B$2:$B$201,'Trial Rows'!B172,'Trial Rows'!$C$2:$C$201,'Trial Rows'!C172,'Trial Rows'!$F$2:$F$201,'Trial Rows'!F172,'Trial Rows'!$G$2:$G$201,'Trial Rows'!G172,'Trial Rows'!$Y$2:$Y$201,'Trial Rows'!Y172,'Trial Rows'!$I$2:$I$201,3)=1,COUNTIFS('Trial Rows'!$B$2:$B$201,'Trial Rows'!B172,'Trial Rows'!$C$2:$C$201,'Trial Rows'!C172,'Trial Rows'!$F$2:$F$201,'Trial Rows'!F172,'Trial Rows'!$G$2:$G$201,'Trial Rows'!G172,'Trial Rows'!$Y$2:$Y$201,'Trial Rows'!Y172,'Trial Rows'!$I$2:$I$201,4)=1,COUNTIFS('Trial Rows'!$B$2:$B$201,'Trial Rows'!B172,'Trial Rows'!$C$2:$C$201,'Trial Rows'!C172,'Trial Rows'!$F$2:$F$201,'Trial Rows'!F172,'Trial Rows'!$G$2:$G$201,'Trial Rows'!G172,'Trial Rows'!$Y$2:$Y$201,'Trial Rows'!Y172,'Trial Rows'!$W$2:$W$201,"&lt;&gt;")=4,ISNUMBER('Trial Rows'!U172),COUNTIFS('Trial Rows'!$B$2:$B$201,'Trial Rows'!B172,'Trial Rows'!$C$2:$C$201,'Trial Rows'!C172,'Trial Rows'!$F$2:$F$201,'Trial Rows'!F172,'Trial Rows'!$G$2:$G$201,'Trial Rows'!G172,'Trial Rows'!$Y$2:$Y$201,'Trial Rows'!Y172,'Trial Rows'!$U$2:$U$201,'Trial Rows'!U172)=4,'Trial Rows'!U172&gt;=0),1,0)</x:f>
        <x:v>0</x:v>
      </x:c>
      <x:c r="O172" s="2" t="str">
        <x:f>IF(N172=1,'Trial Rows'!U172/1000,"")</x:f>
      </x:c>
      <x:c r="P172" s="2" t="str">
        <x:f>IF(AND(N172=1,'Trial Rows'!G172="A"),O172,"")</x:f>
      </x:c>
      <x:c r="Q172" s="2" t="str">
        <x:f>IF(AND(N172=1,'Trial Rows'!G172="B"),O172,"")</x:f>
      </x:c>
      <x:c r="R172" s="2" t="str">
        <x:f>IF(AND(N172=1,COUNTIFS('Trial Rows'!$B$2:$B$201,'Trial Rows'!B172,'Trial Rows'!$C$2:$C$201,'Trial Rows'!C172,'Trial Rows'!$F$2:$F$201,'Trial Rows'!F172,'Trial Rows'!$G$2:$G$201,'Trial Rows'!G172,'Trial Rows'!$Y$2:$Y$201,'Trial Rows'!Y172,'Trial Rows'!$N$2:$N$201,"&gt;=0",'Trial Rows'!$N$2:$N$201,"&lt;=4",'Trial Rows'!$N$2:$N$201,"&lt;&gt;")=4),SUMIFS('Trial Rows'!$N$2:$N$201,'Trial Rows'!$B$2:$B$201,'Trial Rows'!B172,'Trial Rows'!$C$2:$C$201,'Trial Rows'!C172,'Trial Rows'!$F$2:$F$201,'Trial Rows'!F172,'Trial Rows'!$G$2:$G$201,'Trial Rows'!G172,'Trial Rows'!$Y$2:$Y$201,'Trial Rows'!Y172,'Trial Rows'!$I$2:$I$201,1)+4-SUMIFS('Trial Rows'!$N$2:$N$201,'Trial Rows'!$B$2:$B$201,'Trial Rows'!B172,'Trial Rows'!$C$2:$C$201,'Trial Rows'!C172,'Trial Rows'!$F$2:$F$201,'Trial Rows'!F172,'Trial Rows'!$G$2:$G$201,'Trial Rows'!G172,'Trial Rows'!$Y$2:$Y$201,'Trial Rows'!Y172,'Trial Rows'!$I$2:$I$201,2)+4-SUMIFS('Trial Rows'!$N$2:$N$201,'Trial Rows'!$B$2:$B$201,'Trial Rows'!B172,'Trial Rows'!$C$2:$C$201,'Trial Rows'!C172,'Trial Rows'!$F$2:$F$201,'Trial Rows'!F172,'Trial Rows'!$G$2:$G$201,'Trial Rows'!G172,'Trial Rows'!$Y$2:$Y$201,'Trial Rows'!Y172,'Trial Rows'!$I$2:$I$201,3)+SUMIFS('Trial Rows'!$N$2:$N$201,'Trial Rows'!$B$2:$B$201,'Trial Rows'!B172,'Trial Rows'!$C$2:$C$201,'Trial Rows'!C172,'Trial Rows'!$F$2:$F$201,'Trial Rows'!F172,'Trial Rows'!$G$2:$G$201,'Trial Rows'!G172,'Trial Rows'!$Y$2:$Y$201,'Trial Rows'!Y172,'Trial Rows'!$I$2:$I$201,4),"")</x:f>
      </x:c>
      <x:c r="S172" s="2" t="n">
        <x:f>IF(AND(B172=1,COUNTIFS('Trial Rows'!$C$2:C172,'Trial Rows'!C172,'Trial Rows'!$F$2:F172,Summary!$B$5,'Trial Rows'!$Y$2:Y172,Summary!$B$4)=1),1,0)</x:f>
        <x:v>0</x:v>
      </x:c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 t="str">
        <x:f>IF('Trial Rows'!A173="","",'Trial Rows'!F173&amp;"|"&amp;'Trial Rows'!B173&amp;"|"&amp;'Trial Rows'!C173&amp;"|"&amp;'Trial Rows'!I173)</x:f>
      </x:c>
      <x:c r="B173" s="2" t="n">
        <x:f>IF(AND('Trial Rows'!A173&lt;&gt;"",'Trial Rows'!Y173=Summary!$B$4,'Trial Rows'!F173=Summary!$B$5),1,0)</x:f>
        <x:v>0</x:v>
      </x:c>
      <x:c r="C173" s="2" t="n">
        <x:f>IF(B173=1,COUNTIFS('Trial Rows'!$B$2:$B$201,'Trial Rows'!B173,'Trial Rows'!$C$2:$C$201,'Trial Rows'!C173,'Trial Rows'!$F$2:$F$201,'Trial Rows'!F173,'Trial Rows'!$I$2:$I$201,'Trial Rows'!I173,'Trial Rows'!$Y$2:$Y$201,'Trial Rows'!Y173,'Trial Rows'!$G$2:$G$201,"A"),0)</x:f>
        <x:v>0</x:v>
      </x:c>
      <x:c r="D173" s="2" t="n">
        <x:f>IF(B173=1,COUNTIFS('Trial Rows'!$B$2:$B$201,'Trial Rows'!B173,'Trial Rows'!$C$2:$C$201,'Trial Rows'!C173,'Trial Rows'!$F$2:$F$201,'Trial Rows'!F173,'Trial Rows'!$I$2:$I$201,'Trial Rows'!I173,'Trial Rows'!$Y$2:$Y$201,'Trial Rows'!Y173,'Trial Rows'!$G$2:$G$201,"B"),0)</x:f>
        <x:v>0</x:v>
      </x:c>
      <x:c r="E173" s="2" t="str">
        <x:f>IF(AND(C173=1,COUNTIFS('Trial Rows'!$B$2:$B$201,'Trial Rows'!B173,'Trial Rows'!$C$2:$C$201,'Trial Rows'!C173,'Trial Rows'!$F$2:$F$201,'Trial Rows'!F173,'Trial Rows'!$I$2:$I$201,'Trial Rows'!I173,'Trial Rows'!$Y$2:$Y$201,'Trial Rows'!Y173,'Trial Rows'!$G$2:$G$201,"A",'Trial Rows'!$K$2:$K$201,"&gt;=0",'Trial Rows'!$K$2:$K$201,"&lt;=4",'Trial Rows'!$K$2:$K$201,"&lt;&gt;")=1),SUMIFS('Trial Rows'!$K$2:$K$201,'Trial Rows'!$B$2:$B$201,'Trial Rows'!B173,'Trial Rows'!$C$2:$C$201,'Trial Rows'!C173,'Trial Rows'!$F$2:$F$201,'Trial Rows'!F173,'Trial Rows'!$I$2:$I$201,'Trial Rows'!I173,'Trial Rows'!$Y$2:$Y$201,'Trial Rows'!Y173,'Trial Rows'!$G$2:$G$201,"A"),"")</x:f>
      </x:c>
      <x:c r="F173" s="2" t="n">
        <x:f>IF(AND(B173=1,'Trial Rows'!G173="B",C173=1,D173=1,ISNUMBER(E173),ISNUMBER('Trial Rows'!M173),'Trial Rows'!M173&gt;=0,'Trial Rows'!M173&lt;=4,'Trial Rows'!Q173=0,'Trial Rows'!S173=0),1,0)</x:f>
        <x:v>0</x:v>
      </x:c>
      <x:c r="G173" s="2" t="n">
        <x:f>IF(F173=1,IF(E173='Trial Rows'!M173,1,0),0)</x:f>
        <x:v>0</x:v>
      </x:c>
      <x:c r="H173" s="2" t="n">
        <x:f>IF(AND(B173=1,'Trial Rows'!G173="B",C173=1,D173=1,ISNUMBER(E173),'Trial Rows'!R173=1,'Trial Rows'!Q173=0,'Trial Rows'!S173=0,ISNUMBER('Trial Rows'!L173),'Trial Rows'!L173&gt;=0,'Trial Rows'!L173&lt;=4),1,0)</x:f>
        <x:v>0</x:v>
      </x:c>
      <x:c r="I173" s="2" t="n">
        <x:f>IF(H173=1,IF(E173='Trial Rows'!L173,1,0),0)</x:f>
        <x:v>0</x:v>
      </x:c>
      <x:c r="J173" s="2" t="n">
        <x:f>IF(AND(B173=1,'Trial Rows'!G173="B",'Trial Rows'!P173&gt;0),1,0)</x:f>
        <x:v>0</x:v>
      </x:c>
      <x:c r="K173" s="2" t="n">
        <x:f>IF(AND(B173=1,'Trial Rows'!G173="B",'Trial Rows'!Q173=1),1,0)</x:f>
        <x:v>0</x:v>
      </x:c>
      <x:c r="L173" s="2" t="n">
        <x:f>IF(AND(B173=1,'Trial Rows'!G173="B",'Trial Rows'!R173=1,'Trial Rows'!Q173=0,'Trial Rows'!S173=0),1,0)</x:f>
        <x:v>0</x:v>
      </x:c>
      <x:c r="M173" s="2" t="n">
        <x:f>IF(AND(B173=1,'Trial Rows'!G173="B"),1,0)</x:f>
        <x:v>0</x:v>
      </x:c>
      <x:c r="N173" s="2" t="n">
        <x:f>IF(AND(B173=1,'Trial Rows'!I173=1,COUNTIFS('Trial Rows'!$B$2:$B$201,'Trial Rows'!B173,'Trial Rows'!$C$2:$C$201,'Trial Rows'!C173,'Trial Rows'!$F$2:$F$201,'Trial Rows'!F173,'Trial Rows'!$G$2:$G$201,'Trial Rows'!G173,'Trial Rows'!$Y$2:$Y$201,'Trial Rows'!Y173)=4,COUNTIFS('Trial Rows'!$B$2:$B$201,'Trial Rows'!B173,'Trial Rows'!$C$2:$C$201,'Trial Rows'!C173,'Trial Rows'!$F$2:$F$201,'Trial Rows'!F173,'Trial Rows'!$G$2:$G$201,'Trial Rows'!G173,'Trial Rows'!$Y$2:$Y$201,'Trial Rows'!Y173,'Trial Rows'!$I$2:$I$201,1)=1,COUNTIFS('Trial Rows'!$B$2:$B$201,'Trial Rows'!B173,'Trial Rows'!$C$2:$C$201,'Trial Rows'!C173,'Trial Rows'!$F$2:$F$201,'Trial Rows'!F173,'Trial Rows'!$G$2:$G$201,'Trial Rows'!G173,'Trial Rows'!$Y$2:$Y$201,'Trial Rows'!Y173,'Trial Rows'!$I$2:$I$201,2)=1,COUNTIFS('Trial Rows'!$B$2:$B$201,'Trial Rows'!B173,'Trial Rows'!$C$2:$C$201,'Trial Rows'!C173,'Trial Rows'!$F$2:$F$201,'Trial Rows'!F173,'Trial Rows'!$G$2:$G$201,'Trial Rows'!G173,'Trial Rows'!$Y$2:$Y$201,'Trial Rows'!Y173,'Trial Rows'!$I$2:$I$201,3)=1,COUNTIFS('Trial Rows'!$B$2:$B$201,'Trial Rows'!B173,'Trial Rows'!$C$2:$C$201,'Trial Rows'!C173,'Trial Rows'!$F$2:$F$201,'Trial Rows'!F173,'Trial Rows'!$G$2:$G$201,'Trial Rows'!G173,'Trial Rows'!$Y$2:$Y$201,'Trial Rows'!Y173,'Trial Rows'!$I$2:$I$201,4)=1,COUNTIFS('Trial Rows'!$B$2:$B$201,'Trial Rows'!B173,'Trial Rows'!$C$2:$C$201,'Trial Rows'!C173,'Trial Rows'!$F$2:$F$201,'Trial Rows'!F173,'Trial Rows'!$G$2:$G$201,'Trial Rows'!G173,'Trial Rows'!$Y$2:$Y$201,'Trial Rows'!Y173,'Trial Rows'!$W$2:$W$201,"&lt;&gt;")=4,ISNUMBER('Trial Rows'!U173),COUNTIFS('Trial Rows'!$B$2:$B$201,'Trial Rows'!B173,'Trial Rows'!$C$2:$C$201,'Trial Rows'!C173,'Trial Rows'!$F$2:$F$201,'Trial Rows'!F173,'Trial Rows'!$G$2:$G$201,'Trial Rows'!G173,'Trial Rows'!$Y$2:$Y$201,'Trial Rows'!Y173,'Trial Rows'!$U$2:$U$201,'Trial Rows'!U173)=4,'Trial Rows'!U173&gt;=0),1,0)</x:f>
        <x:v>0</x:v>
      </x:c>
      <x:c r="O173" s="2" t="str">
        <x:f>IF(N173=1,'Trial Rows'!U173/1000,"")</x:f>
      </x:c>
      <x:c r="P173" s="2" t="str">
        <x:f>IF(AND(N173=1,'Trial Rows'!G173="A"),O173,"")</x:f>
      </x:c>
      <x:c r="Q173" s="2" t="str">
        <x:f>IF(AND(N173=1,'Trial Rows'!G173="B"),O173,"")</x:f>
      </x:c>
      <x:c r="R173" s="2" t="str">
        <x:f>IF(AND(N173=1,COUNTIFS('Trial Rows'!$B$2:$B$201,'Trial Rows'!B173,'Trial Rows'!$C$2:$C$201,'Trial Rows'!C173,'Trial Rows'!$F$2:$F$201,'Trial Rows'!F173,'Trial Rows'!$G$2:$G$201,'Trial Rows'!G173,'Trial Rows'!$Y$2:$Y$201,'Trial Rows'!Y173,'Trial Rows'!$N$2:$N$201,"&gt;=0",'Trial Rows'!$N$2:$N$201,"&lt;=4",'Trial Rows'!$N$2:$N$201,"&lt;&gt;")=4),SUMIFS('Trial Rows'!$N$2:$N$201,'Trial Rows'!$B$2:$B$201,'Trial Rows'!B173,'Trial Rows'!$C$2:$C$201,'Trial Rows'!C173,'Trial Rows'!$F$2:$F$201,'Trial Rows'!F173,'Trial Rows'!$G$2:$G$201,'Trial Rows'!G173,'Trial Rows'!$Y$2:$Y$201,'Trial Rows'!Y173,'Trial Rows'!$I$2:$I$201,1)+4-SUMIFS('Trial Rows'!$N$2:$N$201,'Trial Rows'!$B$2:$B$201,'Trial Rows'!B173,'Trial Rows'!$C$2:$C$201,'Trial Rows'!C173,'Trial Rows'!$F$2:$F$201,'Trial Rows'!F173,'Trial Rows'!$G$2:$G$201,'Trial Rows'!G173,'Trial Rows'!$Y$2:$Y$201,'Trial Rows'!Y173,'Trial Rows'!$I$2:$I$201,2)+4-SUMIFS('Trial Rows'!$N$2:$N$201,'Trial Rows'!$B$2:$B$201,'Trial Rows'!B173,'Trial Rows'!$C$2:$C$201,'Trial Rows'!C173,'Trial Rows'!$F$2:$F$201,'Trial Rows'!F173,'Trial Rows'!$G$2:$G$201,'Trial Rows'!G173,'Trial Rows'!$Y$2:$Y$201,'Trial Rows'!Y173,'Trial Rows'!$I$2:$I$201,3)+SUMIFS('Trial Rows'!$N$2:$N$201,'Trial Rows'!$B$2:$B$201,'Trial Rows'!B173,'Trial Rows'!$C$2:$C$201,'Trial Rows'!C173,'Trial Rows'!$F$2:$F$201,'Trial Rows'!F173,'Trial Rows'!$G$2:$G$201,'Trial Rows'!G173,'Trial Rows'!$Y$2:$Y$201,'Trial Rows'!Y173,'Trial Rows'!$I$2:$I$201,4),"")</x:f>
      </x:c>
      <x:c r="S173" s="2" t="n">
        <x:f>IF(AND(B173=1,COUNTIFS('Trial Rows'!$C$2:C173,'Trial Rows'!C173,'Trial Rows'!$F$2:F173,Summary!$B$5,'Trial Rows'!$Y$2:Y173,Summary!$B$4)=1),1,0)</x:f>
        <x:v>0</x:v>
      </x:c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 t="str">
        <x:f>IF('Trial Rows'!A174="","",'Trial Rows'!F174&amp;"|"&amp;'Trial Rows'!B174&amp;"|"&amp;'Trial Rows'!C174&amp;"|"&amp;'Trial Rows'!I174)</x:f>
      </x:c>
      <x:c r="B174" s="2" t="n">
        <x:f>IF(AND('Trial Rows'!A174&lt;&gt;"",'Trial Rows'!Y174=Summary!$B$4,'Trial Rows'!F174=Summary!$B$5),1,0)</x:f>
        <x:v>0</x:v>
      </x:c>
      <x:c r="C174" s="2" t="n">
        <x:f>IF(B174=1,COUNTIFS('Trial Rows'!$B$2:$B$201,'Trial Rows'!B174,'Trial Rows'!$C$2:$C$201,'Trial Rows'!C174,'Trial Rows'!$F$2:$F$201,'Trial Rows'!F174,'Trial Rows'!$I$2:$I$201,'Trial Rows'!I174,'Trial Rows'!$Y$2:$Y$201,'Trial Rows'!Y174,'Trial Rows'!$G$2:$G$201,"A"),0)</x:f>
        <x:v>0</x:v>
      </x:c>
      <x:c r="D174" s="2" t="n">
        <x:f>IF(B174=1,COUNTIFS('Trial Rows'!$B$2:$B$201,'Trial Rows'!B174,'Trial Rows'!$C$2:$C$201,'Trial Rows'!C174,'Trial Rows'!$F$2:$F$201,'Trial Rows'!F174,'Trial Rows'!$I$2:$I$201,'Trial Rows'!I174,'Trial Rows'!$Y$2:$Y$201,'Trial Rows'!Y174,'Trial Rows'!$G$2:$G$201,"B"),0)</x:f>
        <x:v>0</x:v>
      </x:c>
      <x:c r="E174" s="2" t="str">
        <x:f>IF(AND(C174=1,COUNTIFS('Trial Rows'!$B$2:$B$201,'Trial Rows'!B174,'Trial Rows'!$C$2:$C$201,'Trial Rows'!C174,'Trial Rows'!$F$2:$F$201,'Trial Rows'!F174,'Trial Rows'!$I$2:$I$201,'Trial Rows'!I174,'Trial Rows'!$Y$2:$Y$201,'Trial Rows'!Y174,'Trial Rows'!$G$2:$G$201,"A",'Trial Rows'!$K$2:$K$201,"&gt;=0",'Trial Rows'!$K$2:$K$201,"&lt;=4",'Trial Rows'!$K$2:$K$201,"&lt;&gt;")=1),SUMIFS('Trial Rows'!$K$2:$K$201,'Trial Rows'!$B$2:$B$201,'Trial Rows'!B174,'Trial Rows'!$C$2:$C$201,'Trial Rows'!C174,'Trial Rows'!$F$2:$F$201,'Trial Rows'!F174,'Trial Rows'!$I$2:$I$201,'Trial Rows'!I174,'Trial Rows'!$Y$2:$Y$201,'Trial Rows'!Y174,'Trial Rows'!$G$2:$G$201,"A"),"")</x:f>
      </x:c>
      <x:c r="F174" s="2" t="n">
        <x:f>IF(AND(B174=1,'Trial Rows'!G174="B",C174=1,D174=1,ISNUMBER(E174),ISNUMBER('Trial Rows'!M174),'Trial Rows'!M174&gt;=0,'Trial Rows'!M174&lt;=4,'Trial Rows'!Q174=0,'Trial Rows'!S174=0),1,0)</x:f>
        <x:v>0</x:v>
      </x:c>
      <x:c r="G174" s="2" t="n">
        <x:f>IF(F174=1,IF(E174='Trial Rows'!M174,1,0),0)</x:f>
        <x:v>0</x:v>
      </x:c>
      <x:c r="H174" s="2" t="n">
        <x:f>IF(AND(B174=1,'Trial Rows'!G174="B",C174=1,D174=1,ISNUMBER(E174),'Trial Rows'!R174=1,'Trial Rows'!Q174=0,'Trial Rows'!S174=0,ISNUMBER('Trial Rows'!L174),'Trial Rows'!L174&gt;=0,'Trial Rows'!L174&lt;=4),1,0)</x:f>
        <x:v>0</x:v>
      </x:c>
      <x:c r="I174" s="2" t="n">
        <x:f>IF(H174=1,IF(E174='Trial Rows'!L174,1,0),0)</x:f>
        <x:v>0</x:v>
      </x:c>
      <x:c r="J174" s="2" t="n">
        <x:f>IF(AND(B174=1,'Trial Rows'!G174="B",'Trial Rows'!P174&gt;0),1,0)</x:f>
        <x:v>0</x:v>
      </x:c>
      <x:c r="K174" s="2" t="n">
        <x:f>IF(AND(B174=1,'Trial Rows'!G174="B",'Trial Rows'!Q174=1),1,0)</x:f>
        <x:v>0</x:v>
      </x:c>
      <x:c r="L174" s="2" t="n">
        <x:f>IF(AND(B174=1,'Trial Rows'!G174="B",'Trial Rows'!R174=1,'Trial Rows'!Q174=0,'Trial Rows'!S174=0),1,0)</x:f>
        <x:v>0</x:v>
      </x:c>
      <x:c r="M174" s="2" t="n">
        <x:f>IF(AND(B174=1,'Trial Rows'!G174="B"),1,0)</x:f>
        <x:v>0</x:v>
      </x:c>
      <x:c r="N174" s="2" t="n">
        <x:f>IF(AND(B174=1,'Trial Rows'!I174=1,COUNTIFS('Trial Rows'!$B$2:$B$201,'Trial Rows'!B174,'Trial Rows'!$C$2:$C$201,'Trial Rows'!C174,'Trial Rows'!$F$2:$F$201,'Trial Rows'!F174,'Trial Rows'!$G$2:$G$201,'Trial Rows'!G174,'Trial Rows'!$Y$2:$Y$201,'Trial Rows'!Y174)=4,COUNTIFS('Trial Rows'!$B$2:$B$201,'Trial Rows'!B174,'Trial Rows'!$C$2:$C$201,'Trial Rows'!C174,'Trial Rows'!$F$2:$F$201,'Trial Rows'!F174,'Trial Rows'!$G$2:$G$201,'Trial Rows'!G174,'Trial Rows'!$Y$2:$Y$201,'Trial Rows'!Y174,'Trial Rows'!$I$2:$I$201,1)=1,COUNTIFS('Trial Rows'!$B$2:$B$201,'Trial Rows'!B174,'Trial Rows'!$C$2:$C$201,'Trial Rows'!C174,'Trial Rows'!$F$2:$F$201,'Trial Rows'!F174,'Trial Rows'!$G$2:$G$201,'Trial Rows'!G174,'Trial Rows'!$Y$2:$Y$201,'Trial Rows'!Y174,'Trial Rows'!$I$2:$I$201,2)=1,COUNTIFS('Trial Rows'!$B$2:$B$201,'Trial Rows'!B174,'Trial Rows'!$C$2:$C$201,'Trial Rows'!C174,'Trial Rows'!$F$2:$F$201,'Trial Rows'!F174,'Trial Rows'!$G$2:$G$201,'Trial Rows'!G174,'Trial Rows'!$Y$2:$Y$201,'Trial Rows'!Y174,'Trial Rows'!$I$2:$I$201,3)=1,COUNTIFS('Trial Rows'!$B$2:$B$201,'Trial Rows'!B174,'Trial Rows'!$C$2:$C$201,'Trial Rows'!C174,'Trial Rows'!$F$2:$F$201,'Trial Rows'!F174,'Trial Rows'!$G$2:$G$201,'Trial Rows'!G174,'Trial Rows'!$Y$2:$Y$201,'Trial Rows'!Y174,'Trial Rows'!$I$2:$I$201,4)=1,COUNTIFS('Trial Rows'!$B$2:$B$201,'Trial Rows'!B174,'Trial Rows'!$C$2:$C$201,'Trial Rows'!C174,'Trial Rows'!$F$2:$F$201,'Trial Rows'!F174,'Trial Rows'!$G$2:$G$201,'Trial Rows'!G174,'Trial Rows'!$Y$2:$Y$201,'Trial Rows'!Y174,'Trial Rows'!$W$2:$W$201,"&lt;&gt;")=4,ISNUMBER('Trial Rows'!U174),COUNTIFS('Trial Rows'!$B$2:$B$201,'Trial Rows'!B174,'Trial Rows'!$C$2:$C$201,'Trial Rows'!C174,'Trial Rows'!$F$2:$F$201,'Trial Rows'!F174,'Trial Rows'!$G$2:$G$201,'Trial Rows'!G174,'Trial Rows'!$Y$2:$Y$201,'Trial Rows'!Y174,'Trial Rows'!$U$2:$U$201,'Trial Rows'!U174)=4,'Trial Rows'!U174&gt;=0),1,0)</x:f>
        <x:v>0</x:v>
      </x:c>
      <x:c r="O174" s="2" t="str">
        <x:f>IF(N174=1,'Trial Rows'!U174/1000,"")</x:f>
      </x:c>
      <x:c r="P174" s="2" t="str">
        <x:f>IF(AND(N174=1,'Trial Rows'!G174="A"),O174,"")</x:f>
      </x:c>
      <x:c r="Q174" s="2" t="str">
        <x:f>IF(AND(N174=1,'Trial Rows'!G174="B"),O174,"")</x:f>
      </x:c>
      <x:c r="R174" s="2" t="str">
        <x:f>IF(AND(N174=1,COUNTIFS('Trial Rows'!$B$2:$B$201,'Trial Rows'!B174,'Trial Rows'!$C$2:$C$201,'Trial Rows'!C174,'Trial Rows'!$F$2:$F$201,'Trial Rows'!F174,'Trial Rows'!$G$2:$G$201,'Trial Rows'!G174,'Trial Rows'!$Y$2:$Y$201,'Trial Rows'!Y174,'Trial Rows'!$N$2:$N$201,"&gt;=0",'Trial Rows'!$N$2:$N$201,"&lt;=4",'Trial Rows'!$N$2:$N$201,"&lt;&gt;")=4),SUMIFS('Trial Rows'!$N$2:$N$201,'Trial Rows'!$B$2:$B$201,'Trial Rows'!B174,'Trial Rows'!$C$2:$C$201,'Trial Rows'!C174,'Trial Rows'!$F$2:$F$201,'Trial Rows'!F174,'Trial Rows'!$G$2:$G$201,'Trial Rows'!G174,'Trial Rows'!$Y$2:$Y$201,'Trial Rows'!Y174,'Trial Rows'!$I$2:$I$201,1)+4-SUMIFS('Trial Rows'!$N$2:$N$201,'Trial Rows'!$B$2:$B$201,'Trial Rows'!B174,'Trial Rows'!$C$2:$C$201,'Trial Rows'!C174,'Trial Rows'!$F$2:$F$201,'Trial Rows'!F174,'Trial Rows'!$G$2:$G$201,'Trial Rows'!G174,'Trial Rows'!$Y$2:$Y$201,'Trial Rows'!Y174,'Trial Rows'!$I$2:$I$201,2)+4-SUMIFS('Trial Rows'!$N$2:$N$201,'Trial Rows'!$B$2:$B$201,'Trial Rows'!B174,'Trial Rows'!$C$2:$C$201,'Trial Rows'!C174,'Trial Rows'!$F$2:$F$201,'Trial Rows'!F174,'Trial Rows'!$G$2:$G$201,'Trial Rows'!G174,'Trial Rows'!$Y$2:$Y$201,'Trial Rows'!Y174,'Trial Rows'!$I$2:$I$201,3)+SUMIFS('Trial Rows'!$N$2:$N$201,'Trial Rows'!$B$2:$B$201,'Trial Rows'!B174,'Trial Rows'!$C$2:$C$201,'Trial Rows'!C174,'Trial Rows'!$F$2:$F$201,'Trial Rows'!F174,'Trial Rows'!$G$2:$G$201,'Trial Rows'!G174,'Trial Rows'!$Y$2:$Y$201,'Trial Rows'!Y174,'Trial Rows'!$I$2:$I$201,4),"")</x:f>
      </x:c>
      <x:c r="S174" s="2" t="n">
        <x:f>IF(AND(B174=1,COUNTIFS('Trial Rows'!$C$2:C174,'Trial Rows'!C174,'Trial Rows'!$F$2:F174,Summary!$B$5,'Trial Rows'!$Y$2:Y174,Summary!$B$4)=1),1,0)</x:f>
        <x:v>0</x:v>
      </x:c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 t="str">
        <x:f>IF('Trial Rows'!A175="","",'Trial Rows'!F175&amp;"|"&amp;'Trial Rows'!B175&amp;"|"&amp;'Trial Rows'!C175&amp;"|"&amp;'Trial Rows'!I175)</x:f>
      </x:c>
      <x:c r="B175" s="2" t="n">
        <x:f>IF(AND('Trial Rows'!A175&lt;&gt;"",'Trial Rows'!Y175=Summary!$B$4,'Trial Rows'!F175=Summary!$B$5),1,0)</x:f>
        <x:v>0</x:v>
      </x:c>
      <x:c r="C175" s="2" t="n">
        <x:f>IF(B175=1,COUNTIFS('Trial Rows'!$B$2:$B$201,'Trial Rows'!B175,'Trial Rows'!$C$2:$C$201,'Trial Rows'!C175,'Trial Rows'!$F$2:$F$201,'Trial Rows'!F175,'Trial Rows'!$I$2:$I$201,'Trial Rows'!I175,'Trial Rows'!$Y$2:$Y$201,'Trial Rows'!Y175,'Trial Rows'!$G$2:$G$201,"A"),0)</x:f>
        <x:v>0</x:v>
      </x:c>
      <x:c r="D175" s="2" t="n">
        <x:f>IF(B175=1,COUNTIFS('Trial Rows'!$B$2:$B$201,'Trial Rows'!B175,'Trial Rows'!$C$2:$C$201,'Trial Rows'!C175,'Trial Rows'!$F$2:$F$201,'Trial Rows'!F175,'Trial Rows'!$I$2:$I$201,'Trial Rows'!I175,'Trial Rows'!$Y$2:$Y$201,'Trial Rows'!Y175,'Trial Rows'!$G$2:$G$201,"B"),0)</x:f>
        <x:v>0</x:v>
      </x:c>
      <x:c r="E175" s="2" t="str">
        <x:f>IF(AND(C175=1,COUNTIFS('Trial Rows'!$B$2:$B$201,'Trial Rows'!B175,'Trial Rows'!$C$2:$C$201,'Trial Rows'!C175,'Trial Rows'!$F$2:$F$201,'Trial Rows'!F175,'Trial Rows'!$I$2:$I$201,'Trial Rows'!I175,'Trial Rows'!$Y$2:$Y$201,'Trial Rows'!Y175,'Trial Rows'!$G$2:$G$201,"A",'Trial Rows'!$K$2:$K$201,"&gt;=0",'Trial Rows'!$K$2:$K$201,"&lt;=4",'Trial Rows'!$K$2:$K$201,"&lt;&gt;")=1),SUMIFS('Trial Rows'!$K$2:$K$201,'Trial Rows'!$B$2:$B$201,'Trial Rows'!B175,'Trial Rows'!$C$2:$C$201,'Trial Rows'!C175,'Trial Rows'!$F$2:$F$201,'Trial Rows'!F175,'Trial Rows'!$I$2:$I$201,'Trial Rows'!I175,'Trial Rows'!$Y$2:$Y$201,'Trial Rows'!Y175,'Trial Rows'!$G$2:$G$201,"A"),"")</x:f>
      </x:c>
      <x:c r="F175" s="2" t="n">
        <x:f>IF(AND(B175=1,'Trial Rows'!G175="B",C175=1,D175=1,ISNUMBER(E175),ISNUMBER('Trial Rows'!M175),'Trial Rows'!M175&gt;=0,'Trial Rows'!M175&lt;=4,'Trial Rows'!Q175=0,'Trial Rows'!S175=0),1,0)</x:f>
        <x:v>0</x:v>
      </x:c>
      <x:c r="G175" s="2" t="n">
        <x:f>IF(F175=1,IF(E175='Trial Rows'!M175,1,0),0)</x:f>
        <x:v>0</x:v>
      </x:c>
      <x:c r="H175" s="2" t="n">
        <x:f>IF(AND(B175=1,'Trial Rows'!G175="B",C175=1,D175=1,ISNUMBER(E175),'Trial Rows'!R175=1,'Trial Rows'!Q175=0,'Trial Rows'!S175=0,ISNUMBER('Trial Rows'!L175),'Trial Rows'!L175&gt;=0,'Trial Rows'!L175&lt;=4),1,0)</x:f>
        <x:v>0</x:v>
      </x:c>
      <x:c r="I175" s="2" t="n">
        <x:f>IF(H175=1,IF(E175='Trial Rows'!L175,1,0),0)</x:f>
        <x:v>0</x:v>
      </x:c>
      <x:c r="J175" s="2" t="n">
        <x:f>IF(AND(B175=1,'Trial Rows'!G175="B",'Trial Rows'!P175&gt;0),1,0)</x:f>
        <x:v>0</x:v>
      </x:c>
      <x:c r="K175" s="2" t="n">
        <x:f>IF(AND(B175=1,'Trial Rows'!G175="B",'Trial Rows'!Q175=1),1,0)</x:f>
        <x:v>0</x:v>
      </x:c>
      <x:c r="L175" s="2" t="n">
        <x:f>IF(AND(B175=1,'Trial Rows'!G175="B",'Trial Rows'!R175=1,'Trial Rows'!Q175=0,'Trial Rows'!S175=0),1,0)</x:f>
        <x:v>0</x:v>
      </x:c>
      <x:c r="M175" s="2" t="n">
        <x:f>IF(AND(B175=1,'Trial Rows'!G175="B"),1,0)</x:f>
        <x:v>0</x:v>
      </x:c>
      <x:c r="N175" s="2" t="n">
        <x:f>IF(AND(B175=1,'Trial Rows'!I175=1,COUNTIFS('Trial Rows'!$B$2:$B$201,'Trial Rows'!B175,'Trial Rows'!$C$2:$C$201,'Trial Rows'!C175,'Trial Rows'!$F$2:$F$201,'Trial Rows'!F175,'Trial Rows'!$G$2:$G$201,'Trial Rows'!G175,'Trial Rows'!$Y$2:$Y$201,'Trial Rows'!Y175)=4,COUNTIFS('Trial Rows'!$B$2:$B$201,'Trial Rows'!B175,'Trial Rows'!$C$2:$C$201,'Trial Rows'!C175,'Trial Rows'!$F$2:$F$201,'Trial Rows'!F175,'Trial Rows'!$G$2:$G$201,'Trial Rows'!G175,'Trial Rows'!$Y$2:$Y$201,'Trial Rows'!Y175,'Trial Rows'!$I$2:$I$201,1)=1,COUNTIFS('Trial Rows'!$B$2:$B$201,'Trial Rows'!B175,'Trial Rows'!$C$2:$C$201,'Trial Rows'!C175,'Trial Rows'!$F$2:$F$201,'Trial Rows'!F175,'Trial Rows'!$G$2:$G$201,'Trial Rows'!G175,'Trial Rows'!$Y$2:$Y$201,'Trial Rows'!Y175,'Trial Rows'!$I$2:$I$201,2)=1,COUNTIFS('Trial Rows'!$B$2:$B$201,'Trial Rows'!B175,'Trial Rows'!$C$2:$C$201,'Trial Rows'!C175,'Trial Rows'!$F$2:$F$201,'Trial Rows'!F175,'Trial Rows'!$G$2:$G$201,'Trial Rows'!G175,'Trial Rows'!$Y$2:$Y$201,'Trial Rows'!Y175,'Trial Rows'!$I$2:$I$201,3)=1,COUNTIFS('Trial Rows'!$B$2:$B$201,'Trial Rows'!B175,'Trial Rows'!$C$2:$C$201,'Trial Rows'!C175,'Trial Rows'!$F$2:$F$201,'Trial Rows'!F175,'Trial Rows'!$G$2:$G$201,'Trial Rows'!G175,'Trial Rows'!$Y$2:$Y$201,'Trial Rows'!Y175,'Trial Rows'!$I$2:$I$201,4)=1,COUNTIFS('Trial Rows'!$B$2:$B$201,'Trial Rows'!B175,'Trial Rows'!$C$2:$C$201,'Trial Rows'!C175,'Trial Rows'!$F$2:$F$201,'Trial Rows'!F175,'Trial Rows'!$G$2:$G$201,'Trial Rows'!G175,'Trial Rows'!$Y$2:$Y$201,'Trial Rows'!Y175,'Trial Rows'!$W$2:$W$201,"&lt;&gt;")=4,ISNUMBER('Trial Rows'!U175),COUNTIFS('Trial Rows'!$B$2:$B$201,'Trial Rows'!B175,'Trial Rows'!$C$2:$C$201,'Trial Rows'!C175,'Trial Rows'!$F$2:$F$201,'Trial Rows'!F175,'Trial Rows'!$G$2:$G$201,'Trial Rows'!G175,'Trial Rows'!$Y$2:$Y$201,'Trial Rows'!Y175,'Trial Rows'!$U$2:$U$201,'Trial Rows'!U175)=4,'Trial Rows'!U175&gt;=0),1,0)</x:f>
        <x:v>0</x:v>
      </x:c>
      <x:c r="O175" s="2" t="str">
        <x:f>IF(N175=1,'Trial Rows'!U175/1000,"")</x:f>
      </x:c>
      <x:c r="P175" s="2" t="str">
        <x:f>IF(AND(N175=1,'Trial Rows'!G175="A"),O175,"")</x:f>
      </x:c>
      <x:c r="Q175" s="2" t="str">
        <x:f>IF(AND(N175=1,'Trial Rows'!G175="B"),O175,"")</x:f>
      </x:c>
      <x:c r="R175" s="2" t="str">
        <x:f>IF(AND(N175=1,COUNTIFS('Trial Rows'!$B$2:$B$201,'Trial Rows'!B175,'Trial Rows'!$C$2:$C$201,'Trial Rows'!C175,'Trial Rows'!$F$2:$F$201,'Trial Rows'!F175,'Trial Rows'!$G$2:$G$201,'Trial Rows'!G175,'Trial Rows'!$Y$2:$Y$201,'Trial Rows'!Y175,'Trial Rows'!$N$2:$N$201,"&gt;=0",'Trial Rows'!$N$2:$N$201,"&lt;=4",'Trial Rows'!$N$2:$N$201,"&lt;&gt;")=4),SUMIFS('Trial Rows'!$N$2:$N$201,'Trial Rows'!$B$2:$B$201,'Trial Rows'!B175,'Trial Rows'!$C$2:$C$201,'Trial Rows'!C175,'Trial Rows'!$F$2:$F$201,'Trial Rows'!F175,'Trial Rows'!$G$2:$G$201,'Trial Rows'!G175,'Trial Rows'!$Y$2:$Y$201,'Trial Rows'!Y175,'Trial Rows'!$I$2:$I$201,1)+4-SUMIFS('Trial Rows'!$N$2:$N$201,'Trial Rows'!$B$2:$B$201,'Trial Rows'!B175,'Trial Rows'!$C$2:$C$201,'Trial Rows'!C175,'Trial Rows'!$F$2:$F$201,'Trial Rows'!F175,'Trial Rows'!$G$2:$G$201,'Trial Rows'!G175,'Trial Rows'!$Y$2:$Y$201,'Trial Rows'!Y175,'Trial Rows'!$I$2:$I$201,2)+4-SUMIFS('Trial Rows'!$N$2:$N$201,'Trial Rows'!$B$2:$B$201,'Trial Rows'!B175,'Trial Rows'!$C$2:$C$201,'Trial Rows'!C175,'Trial Rows'!$F$2:$F$201,'Trial Rows'!F175,'Trial Rows'!$G$2:$G$201,'Trial Rows'!G175,'Trial Rows'!$Y$2:$Y$201,'Trial Rows'!Y175,'Trial Rows'!$I$2:$I$201,3)+SUMIFS('Trial Rows'!$N$2:$N$201,'Trial Rows'!$B$2:$B$201,'Trial Rows'!B175,'Trial Rows'!$C$2:$C$201,'Trial Rows'!C175,'Trial Rows'!$F$2:$F$201,'Trial Rows'!F175,'Trial Rows'!$G$2:$G$201,'Trial Rows'!G175,'Trial Rows'!$Y$2:$Y$201,'Trial Rows'!Y175,'Trial Rows'!$I$2:$I$201,4),"")</x:f>
      </x:c>
      <x:c r="S175" s="2" t="n">
        <x:f>IF(AND(B175=1,COUNTIFS('Trial Rows'!$C$2:C175,'Trial Rows'!C175,'Trial Rows'!$F$2:F175,Summary!$B$5,'Trial Rows'!$Y$2:Y175,Summary!$B$4)=1),1,0)</x:f>
        <x:v>0</x:v>
      </x:c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 t="str">
        <x:f>IF('Trial Rows'!A176="","",'Trial Rows'!F176&amp;"|"&amp;'Trial Rows'!B176&amp;"|"&amp;'Trial Rows'!C176&amp;"|"&amp;'Trial Rows'!I176)</x:f>
      </x:c>
      <x:c r="B176" s="2" t="n">
        <x:f>IF(AND('Trial Rows'!A176&lt;&gt;"",'Trial Rows'!Y176=Summary!$B$4,'Trial Rows'!F176=Summary!$B$5),1,0)</x:f>
        <x:v>0</x:v>
      </x:c>
      <x:c r="C176" s="2" t="n">
        <x:f>IF(B176=1,COUNTIFS('Trial Rows'!$B$2:$B$201,'Trial Rows'!B176,'Trial Rows'!$C$2:$C$201,'Trial Rows'!C176,'Trial Rows'!$F$2:$F$201,'Trial Rows'!F176,'Trial Rows'!$I$2:$I$201,'Trial Rows'!I176,'Trial Rows'!$Y$2:$Y$201,'Trial Rows'!Y176,'Trial Rows'!$G$2:$G$201,"A"),0)</x:f>
        <x:v>0</x:v>
      </x:c>
      <x:c r="D176" s="2" t="n">
        <x:f>IF(B176=1,COUNTIFS('Trial Rows'!$B$2:$B$201,'Trial Rows'!B176,'Trial Rows'!$C$2:$C$201,'Trial Rows'!C176,'Trial Rows'!$F$2:$F$201,'Trial Rows'!F176,'Trial Rows'!$I$2:$I$201,'Trial Rows'!I176,'Trial Rows'!$Y$2:$Y$201,'Trial Rows'!Y176,'Trial Rows'!$G$2:$G$201,"B"),0)</x:f>
        <x:v>0</x:v>
      </x:c>
      <x:c r="E176" s="2" t="str">
        <x:f>IF(AND(C176=1,COUNTIFS('Trial Rows'!$B$2:$B$201,'Trial Rows'!B176,'Trial Rows'!$C$2:$C$201,'Trial Rows'!C176,'Trial Rows'!$F$2:$F$201,'Trial Rows'!F176,'Trial Rows'!$I$2:$I$201,'Trial Rows'!I176,'Trial Rows'!$Y$2:$Y$201,'Trial Rows'!Y176,'Trial Rows'!$G$2:$G$201,"A",'Trial Rows'!$K$2:$K$201,"&gt;=0",'Trial Rows'!$K$2:$K$201,"&lt;=4",'Trial Rows'!$K$2:$K$201,"&lt;&gt;")=1),SUMIFS('Trial Rows'!$K$2:$K$201,'Trial Rows'!$B$2:$B$201,'Trial Rows'!B176,'Trial Rows'!$C$2:$C$201,'Trial Rows'!C176,'Trial Rows'!$F$2:$F$201,'Trial Rows'!F176,'Trial Rows'!$I$2:$I$201,'Trial Rows'!I176,'Trial Rows'!$Y$2:$Y$201,'Trial Rows'!Y176,'Trial Rows'!$G$2:$G$201,"A"),"")</x:f>
      </x:c>
      <x:c r="F176" s="2" t="n">
        <x:f>IF(AND(B176=1,'Trial Rows'!G176="B",C176=1,D176=1,ISNUMBER(E176),ISNUMBER('Trial Rows'!M176),'Trial Rows'!M176&gt;=0,'Trial Rows'!M176&lt;=4,'Trial Rows'!Q176=0,'Trial Rows'!S176=0),1,0)</x:f>
        <x:v>0</x:v>
      </x:c>
      <x:c r="G176" s="2" t="n">
        <x:f>IF(F176=1,IF(E176='Trial Rows'!M176,1,0),0)</x:f>
        <x:v>0</x:v>
      </x:c>
      <x:c r="H176" s="2" t="n">
        <x:f>IF(AND(B176=1,'Trial Rows'!G176="B",C176=1,D176=1,ISNUMBER(E176),'Trial Rows'!R176=1,'Trial Rows'!Q176=0,'Trial Rows'!S176=0,ISNUMBER('Trial Rows'!L176),'Trial Rows'!L176&gt;=0,'Trial Rows'!L176&lt;=4),1,0)</x:f>
        <x:v>0</x:v>
      </x:c>
      <x:c r="I176" s="2" t="n">
        <x:f>IF(H176=1,IF(E176='Trial Rows'!L176,1,0),0)</x:f>
        <x:v>0</x:v>
      </x:c>
      <x:c r="J176" s="2" t="n">
        <x:f>IF(AND(B176=1,'Trial Rows'!G176="B",'Trial Rows'!P176&gt;0),1,0)</x:f>
        <x:v>0</x:v>
      </x:c>
      <x:c r="K176" s="2" t="n">
        <x:f>IF(AND(B176=1,'Trial Rows'!G176="B",'Trial Rows'!Q176=1),1,0)</x:f>
        <x:v>0</x:v>
      </x:c>
      <x:c r="L176" s="2" t="n">
        <x:f>IF(AND(B176=1,'Trial Rows'!G176="B",'Trial Rows'!R176=1,'Trial Rows'!Q176=0,'Trial Rows'!S176=0),1,0)</x:f>
        <x:v>0</x:v>
      </x:c>
      <x:c r="M176" s="2" t="n">
        <x:f>IF(AND(B176=1,'Trial Rows'!G176="B"),1,0)</x:f>
        <x:v>0</x:v>
      </x:c>
      <x:c r="N176" s="2" t="n">
        <x:f>IF(AND(B176=1,'Trial Rows'!I176=1,COUNTIFS('Trial Rows'!$B$2:$B$201,'Trial Rows'!B176,'Trial Rows'!$C$2:$C$201,'Trial Rows'!C176,'Trial Rows'!$F$2:$F$201,'Trial Rows'!F176,'Trial Rows'!$G$2:$G$201,'Trial Rows'!G176,'Trial Rows'!$Y$2:$Y$201,'Trial Rows'!Y176)=4,COUNTIFS('Trial Rows'!$B$2:$B$201,'Trial Rows'!B176,'Trial Rows'!$C$2:$C$201,'Trial Rows'!C176,'Trial Rows'!$F$2:$F$201,'Trial Rows'!F176,'Trial Rows'!$G$2:$G$201,'Trial Rows'!G176,'Trial Rows'!$Y$2:$Y$201,'Trial Rows'!Y176,'Trial Rows'!$I$2:$I$201,1)=1,COUNTIFS('Trial Rows'!$B$2:$B$201,'Trial Rows'!B176,'Trial Rows'!$C$2:$C$201,'Trial Rows'!C176,'Trial Rows'!$F$2:$F$201,'Trial Rows'!F176,'Trial Rows'!$G$2:$G$201,'Trial Rows'!G176,'Trial Rows'!$Y$2:$Y$201,'Trial Rows'!Y176,'Trial Rows'!$I$2:$I$201,2)=1,COUNTIFS('Trial Rows'!$B$2:$B$201,'Trial Rows'!B176,'Trial Rows'!$C$2:$C$201,'Trial Rows'!C176,'Trial Rows'!$F$2:$F$201,'Trial Rows'!F176,'Trial Rows'!$G$2:$G$201,'Trial Rows'!G176,'Trial Rows'!$Y$2:$Y$201,'Trial Rows'!Y176,'Trial Rows'!$I$2:$I$201,3)=1,COUNTIFS('Trial Rows'!$B$2:$B$201,'Trial Rows'!B176,'Trial Rows'!$C$2:$C$201,'Trial Rows'!C176,'Trial Rows'!$F$2:$F$201,'Trial Rows'!F176,'Trial Rows'!$G$2:$G$201,'Trial Rows'!G176,'Trial Rows'!$Y$2:$Y$201,'Trial Rows'!Y176,'Trial Rows'!$I$2:$I$201,4)=1,COUNTIFS('Trial Rows'!$B$2:$B$201,'Trial Rows'!B176,'Trial Rows'!$C$2:$C$201,'Trial Rows'!C176,'Trial Rows'!$F$2:$F$201,'Trial Rows'!F176,'Trial Rows'!$G$2:$G$201,'Trial Rows'!G176,'Trial Rows'!$Y$2:$Y$201,'Trial Rows'!Y176,'Trial Rows'!$W$2:$W$201,"&lt;&gt;")=4,ISNUMBER('Trial Rows'!U176),COUNTIFS('Trial Rows'!$B$2:$B$201,'Trial Rows'!B176,'Trial Rows'!$C$2:$C$201,'Trial Rows'!C176,'Trial Rows'!$F$2:$F$201,'Trial Rows'!F176,'Trial Rows'!$G$2:$G$201,'Trial Rows'!G176,'Trial Rows'!$Y$2:$Y$201,'Trial Rows'!Y176,'Trial Rows'!$U$2:$U$201,'Trial Rows'!U176)=4,'Trial Rows'!U176&gt;=0),1,0)</x:f>
        <x:v>0</x:v>
      </x:c>
      <x:c r="O176" s="2" t="str">
        <x:f>IF(N176=1,'Trial Rows'!U176/1000,"")</x:f>
      </x:c>
      <x:c r="P176" s="2" t="str">
        <x:f>IF(AND(N176=1,'Trial Rows'!G176="A"),O176,"")</x:f>
      </x:c>
      <x:c r="Q176" s="2" t="str">
        <x:f>IF(AND(N176=1,'Trial Rows'!G176="B"),O176,"")</x:f>
      </x:c>
      <x:c r="R176" s="2" t="str">
        <x:f>IF(AND(N176=1,COUNTIFS('Trial Rows'!$B$2:$B$201,'Trial Rows'!B176,'Trial Rows'!$C$2:$C$201,'Trial Rows'!C176,'Trial Rows'!$F$2:$F$201,'Trial Rows'!F176,'Trial Rows'!$G$2:$G$201,'Trial Rows'!G176,'Trial Rows'!$Y$2:$Y$201,'Trial Rows'!Y176,'Trial Rows'!$N$2:$N$201,"&gt;=0",'Trial Rows'!$N$2:$N$201,"&lt;=4",'Trial Rows'!$N$2:$N$201,"&lt;&gt;")=4),SUMIFS('Trial Rows'!$N$2:$N$201,'Trial Rows'!$B$2:$B$201,'Trial Rows'!B176,'Trial Rows'!$C$2:$C$201,'Trial Rows'!C176,'Trial Rows'!$F$2:$F$201,'Trial Rows'!F176,'Trial Rows'!$G$2:$G$201,'Trial Rows'!G176,'Trial Rows'!$Y$2:$Y$201,'Trial Rows'!Y176,'Trial Rows'!$I$2:$I$201,1)+4-SUMIFS('Trial Rows'!$N$2:$N$201,'Trial Rows'!$B$2:$B$201,'Trial Rows'!B176,'Trial Rows'!$C$2:$C$201,'Trial Rows'!C176,'Trial Rows'!$F$2:$F$201,'Trial Rows'!F176,'Trial Rows'!$G$2:$G$201,'Trial Rows'!G176,'Trial Rows'!$Y$2:$Y$201,'Trial Rows'!Y176,'Trial Rows'!$I$2:$I$201,2)+4-SUMIFS('Trial Rows'!$N$2:$N$201,'Trial Rows'!$B$2:$B$201,'Trial Rows'!B176,'Trial Rows'!$C$2:$C$201,'Trial Rows'!C176,'Trial Rows'!$F$2:$F$201,'Trial Rows'!F176,'Trial Rows'!$G$2:$G$201,'Trial Rows'!G176,'Trial Rows'!$Y$2:$Y$201,'Trial Rows'!Y176,'Trial Rows'!$I$2:$I$201,3)+SUMIFS('Trial Rows'!$N$2:$N$201,'Trial Rows'!$B$2:$B$201,'Trial Rows'!B176,'Trial Rows'!$C$2:$C$201,'Trial Rows'!C176,'Trial Rows'!$F$2:$F$201,'Trial Rows'!F176,'Trial Rows'!$G$2:$G$201,'Trial Rows'!G176,'Trial Rows'!$Y$2:$Y$201,'Trial Rows'!Y176,'Trial Rows'!$I$2:$I$201,4),"")</x:f>
      </x:c>
      <x:c r="S176" s="2" t="n">
        <x:f>IF(AND(B176=1,COUNTIFS('Trial Rows'!$C$2:C176,'Trial Rows'!C176,'Trial Rows'!$F$2:F176,Summary!$B$5,'Trial Rows'!$Y$2:Y176,Summary!$B$4)=1),1,0)</x:f>
        <x:v>0</x:v>
      </x:c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 t="str">
        <x:f>IF('Trial Rows'!A177="","",'Trial Rows'!F177&amp;"|"&amp;'Trial Rows'!B177&amp;"|"&amp;'Trial Rows'!C177&amp;"|"&amp;'Trial Rows'!I177)</x:f>
      </x:c>
      <x:c r="B177" s="2" t="n">
        <x:f>IF(AND('Trial Rows'!A177&lt;&gt;"",'Trial Rows'!Y177=Summary!$B$4,'Trial Rows'!F177=Summary!$B$5),1,0)</x:f>
        <x:v>0</x:v>
      </x:c>
      <x:c r="C177" s="2" t="n">
        <x:f>IF(B177=1,COUNTIFS('Trial Rows'!$B$2:$B$201,'Trial Rows'!B177,'Trial Rows'!$C$2:$C$201,'Trial Rows'!C177,'Trial Rows'!$F$2:$F$201,'Trial Rows'!F177,'Trial Rows'!$I$2:$I$201,'Trial Rows'!I177,'Trial Rows'!$Y$2:$Y$201,'Trial Rows'!Y177,'Trial Rows'!$G$2:$G$201,"A"),0)</x:f>
        <x:v>0</x:v>
      </x:c>
      <x:c r="D177" s="2" t="n">
        <x:f>IF(B177=1,COUNTIFS('Trial Rows'!$B$2:$B$201,'Trial Rows'!B177,'Trial Rows'!$C$2:$C$201,'Trial Rows'!C177,'Trial Rows'!$F$2:$F$201,'Trial Rows'!F177,'Trial Rows'!$I$2:$I$201,'Trial Rows'!I177,'Trial Rows'!$Y$2:$Y$201,'Trial Rows'!Y177,'Trial Rows'!$G$2:$G$201,"B"),0)</x:f>
        <x:v>0</x:v>
      </x:c>
      <x:c r="E177" s="2" t="str">
        <x:f>IF(AND(C177=1,COUNTIFS('Trial Rows'!$B$2:$B$201,'Trial Rows'!B177,'Trial Rows'!$C$2:$C$201,'Trial Rows'!C177,'Trial Rows'!$F$2:$F$201,'Trial Rows'!F177,'Trial Rows'!$I$2:$I$201,'Trial Rows'!I177,'Trial Rows'!$Y$2:$Y$201,'Trial Rows'!Y177,'Trial Rows'!$G$2:$G$201,"A",'Trial Rows'!$K$2:$K$201,"&gt;=0",'Trial Rows'!$K$2:$K$201,"&lt;=4",'Trial Rows'!$K$2:$K$201,"&lt;&gt;")=1),SUMIFS('Trial Rows'!$K$2:$K$201,'Trial Rows'!$B$2:$B$201,'Trial Rows'!B177,'Trial Rows'!$C$2:$C$201,'Trial Rows'!C177,'Trial Rows'!$F$2:$F$201,'Trial Rows'!F177,'Trial Rows'!$I$2:$I$201,'Trial Rows'!I177,'Trial Rows'!$Y$2:$Y$201,'Trial Rows'!Y177,'Trial Rows'!$G$2:$G$201,"A"),"")</x:f>
      </x:c>
      <x:c r="F177" s="2" t="n">
        <x:f>IF(AND(B177=1,'Trial Rows'!G177="B",C177=1,D177=1,ISNUMBER(E177),ISNUMBER('Trial Rows'!M177),'Trial Rows'!M177&gt;=0,'Trial Rows'!M177&lt;=4,'Trial Rows'!Q177=0,'Trial Rows'!S177=0),1,0)</x:f>
        <x:v>0</x:v>
      </x:c>
      <x:c r="G177" s="2" t="n">
        <x:f>IF(F177=1,IF(E177='Trial Rows'!M177,1,0),0)</x:f>
        <x:v>0</x:v>
      </x:c>
      <x:c r="H177" s="2" t="n">
        <x:f>IF(AND(B177=1,'Trial Rows'!G177="B",C177=1,D177=1,ISNUMBER(E177),'Trial Rows'!R177=1,'Trial Rows'!Q177=0,'Trial Rows'!S177=0,ISNUMBER('Trial Rows'!L177),'Trial Rows'!L177&gt;=0,'Trial Rows'!L177&lt;=4),1,0)</x:f>
        <x:v>0</x:v>
      </x:c>
      <x:c r="I177" s="2" t="n">
        <x:f>IF(H177=1,IF(E177='Trial Rows'!L177,1,0),0)</x:f>
        <x:v>0</x:v>
      </x:c>
      <x:c r="J177" s="2" t="n">
        <x:f>IF(AND(B177=1,'Trial Rows'!G177="B",'Trial Rows'!P177&gt;0),1,0)</x:f>
        <x:v>0</x:v>
      </x:c>
      <x:c r="K177" s="2" t="n">
        <x:f>IF(AND(B177=1,'Trial Rows'!G177="B",'Trial Rows'!Q177=1),1,0)</x:f>
        <x:v>0</x:v>
      </x:c>
      <x:c r="L177" s="2" t="n">
        <x:f>IF(AND(B177=1,'Trial Rows'!G177="B",'Trial Rows'!R177=1,'Trial Rows'!Q177=0,'Trial Rows'!S177=0),1,0)</x:f>
        <x:v>0</x:v>
      </x:c>
      <x:c r="M177" s="2" t="n">
        <x:f>IF(AND(B177=1,'Trial Rows'!G177="B"),1,0)</x:f>
        <x:v>0</x:v>
      </x:c>
      <x:c r="N177" s="2" t="n">
        <x:f>IF(AND(B177=1,'Trial Rows'!I177=1,COUNTIFS('Trial Rows'!$B$2:$B$201,'Trial Rows'!B177,'Trial Rows'!$C$2:$C$201,'Trial Rows'!C177,'Trial Rows'!$F$2:$F$201,'Trial Rows'!F177,'Trial Rows'!$G$2:$G$201,'Trial Rows'!G177,'Trial Rows'!$Y$2:$Y$201,'Trial Rows'!Y177)=4,COUNTIFS('Trial Rows'!$B$2:$B$201,'Trial Rows'!B177,'Trial Rows'!$C$2:$C$201,'Trial Rows'!C177,'Trial Rows'!$F$2:$F$201,'Trial Rows'!F177,'Trial Rows'!$G$2:$G$201,'Trial Rows'!G177,'Trial Rows'!$Y$2:$Y$201,'Trial Rows'!Y177,'Trial Rows'!$I$2:$I$201,1)=1,COUNTIFS('Trial Rows'!$B$2:$B$201,'Trial Rows'!B177,'Trial Rows'!$C$2:$C$201,'Trial Rows'!C177,'Trial Rows'!$F$2:$F$201,'Trial Rows'!F177,'Trial Rows'!$G$2:$G$201,'Trial Rows'!G177,'Trial Rows'!$Y$2:$Y$201,'Trial Rows'!Y177,'Trial Rows'!$I$2:$I$201,2)=1,COUNTIFS('Trial Rows'!$B$2:$B$201,'Trial Rows'!B177,'Trial Rows'!$C$2:$C$201,'Trial Rows'!C177,'Trial Rows'!$F$2:$F$201,'Trial Rows'!F177,'Trial Rows'!$G$2:$G$201,'Trial Rows'!G177,'Trial Rows'!$Y$2:$Y$201,'Trial Rows'!Y177,'Trial Rows'!$I$2:$I$201,3)=1,COUNTIFS('Trial Rows'!$B$2:$B$201,'Trial Rows'!B177,'Trial Rows'!$C$2:$C$201,'Trial Rows'!C177,'Trial Rows'!$F$2:$F$201,'Trial Rows'!F177,'Trial Rows'!$G$2:$G$201,'Trial Rows'!G177,'Trial Rows'!$Y$2:$Y$201,'Trial Rows'!Y177,'Trial Rows'!$I$2:$I$201,4)=1,COUNTIFS('Trial Rows'!$B$2:$B$201,'Trial Rows'!B177,'Trial Rows'!$C$2:$C$201,'Trial Rows'!C177,'Trial Rows'!$F$2:$F$201,'Trial Rows'!F177,'Trial Rows'!$G$2:$G$201,'Trial Rows'!G177,'Trial Rows'!$Y$2:$Y$201,'Trial Rows'!Y177,'Trial Rows'!$W$2:$W$201,"&lt;&gt;")=4,ISNUMBER('Trial Rows'!U177),COUNTIFS('Trial Rows'!$B$2:$B$201,'Trial Rows'!B177,'Trial Rows'!$C$2:$C$201,'Trial Rows'!C177,'Trial Rows'!$F$2:$F$201,'Trial Rows'!F177,'Trial Rows'!$G$2:$G$201,'Trial Rows'!G177,'Trial Rows'!$Y$2:$Y$201,'Trial Rows'!Y177,'Trial Rows'!$U$2:$U$201,'Trial Rows'!U177)=4,'Trial Rows'!U177&gt;=0),1,0)</x:f>
        <x:v>0</x:v>
      </x:c>
      <x:c r="O177" s="2" t="str">
        <x:f>IF(N177=1,'Trial Rows'!U177/1000,"")</x:f>
      </x:c>
      <x:c r="P177" s="2" t="str">
        <x:f>IF(AND(N177=1,'Trial Rows'!G177="A"),O177,"")</x:f>
      </x:c>
      <x:c r="Q177" s="2" t="str">
        <x:f>IF(AND(N177=1,'Trial Rows'!G177="B"),O177,"")</x:f>
      </x:c>
      <x:c r="R177" s="2" t="str">
        <x:f>IF(AND(N177=1,COUNTIFS('Trial Rows'!$B$2:$B$201,'Trial Rows'!B177,'Trial Rows'!$C$2:$C$201,'Trial Rows'!C177,'Trial Rows'!$F$2:$F$201,'Trial Rows'!F177,'Trial Rows'!$G$2:$G$201,'Trial Rows'!G177,'Trial Rows'!$Y$2:$Y$201,'Trial Rows'!Y177,'Trial Rows'!$N$2:$N$201,"&gt;=0",'Trial Rows'!$N$2:$N$201,"&lt;=4",'Trial Rows'!$N$2:$N$201,"&lt;&gt;")=4),SUMIFS('Trial Rows'!$N$2:$N$201,'Trial Rows'!$B$2:$B$201,'Trial Rows'!B177,'Trial Rows'!$C$2:$C$201,'Trial Rows'!C177,'Trial Rows'!$F$2:$F$201,'Trial Rows'!F177,'Trial Rows'!$G$2:$G$201,'Trial Rows'!G177,'Trial Rows'!$Y$2:$Y$201,'Trial Rows'!Y177,'Trial Rows'!$I$2:$I$201,1)+4-SUMIFS('Trial Rows'!$N$2:$N$201,'Trial Rows'!$B$2:$B$201,'Trial Rows'!B177,'Trial Rows'!$C$2:$C$201,'Trial Rows'!C177,'Trial Rows'!$F$2:$F$201,'Trial Rows'!F177,'Trial Rows'!$G$2:$G$201,'Trial Rows'!G177,'Trial Rows'!$Y$2:$Y$201,'Trial Rows'!Y177,'Trial Rows'!$I$2:$I$201,2)+4-SUMIFS('Trial Rows'!$N$2:$N$201,'Trial Rows'!$B$2:$B$201,'Trial Rows'!B177,'Trial Rows'!$C$2:$C$201,'Trial Rows'!C177,'Trial Rows'!$F$2:$F$201,'Trial Rows'!F177,'Trial Rows'!$G$2:$G$201,'Trial Rows'!G177,'Trial Rows'!$Y$2:$Y$201,'Trial Rows'!Y177,'Trial Rows'!$I$2:$I$201,3)+SUMIFS('Trial Rows'!$N$2:$N$201,'Trial Rows'!$B$2:$B$201,'Trial Rows'!B177,'Trial Rows'!$C$2:$C$201,'Trial Rows'!C177,'Trial Rows'!$F$2:$F$201,'Trial Rows'!F177,'Trial Rows'!$G$2:$G$201,'Trial Rows'!G177,'Trial Rows'!$Y$2:$Y$201,'Trial Rows'!Y177,'Trial Rows'!$I$2:$I$201,4),"")</x:f>
      </x:c>
      <x:c r="S177" s="2" t="n">
        <x:f>IF(AND(B177=1,COUNTIFS('Trial Rows'!$C$2:C177,'Trial Rows'!C177,'Trial Rows'!$F$2:F177,Summary!$B$5,'Trial Rows'!$Y$2:Y177,Summary!$B$4)=1),1,0)</x:f>
        <x:v>0</x:v>
      </x:c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 t="str">
        <x:f>IF('Trial Rows'!A178="","",'Trial Rows'!F178&amp;"|"&amp;'Trial Rows'!B178&amp;"|"&amp;'Trial Rows'!C178&amp;"|"&amp;'Trial Rows'!I178)</x:f>
      </x:c>
      <x:c r="B178" s="2" t="n">
        <x:f>IF(AND('Trial Rows'!A178&lt;&gt;"",'Trial Rows'!Y178=Summary!$B$4,'Trial Rows'!F178=Summary!$B$5),1,0)</x:f>
        <x:v>0</x:v>
      </x:c>
      <x:c r="C178" s="2" t="n">
        <x:f>IF(B178=1,COUNTIFS('Trial Rows'!$B$2:$B$201,'Trial Rows'!B178,'Trial Rows'!$C$2:$C$201,'Trial Rows'!C178,'Trial Rows'!$F$2:$F$201,'Trial Rows'!F178,'Trial Rows'!$I$2:$I$201,'Trial Rows'!I178,'Trial Rows'!$Y$2:$Y$201,'Trial Rows'!Y178,'Trial Rows'!$G$2:$G$201,"A"),0)</x:f>
        <x:v>0</x:v>
      </x:c>
      <x:c r="D178" s="2" t="n">
        <x:f>IF(B178=1,COUNTIFS('Trial Rows'!$B$2:$B$201,'Trial Rows'!B178,'Trial Rows'!$C$2:$C$201,'Trial Rows'!C178,'Trial Rows'!$F$2:$F$201,'Trial Rows'!F178,'Trial Rows'!$I$2:$I$201,'Trial Rows'!I178,'Trial Rows'!$Y$2:$Y$201,'Trial Rows'!Y178,'Trial Rows'!$G$2:$G$201,"B"),0)</x:f>
        <x:v>0</x:v>
      </x:c>
      <x:c r="E178" s="2" t="str">
        <x:f>IF(AND(C178=1,COUNTIFS('Trial Rows'!$B$2:$B$201,'Trial Rows'!B178,'Trial Rows'!$C$2:$C$201,'Trial Rows'!C178,'Trial Rows'!$F$2:$F$201,'Trial Rows'!F178,'Trial Rows'!$I$2:$I$201,'Trial Rows'!I178,'Trial Rows'!$Y$2:$Y$201,'Trial Rows'!Y178,'Trial Rows'!$G$2:$G$201,"A",'Trial Rows'!$K$2:$K$201,"&gt;=0",'Trial Rows'!$K$2:$K$201,"&lt;=4",'Trial Rows'!$K$2:$K$201,"&lt;&gt;")=1),SUMIFS('Trial Rows'!$K$2:$K$201,'Trial Rows'!$B$2:$B$201,'Trial Rows'!B178,'Trial Rows'!$C$2:$C$201,'Trial Rows'!C178,'Trial Rows'!$F$2:$F$201,'Trial Rows'!F178,'Trial Rows'!$I$2:$I$201,'Trial Rows'!I178,'Trial Rows'!$Y$2:$Y$201,'Trial Rows'!Y178,'Trial Rows'!$G$2:$G$201,"A"),"")</x:f>
      </x:c>
      <x:c r="F178" s="2" t="n">
        <x:f>IF(AND(B178=1,'Trial Rows'!G178="B",C178=1,D178=1,ISNUMBER(E178),ISNUMBER('Trial Rows'!M178),'Trial Rows'!M178&gt;=0,'Trial Rows'!M178&lt;=4,'Trial Rows'!Q178=0,'Trial Rows'!S178=0),1,0)</x:f>
        <x:v>0</x:v>
      </x:c>
      <x:c r="G178" s="2" t="n">
        <x:f>IF(F178=1,IF(E178='Trial Rows'!M178,1,0),0)</x:f>
        <x:v>0</x:v>
      </x:c>
      <x:c r="H178" s="2" t="n">
        <x:f>IF(AND(B178=1,'Trial Rows'!G178="B",C178=1,D178=1,ISNUMBER(E178),'Trial Rows'!R178=1,'Trial Rows'!Q178=0,'Trial Rows'!S178=0,ISNUMBER('Trial Rows'!L178),'Trial Rows'!L178&gt;=0,'Trial Rows'!L178&lt;=4),1,0)</x:f>
        <x:v>0</x:v>
      </x:c>
      <x:c r="I178" s="2" t="n">
        <x:f>IF(H178=1,IF(E178='Trial Rows'!L178,1,0),0)</x:f>
        <x:v>0</x:v>
      </x:c>
      <x:c r="J178" s="2" t="n">
        <x:f>IF(AND(B178=1,'Trial Rows'!G178="B",'Trial Rows'!P178&gt;0),1,0)</x:f>
        <x:v>0</x:v>
      </x:c>
      <x:c r="K178" s="2" t="n">
        <x:f>IF(AND(B178=1,'Trial Rows'!G178="B",'Trial Rows'!Q178=1),1,0)</x:f>
        <x:v>0</x:v>
      </x:c>
      <x:c r="L178" s="2" t="n">
        <x:f>IF(AND(B178=1,'Trial Rows'!G178="B",'Trial Rows'!R178=1,'Trial Rows'!Q178=0,'Trial Rows'!S178=0),1,0)</x:f>
        <x:v>0</x:v>
      </x:c>
      <x:c r="M178" s="2" t="n">
        <x:f>IF(AND(B178=1,'Trial Rows'!G178="B"),1,0)</x:f>
        <x:v>0</x:v>
      </x:c>
      <x:c r="N178" s="2" t="n">
        <x:f>IF(AND(B178=1,'Trial Rows'!I178=1,COUNTIFS('Trial Rows'!$B$2:$B$201,'Trial Rows'!B178,'Trial Rows'!$C$2:$C$201,'Trial Rows'!C178,'Trial Rows'!$F$2:$F$201,'Trial Rows'!F178,'Trial Rows'!$G$2:$G$201,'Trial Rows'!G178,'Trial Rows'!$Y$2:$Y$201,'Trial Rows'!Y178)=4,COUNTIFS('Trial Rows'!$B$2:$B$201,'Trial Rows'!B178,'Trial Rows'!$C$2:$C$201,'Trial Rows'!C178,'Trial Rows'!$F$2:$F$201,'Trial Rows'!F178,'Trial Rows'!$G$2:$G$201,'Trial Rows'!G178,'Trial Rows'!$Y$2:$Y$201,'Trial Rows'!Y178,'Trial Rows'!$I$2:$I$201,1)=1,COUNTIFS('Trial Rows'!$B$2:$B$201,'Trial Rows'!B178,'Trial Rows'!$C$2:$C$201,'Trial Rows'!C178,'Trial Rows'!$F$2:$F$201,'Trial Rows'!F178,'Trial Rows'!$G$2:$G$201,'Trial Rows'!G178,'Trial Rows'!$Y$2:$Y$201,'Trial Rows'!Y178,'Trial Rows'!$I$2:$I$201,2)=1,COUNTIFS('Trial Rows'!$B$2:$B$201,'Trial Rows'!B178,'Trial Rows'!$C$2:$C$201,'Trial Rows'!C178,'Trial Rows'!$F$2:$F$201,'Trial Rows'!F178,'Trial Rows'!$G$2:$G$201,'Trial Rows'!G178,'Trial Rows'!$Y$2:$Y$201,'Trial Rows'!Y178,'Trial Rows'!$I$2:$I$201,3)=1,COUNTIFS('Trial Rows'!$B$2:$B$201,'Trial Rows'!B178,'Trial Rows'!$C$2:$C$201,'Trial Rows'!C178,'Trial Rows'!$F$2:$F$201,'Trial Rows'!F178,'Trial Rows'!$G$2:$G$201,'Trial Rows'!G178,'Trial Rows'!$Y$2:$Y$201,'Trial Rows'!Y178,'Trial Rows'!$I$2:$I$201,4)=1,COUNTIFS('Trial Rows'!$B$2:$B$201,'Trial Rows'!B178,'Trial Rows'!$C$2:$C$201,'Trial Rows'!C178,'Trial Rows'!$F$2:$F$201,'Trial Rows'!F178,'Trial Rows'!$G$2:$G$201,'Trial Rows'!G178,'Trial Rows'!$Y$2:$Y$201,'Trial Rows'!Y178,'Trial Rows'!$W$2:$W$201,"&lt;&gt;")=4,ISNUMBER('Trial Rows'!U178),COUNTIFS('Trial Rows'!$B$2:$B$201,'Trial Rows'!B178,'Trial Rows'!$C$2:$C$201,'Trial Rows'!C178,'Trial Rows'!$F$2:$F$201,'Trial Rows'!F178,'Trial Rows'!$G$2:$G$201,'Trial Rows'!G178,'Trial Rows'!$Y$2:$Y$201,'Trial Rows'!Y178,'Trial Rows'!$U$2:$U$201,'Trial Rows'!U178)=4,'Trial Rows'!U178&gt;=0),1,0)</x:f>
        <x:v>0</x:v>
      </x:c>
      <x:c r="O178" s="2" t="str">
        <x:f>IF(N178=1,'Trial Rows'!U178/1000,"")</x:f>
      </x:c>
      <x:c r="P178" s="2" t="str">
        <x:f>IF(AND(N178=1,'Trial Rows'!G178="A"),O178,"")</x:f>
      </x:c>
      <x:c r="Q178" s="2" t="str">
        <x:f>IF(AND(N178=1,'Trial Rows'!G178="B"),O178,"")</x:f>
      </x:c>
      <x:c r="R178" s="2" t="str">
        <x:f>IF(AND(N178=1,COUNTIFS('Trial Rows'!$B$2:$B$201,'Trial Rows'!B178,'Trial Rows'!$C$2:$C$201,'Trial Rows'!C178,'Trial Rows'!$F$2:$F$201,'Trial Rows'!F178,'Trial Rows'!$G$2:$G$201,'Trial Rows'!G178,'Trial Rows'!$Y$2:$Y$201,'Trial Rows'!Y178,'Trial Rows'!$N$2:$N$201,"&gt;=0",'Trial Rows'!$N$2:$N$201,"&lt;=4",'Trial Rows'!$N$2:$N$201,"&lt;&gt;")=4),SUMIFS('Trial Rows'!$N$2:$N$201,'Trial Rows'!$B$2:$B$201,'Trial Rows'!B178,'Trial Rows'!$C$2:$C$201,'Trial Rows'!C178,'Trial Rows'!$F$2:$F$201,'Trial Rows'!F178,'Trial Rows'!$G$2:$G$201,'Trial Rows'!G178,'Trial Rows'!$Y$2:$Y$201,'Trial Rows'!Y178,'Trial Rows'!$I$2:$I$201,1)+4-SUMIFS('Trial Rows'!$N$2:$N$201,'Trial Rows'!$B$2:$B$201,'Trial Rows'!B178,'Trial Rows'!$C$2:$C$201,'Trial Rows'!C178,'Trial Rows'!$F$2:$F$201,'Trial Rows'!F178,'Trial Rows'!$G$2:$G$201,'Trial Rows'!G178,'Trial Rows'!$Y$2:$Y$201,'Trial Rows'!Y178,'Trial Rows'!$I$2:$I$201,2)+4-SUMIFS('Trial Rows'!$N$2:$N$201,'Trial Rows'!$B$2:$B$201,'Trial Rows'!B178,'Trial Rows'!$C$2:$C$201,'Trial Rows'!C178,'Trial Rows'!$F$2:$F$201,'Trial Rows'!F178,'Trial Rows'!$G$2:$G$201,'Trial Rows'!G178,'Trial Rows'!$Y$2:$Y$201,'Trial Rows'!Y178,'Trial Rows'!$I$2:$I$201,3)+SUMIFS('Trial Rows'!$N$2:$N$201,'Trial Rows'!$B$2:$B$201,'Trial Rows'!B178,'Trial Rows'!$C$2:$C$201,'Trial Rows'!C178,'Trial Rows'!$F$2:$F$201,'Trial Rows'!F178,'Trial Rows'!$G$2:$G$201,'Trial Rows'!G178,'Trial Rows'!$Y$2:$Y$201,'Trial Rows'!Y178,'Trial Rows'!$I$2:$I$201,4),"")</x:f>
      </x:c>
      <x:c r="S178" s="2" t="n">
        <x:f>IF(AND(B178=1,COUNTIFS('Trial Rows'!$C$2:C178,'Trial Rows'!C178,'Trial Rows'!$F$2:F178,Summary!$B$5,'Trial Rows'!$Y$2:Y178,Summary!$B$4)=1),1,0)</x:f>
        <x:v>0</x:v>
      </x:c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 t="str">
        <x:f>IF('Trial Rows'!A179="","",'Trial Rows'!F179&amp;"|"&amp;'Trial Rows'!B179&amp;"|"&amp;'Trial Rows'!C179&amp;"|"&amp;'Trial Rows'!I179)</x:f>
      </x:c>
      <x:c r="B179" s="2" t="n">
        <x:f>IF(AND('Trial Rows'!A179&lt;&gt;"",'Trial Rows'!Y179=Summary!$B$4,'Trial Rows'!F179=Summary!$B$5),1,0)</x:f>
        <x:v>0</x:v>
      </x:c>
      <x:c r="C179" s="2" t="n">
        <x:f>IF(B179=1,COUNTIFS('Trial Rows'!$B$2:$B$201,'Trial Rows'!B179,'Trial Rows'!$C$2:$C$201,'Trial Rows'!C179,'Trial Rows'!$F$2:$F$201,'Trial Rows'!F179,'Trial Rows'!$I$2:$I$201,'Trial Rows'!I179,'Trial Rows'!$Y$2:$Y$201,'Trial Rows'!Y179,'Trial Rows'!$G$2:$G$201,"A"),0)</x:f>
        <x:v>0</x:v>
      </x:c>
      <x:c r="D179" s="2" t="n">
        <x:f>IF(B179=1,COUNTIFS('Trial Rows'!$B$2:$B$201,'Trial Rows'!B179,'Trial Rows'!$C$2:$C$201,'Trial Rows'!C179,'Trial Rows'!$F$2:$F$201,'Trial Rows'!F179,'Trial Rows'!$I$2:$I$201,'Trial Rows'!I179,'Trial Rows'!$Y$2:$Y$201,'Trial Rows'!Y179,'Trial Rows'!$G$2:$G$201,"B"),0)</x:f>
        <x:v>0</x:v>
      </x:c>
      <x:c r="E179" s="2" t="str">
        <x:f>IF(AND(C179=1,COUNTIFS('Trial Rows'!$B$2:$B$201,'Trial Rows'!B179,'Trial Rows'!$C$2:$C$201,'Trial Rows'!C179,'Trial Rows'!$F$2:$F$201,'Trial Rows'!F179,'Trial Rows'!$I$2:$I$201,'Trial Rows'!I179,'Trial Rows'!$Y$2:$Y$201,'Trial Rows'!Y179,'Trial Rows'!$G$2:$G$201,"A",'Trial Rows'!$K$2:$K$201,"&gt;=0",'Trial Rows'!$K$2:$K$201,"&lt;=4",'Trial Rows'!$K$2:$K$201,"&lt;&gt;")=1),SUMIFS('Trial Rows'!$K$2:$K$201,'Trial Rows'!$B$2:$B$201,'Trial Rows'!B179,'Trial Rows'!$C$2:$C$201,'Trial Rows'!C179,'Trial Rows'!$F$2:$F$201,'Trial Rows'!F179,'Trial Rows'!$I$2:$I$201,'Trial Rows'!I179,'Trial Rows'!$Y$2:$Y$201,'Trial Rows'!Y179,'Trial Rows'!$G$2:$G$201,"A"),"")</x:f>
      </x:c>
      <x:c r="F179" s="2" t="n">
        <x:f>IF(AND(B179=1,'Trial Rows'!G179="B",C179=1,D179=1,ISNUMBER(E179),ISNUMBER('Trial Rows'!M179),'Trial Rows'!M179&gt;=0,'Trial Rows'!M179&lt;=4,'Trial Rows'!Q179=0,'Trial Rows'!S179=0),1,0)</x:f>
        <x:v>0</x:v>
      </x:c>
      <x:c r="G179" s="2" t="n">
        <x:f>IF(F179=1,IF(E179='Trial Rows'!M179,1,0),0)</x:f>
        <x:v>0</x:v>
      </x:c>
      <x:c r="H179" s="2" t="n">
        <x:f>IF(AND(B179=1,'Trial Rows'!G179="B",C179=1,D179=1,ISNUMBER(E179),'Trial Rows'!R179=1,'Trial Rows'!Q179=0,'Trial Rows'!S179=0,ISNUMBER('Trial Rows'!L179),'Trial Rows'!L179&gt;=0,'Trial Rows'!L179&lt;=4),1,0)</x:f>
        <x:v>0</x:v>
      </x:c>
      <x:c r="I179" s="2" t="n">
        <x:f>IF(H179=1,IF(E179='Trial Rows'!L179,1,0),0)</x:f>
        <x:v>0</x:v>
      </x:c>
      <x:c r="J179" s="2" t="n">
        <x:f>IF(AND(B179=1,'Trial Rows'!G179="B",'Trial Rows'!P179&gt;0),1,0)</x:f>
        <x:v>0</x:v>
      </x:c>
      <x:c r="K179" s="2" t="n">
        <x:f>IF(AND(B179=1,'Trial Rows'!G179="B",'Trial Rows'!Q179=1),1,0)</x:f>
        <x:v>0</x:v>
      </x:c>
      <x:c r="L179" s="2" t="n">
        <x:f>IF(AND(B179=1,'Trial Rows'!G179="B",'Trial Rows'!R179=1,'Trial Rows'!Q179=0,'Trial Rows'!S179=0),1,0)</x:f>
        <x:v>0</x:v>
      </x:c>
      <x:c r="M179" s="2" t="n">
        <x:f>IF(AND(B179=1,'Trial Rows'!G179="B"),1,0)</x:f>
        <x:v>0</x:v>
      </x:c>
      <x:c r="N179" s="2" t="n">
        <x:f>IF(AND(B179=1,'Trial Rows'!I179=1,COUNTIFS('Trial Rows'!$B$2:$B$201,'Trial Rows'!B179,'Trial Rows'!$C$2:$C$201,'Trial Rows'!C179,'Trial Rows'!$F$2:$F$201,'Trial Rows'!F179,'Trial Rows'!$G$2:$G$201,'Trial Rows'!G179,'Trial Rows'!$Y$2:$Y$201,'Trial Rows'!Y179)=4,COUNTIFS('Trial Rows'!$B$2:$B$201,'Trial Rows'!B179,'Trial Rows'!$C$2:$C$201,'Trial Rows'!C179,'Trial Rows'!$F$2:$F$201,'Trial Rows'!F179,'Trial Rows'!$G$2:$G$201,'Trial Rows'!G179,'Trial Rows'!$Y$2:$Y$201,'Trial Rows'!Y179,'Trial Rows'!$I$2:$I$201,1)=1,COUNTIFS('Trial Rows'!$B$2:$B$201,'Trial Rows'!B179,'Trial Rows'!$C$2:$C$201,'Trial Rows'!C179,'Trial Rows'!$F$2:$F$201,'Trial Rows'!F179,'Trial Rows'!$G$2:$G$201,'Trial Rows'!G179,'Trial Rows'!$Y$2:$Y$201,'Trial Rows'!Y179,'Trial Rows'!$I$2:$I$201,2)=1,COUNTIFS('Trial Rows'!$B$2:$B$201,'Trial Rows'!B179,'Trial Rows'!$C$2:$C$201,'Trial Rows'!C179,'Trial Rows'!$F$2:$F$201,'Trial Rows'!F179,'Trial Rows'!$G$2:$G$201,'Trial Rows'!G179,'Trial Rows'!$Y$2:$Y$201,'Trial Rows'!Y179,'Trial Rows'!$I$2:$I$201,3)=1,COUNTIFS('Trial Rows'!$B$2:$B$201,'Trial Rows'!B179,'Trial Rows'!$C$2:$C$201,'Trial Rows'!C179,'Trial Rows'!$F$2:$F$201,'Trial Rows'!F179,'Trial Rows'!$G$2:$G$201,'Trial Rows'!G179,'Trial Rows'!$Y$2:$Y$201,'Trial Rows'!Y179,'Trial Rows'!$I$2:$I$201,4)=1,COUNTIFS('Trial Rows'!$B$2:$B$201,'Trial Rows'!B179,'Trial Rows'!$C$2:$C$201,'Trial Rows'!C179,'Trial Rows'!$F$2:$F$201,'Trial Rows'!F179,'Trial Rows'!$G$2:$G$201,'Trial Rows'!G179,'Trial Rows'!$Y$2:$Y$201,'Trial Rows'!Y179,'Trial Rows'!$W$2:$W$201,"&lt;&gt;")=4,ISNUMBER('Trial Rows'!U179),COUNTIFS('Trial Rows'!$B$2:$B$201,'Trial Rows'!B179,'Trial Rows'!$C$2:$C$201,'Trial Rows'!C179,'Trial Rows'!$F$2:$F$201,'Trial Rows'!F179,'Trial Rows'!$G$2:$G$201,'Trial Rows'!G179,'Trial Rows'!$Y$2:$Y$201,'Trial Rows'!Y179,'Trial Rows'!$U$2:$U$201,'Trial Rows'!U179)=4,'Trial Rows'!U179&gt;=0),1,0)</x:f>
        <x:v>0</x:v>
      </x:c>
      <x:c r="O179" s="2" t="str">
        <x:f>IF(N179=1,'Trial Rows'!U179/1000,"")</x:f>
      </x:c>
      <x:c r="P179" s="2" t="str">
        <x:f>IF(AND(N179=1,'Trial Rows'!G179="A"),O179,"")</x:f>
      </x:c>
      <x:c r="Q179" s="2" t="str">
        <x:f>IF(AND(N179=1,'Trial Rows'!G179="B"),O179,"")</x:f>
      </x:c>
      <x:c r="R179" s="2" t="str">
        <x:f>IF(AND(N179=1,COUNTIFS('Trial Rows'!$B$2:$B$201,'Trial Rows'!B179,'Trial Rows'!$C$2:$C$201,'Trial Rows'!C179,'Trial Rows'!$F$2:$F$201,'Trial Rows'!F179,'Trial Rows'!$G$2:$G$201,'Trial Rows'!G179,'Trial Rows'!$Y$2:$Y$201,'Trial Rows'!Y179,'Trial Rows'!$N$2:$N$201,"&gt;=0",'Trial Rows'!$N$2:$N$201,"&lt;=4",'Trial Rows'!$N$2:$N$201,"&lt;&gt;")=4),SUMIFS('Trial Rows'!$N$2:$N$201,'Trial Rows'!$B$2:$B$201,'Trial Rows'!B179,'Trial Rows'!$C$2:$C$201,'Trial Rows'!C179,'Trial Rows'!$F$2:$F$201,'Trial Rows'!F179,'Trial Rows'!$G$2:$G$201,'Trial Rows'!G179,'Trial Rows'!$Y$2:$Y$201,'Trial Rows'!Y179,'Trial Rows'!$I$2:$I$201,1)+4-SUMIFS('Trial Rows'!$N$2:$N$201,'Trial Rows'!$B$2:$B$201,'Trial Rows'!B179,'Trial Rows'!$C$2:$C$201,'Trial Rows'!C179,'Trial Rows'!$F$2:$F$201,'Trial Rows'!F179,'Trial Rows'!$G$2:$G$201,'Trial Rows'!G179,'Trial Rows'!$Y$2:$Y$201,'Trial Rows'!Y179,'Trial Rows'!$I$2:$I$201,2)+4-SUMIFS('Trial Rows'!$N$2:$N$201,'Trial Rows'!$B$2:$B$201,'Trial Rows'!B179,'Trial Rows'!$C$2:$C$201,'Trial Rows'!C179,'Trial Rows'!$F$2:$F$201,'Trial Rows'!F179,'Trial Rows'!$G$2:$G$201,'Trial Rows'!G179,'Trial Rows'!$Y$2:$Y$201,'Trial Rows'!Y179,'Trial Rows'!$I$2:$I$201,3)+SUMIFS('Trial Rows'!$N$2:$N$201,'Trial Rows'!$B$2:$B$201,'Trial Rows'!B179,'Trial Rows'!$C$2:$C$201,'Trial Rows'!C179,'Trial Rows'!$F$2:$F$201,'Trial Rows'!F179,'Trial Rows'!$G$2:$G$201,'Trial Rows'!G179,'Trial Rows'!$Y$2:$Y$201,'Trial Rows'!Y179,'Trial Rows'!$I$2:$I$201,4),"")</x:f>
      </x:c>
      <x:c r="S179" s="2" t="n">
        <x:f>IF(AND(B179=1,COUNTIFS('Trial Rows'!$C$2:C179,'Trial Rows'!C179,'Trial Rows'!$F$2:F179,Summary!$B$5,'Trial Rows'!$Y$2:Y179,Summary!$B$4)=1),1,0)</x:f>
        <x:v>0</x:v>
      </x:c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 t="str">
        <x:f>IF('Trial Rows'!A180="","",'Trial Rows'!F180&amp;"|"&amp;'Trial Rows'!B180&amp;"|"&amp;'Trial Rows'!C180&amp;"|"&amp;'Trial Rows'!I180)</x:f>
      </x:c>
      <x:c r="B180" s="2" t="n">
        <x:f>IF(AND('Trial Rows'!A180&lt;&gt;"",'Trial Rows'!Y180=Summary!$B$4,'Trial Rows'!F180=Summary!$B$5),1,0)</x:f>
        <x:v>0</x:v>
      </x:c>
      <x:c r="C180" s="2" t="n">
        <x:f>IF(B180=1,COUNTIFS('Trial Rows'!$B$2:$B$201,'Trial Rows'!B180,'Trial Rows'!$C$2:$C$201,'Trial Rows'!C180,'Trial Rows'!$F$2:$F$201,'Trial Rows'!F180,'Trial Rows'!$I$2:$I$201,'Trial Rows'!I180,'Trial Rows'!$Y$2:$Y$201,'Trial Rows'!Y180,'Trial Rows'!$G$2:$G$201,"A"),0)</x:f>
        <x:v>0</x:v>
      </x:c>
      <x:c r="D180" s="2" t="n">
        <x:f>IF(B180=1,COUNTIFS('Trial Rows'!$B$2:$B$201,'Trial Rows'!B180,'Trial Rows'!$C$2:$C$201,'Trial Rows'!C180,'Trial Rows'!$F$2:$F$201,'Trial Rows'!F180,'Trial Rows'!$I$2:$I$201,'Trial Rows'!I180,'Trial Rows'!$Y$2:$Y$201,'Trial Rows'!Y180,'Trial Rows'!$G$2:$G$201,"B"),0)</x:f>
        <x:v>0</x:v>
      </x:c>
      <x:c r="E180" s="2" t="str">
        <x:f>IF(AND(C180=1,COUNTIFS('Trial Rows'!$B$2:$B$201,'Trial Rows'!B180,'Trial Rows'!$C$2:$C$201,'Trial Rows'!C180,'Trial Rows'!$F$2:$F$201,'Trial Rows'!F180,'Trial Rows'!$I$2:$I$201,'Trial Rows'!I180,'Trial Rows'!$Y$2:$Y$201,'Trial Rows'!Y180,'Trial Rows'!$G$2:$G$201,"A",'Trial Rows'!$K$2:$K$201,"&gt;=0",'Trial Rows'!$K$2:$K$201,"&lt;=4",'Trial Rows'!$K$2:$K$201,"&lt;&gt;")=1),SUMIFS('Trial Rows'!$K$2:$K$201,'Trial Rows'!$B$2:$B$201,'Trial Rows'!B180,'Trial Rows'!$C$2:$C$201,'Trial Rows'!C180,'Trial Rows'!$F$2:$F$201,'Trial Rows'!F180,'Trial Rows'!$I$2:$I$201,'Trial Rows'!I180,'Trial Rows'!$Y$2:$Y$201,'Trial Rows'!Y180,'Trial Rows'!$G$2:$G$201,"A"),"")</x:f>
      </x:c>
      <x:c r="F180" s="2" t="n">
        <x:f>IF(AND(B180=1,'Trial Rows'!G180="B",C180=1,D180=1,ISNUMBER(E180),ISNUMBER('Trial Rows'!M180),'Trial Rows'!M180&gt;=0,'Trial Rows'!M180&lt;=4,'Trial Rows'!Q180=0,'Trial Rows'!S180=0),1,0)</x:f>
        <x:v>0</x:v>
      </x:c>
      <x:c r="G180" s="2" t="n">
        <x:f>IF(F180=1,IF(E180='Trial Rows'!M180,1,0),0)</x:f>
        <x:v>0</x:v>
      </x:c>
      <x:c r="H180" s="2" t="n">
        <x:f>IF(AND(B180=1,'Trial Rows'!G180="B",C180=1,D180=1,ISNUMBER(E180),'Trial Rows'!R180=1,'Trial Rows'!Q180=0,'Trial Rows'!S180=0,ISNUMBER('Trial Rows'!L180),'Trial Rows'!L180&gt;=0,'Trial Rows'!L180&lt;=4),1,0)</x:f>
        <x:v>0</x:v>
      </x:c>
      <x:c r="I180" s="2" t="n">
        <x:f>IF(H180=1,IF(E180='Trial Rows'!L180,1,0),0)</x:f>
        <x:v>0</x:v>
      </x:c>
      <x:c r="J180" s="2" t="n">
        <x:f>IF(AND(B180=1,'Trial Rows'!G180="B",'Trial Rows'!P180&gt;0),1,0)</x:f>
        <x:v>0</x:v>
      </x:c>
      <x:c r="K180" s="2" t="n">
        <x:f>IF(AND(B180=1,'Trial Rows'!G180="B",'Trial Rows'!Q180=1),1,0)</x:f>
        <x:v>0</x:v>
      </x:c>
      <x:c r="L180" s="2" t="n">
        <x:f>IF(AND(B180=1,'Trial Rows'!G180="B",'Trial Rows'!R180=1,'Trial Rows'!Q180=0,'Trial Rows'!S180=0),1,0)</x:f>
        <x:v>0</x:v>
      </x:c>
      <x:c r="M180" s="2" t="n">
        <x:f>IF(AND(B180=1,'Trial Rows'!G180="B"),1,0)</x:f>
        <x:v>0</x:v>
      </x:c>
      <x:c r="N180" s="2" t="n">
        <x:f>IF(AND(B180=1,'Trial Rows'!I180=1,COUNTIFS('Trial Rows'!$B$2:$B$201,'Trial Rows'!B180,'Trial Rows'!$C$2:$C$201,'Trial Rows'!C180,'Trial Rows'!$F$2:$F$201,'Trial Rows'!F180,'Trial Rows'!$G$2:$G$201,'Trial Rows'!G180,'Trial Rows'!$Y$2:$Y$201,'Trial Rows'!Y180)=4,COUNTIFS('Trial Rows'!$B$2:$B$201,'Trial Rows'!B180,'Trial Rows'!$C$2:$C$201,'Trial Rows'!C180,'Trial Rows'!$F$2:$F$201,'Trial Rows'!F180,'Trial Rows'!$G$2:$G$201,'Trial Rows'!G180,'Trial Rows'!$Y$2:$Y$201,'Trial Rows'!Y180,'Trial Rows'!$I$2:$I$201,1)=1,COUNTIFS('Trial Rows'!$B$2:$B$201,'Trial Rows'!B180,'Trial Rows'!$C$2:$C$201,'Trial Rows'!C180,'Trial Rows'!$F$2:$F$201,'Trial Rows'!F180,'Trial Rows'!$G$2:$G$201,'Trial Rows'!G180,'Trial Rows'!$Y$2:$Y$201,'Trial Rows'!Y180,'Trial Rows'!$I$2:$I$201,2)=1,COUNTIFS('Trial Rows'!$B$2:$B$201,'Trial Rows'!B180,'Trial Rows'!$C$2:$C$201,'Trial Rows'!C180,'Trial Rows'!$F$2:$F$201,'Trial Rows'!F180,'Trial Rows'!$G$2:$G$201,'Trial Rows'!G180,'Trial Rows'!$Y$2:$Y$201,'Trial Rows'!Y180,'Trial Rows'!$I$2:$I$201,3)=1,COUNTIFS('Trial Rows'!$B$2:$B$201,'Trial Rows'!B180,'Trial Rows'!$C$2:$C$201,'Trial Rows'!C180,'Trial Rows'!$F$2:$F$201,'Trial Rows'!F180,'Trial Rows'!$G$2:$G$201,'Trial Rows'!G180,'Trial Rows'!$Y$2:$Y$201,'Trial Rows'!Y180,'Trial Rows'!$I$2:$I$201,4)=1,COUNTIFS('Trial Rows'!$B$2:$B$201,'Trial Rows'!B180,'Trial Rows'!$C$2:$C$201,'Trial Rows'!C180,'Trial Rows'!$F$2:$F$201,'Trial Rows'!F180,'Trial Rows'!$G$2:$G$201,'Trial Rows'!G180,'Trial Rows'!$Y$2:$Y$201,'Trial Rows'!Y180,'Trial Rows'!$W$2:$W$201,"&lt;&gt;")=4,ISNUMBER('Trial Rows'!U180),COUNTIFS('Trial Rows'!$B$2:$B$201,'Trial Rows'!B180,'Trial Rows'!$C$2:$C$201,'Trial Rows'!C180,'Trial Rows'!$F$2:$F$201,'Trial Rows'!F180,'Trial Rows'!$G$2:$G$201,'Trial Rows'!G180,'Trial Rows'!$Y$2:$Y$201,'Trial Rows'!Y180,'Trial Rows'!$U$2:$U$201,'Trial Rows'!U180)=4,'Trial Rows'!U180&gt;=0),1,0)</x:f>
        <x:v>0</x:v>
      </x:c>
      <x:c r="O180" s="2" t="str">
        <x:f>IF(N180=1,'Trial Rows'!U180/1000,"")</x:f>
      </x:c>
      <x:c r="P180" s="2" t="str">
        <x:f>IF(AND(N180=1,'Trial Rows'!G180="A"),O180,"")</x:f>
      </x:c>
      <x:c r="Q180" s="2" t="str">
        <x:f>IF(AND(N180=1,'Trial Rows'!G180="B"),O180,"")</x:f>
      </x:c>
      <x:c r="R180" s="2" t="str">
        <x:f>IF(AND(N180=1,COUNTIFS('Trial Rows'!$B$2:$B$201,'Trial Rows'!B180,'Trial Rows'!$C$2:$C$201,'Trial Rows'!C180,'Trial Rows'!$F$2:$F$201,'Trial Rows'!F180,'Trial Rows'!$G$2:$G$201,'Trial Rows'!G180,'Trial Rows'!$Y$2:$Y$201,'Trial Rows'!Y180,'Trial Rows'!$N$2:$N$201,"&gt;=0",'Trial Rows'!$N$2:$N$201,"&lt;=4",'Trial Rows'!$N$2:$N$201,"&lt;&gt;")=4),SUMIFS('Trial Rows'!$N$2:$N$201,'Trial Rows'!$B$2:$B$201,'Trial Rows'!B180,'Trial Rows'!$C$2:$C$201,'Trial Rows'!C180,'Trial Rows'!$F$2:$F$201,'Trial Rows'!F180,'Trial Rows'!$G$2:$G$201,'Trial Rows'!G180,'Trial Rows'!$Y$2:$Y$201,'Trial Rows'!Y180,'Trial Rows'!$I$2:$I$201,1)+4-SUMIFS('Trial Rows'!$N$2:$N$201,'Trial Rows'!$B$2:$B$201,'Trial Rows'!B180,'Trial Rows'!$C$2:$C$201,'Trial Rows'!C180,'Trial Rows'!$F$2:$F$201,'Trial Rows'!F180,'Trial Rows'!$G$2:$G$201,'Trial Rows'!G180,'Trial Rows'!$Y$2:$Y$201,'Trial Rows'!Y180,'Trial Rows'!$I$2:$I$201,2)+4-SUMIFS('Trial Rows'!$N$2:$N$201,'Trial Rows'!$B$2:$B$201,'Trial Rows'!B180,'Trial Rows'!$C$2:$C$201,'Trial Rows'!C180,'Trial Rows'!$F$2:$F$201,'Trial Rows'!F180,'Trial Rows'!$G$2:$G$201,'Trial Rows'!G180,'Trial Rows'!$Y$2:$Y$201,'Trial Rows'!Y180,'Trial Rows'!$I$2:$I$201,3)+SUMIFS('Trial Rows'!$N$2:$N$201,'Trial Rows'!$B$2:$B$201,'Trial Rows'!B180,'Trial Rows'!$C$2:$C$201,'Trial Rows'!C180,'Trial Rows'!$F$2:$F$201,'Trial Rows'!F180,'Trial Rows'!$G$2:$G$201,'Trial Rows'!G180,'Trial Rows'!$Y$2:$Y$201,'Trial Rows'!Y180,'Trial Rows'!$I$2:$I$201,4),"")</x:f>
      </x:c>
      <x:c r="S180" s="2" t="n">
        <x:f>IF(AND(B180=1,COUNTIFS('Trial Rows'!$C$2:C180,'Trial Rows'!C180,'Trial Rows'!$F$2:F180,Summary!$B$5,'Trial Rows'!$Y$2:Y180,Summary!$B$4)=1),1,0)</x:f>
        <x:v>0</x:v>
      </x:c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 t="str">
        <x:f>IF('Trial Rows'!A181="","",'Trial Rows'!F181&amp;"|"&amp;'Trial Rows'!B181&amp;"|"&amp;'Trial Rows'!C181&amp;"|"&amp;'Trial Rows'!I181)</x:f>
      </x:c>
      <x:c r="B181" s="2" t="n">
        <x:f>IF(AND('Trial Rows'!A181&lt;&gt;"",'Trial Rows'!Y181=Summary!$B$4,'Trial Rows'!F181=Summary!$B$5),1,0)</x:f>
        <x:v>0</x:v>
      </x:c>
      <x:c r="C181" s="2" t="n">
        <x:f>IF(B181=1,COUNTIFS('Trial Rows'!$B$2:$B$201,'Trial Rows'!B181,'Trial Rows'!$C$2:$C$201,'Trial Rows'!C181,'Trial Rows'!$F$2:$F$201,'Trial Rows'!F181,'Trial Rows'!$I$2:$I$201,'Trial Rows'!I181,'Trial Rows'!$Y$2:$Y$201,'Trial Rows'!Y181,'Trial Rows'!$G$2:$G$201,"A"),0)</x:f>
        <x:v>0</x:v>
      </x:c>
      <x:c r="D181" s="2" t="n">
        <x:f>IF(B181=1,COUNTIFS('Trial Rows'!$B$2:$B$201,'Trial Rows'!B181,'Trial Rows'!$C$2:$C$201,'Trial Rows'!C181,'Trial Rows'!$F$2:$F$201,'Trial Rows'!F181,'Trial Rows'!$I$2:$I$201,'Trial Rows'!I181,'Trial Rows'!$Y$2:$Y$201,'Trial Rows'!Y181,'Trial Rows'!$G$2:$G$201,"B"),0)</x:f>
        <x:v>0</x:v>
      </x:c>
      <x:c r="E181" s="2" t="str">
        <x:f>IF(AND(C181=1,COUNTIFS('Trial Rows'!$B$2:$B$201,'Trial Rows'!B181,'Trial Rows'!$C$2:$C$201,'Trial Rows'!C181,'Trial Rows'!$F$2:$F$201,'Trial Rows'!F181,'Trial Rows'!$I$2:$I$201,'Trial Rows'!I181,'Trial Rows'!$Y$2:$Y$201,'Trial Rows'!Y181,'Trial Rows'!$G$2:$G$201,"A",'Trial Rows'!$K$2:$K$201,"&gt;=0",'Trial Rows'!$K$2:$K$201,"&lt;=4",'Trial Rows'!$K$2:$K$201,"&lt;&gt;")=1),SUMIFS('Trial Rows'!$K$2:$K$201,'Trial Rows'!$B$2:$B$201,'Trial Rows'!B181,'Trial Rows'!$C$2:$C$201,'Trial Rows'!C181,'Trial Rows'!$F$2:$F$201,'Trial Rows'!F181,'Trial Rows'!$I$2:$I$201,'Trial Rows'!I181,'Trial Rows'!$Y$2:$Y$201,'Trial Rows'!Y181,'Trial Rows'!$G$2:$G$201,"A"),"")</x:f>
      </x:c>
      <x:c r="F181" s="2" t="n">
        <x:f>IF(AND(B181=1,'Trial Rows'!G181="B",C181=1,D181=1,ISNUMBER(E181),ISNUMBER('Trial Rows'!M181),'Trial Rows'!M181&gt;=0,'Trial Rows'!M181&lt;=4,'Trial Rows'!Q181=0,'Trial Rows'!S181=0),1,0)</x:f>
        <x:v>0</x:v>
      </x:c>
      <x:c r="G181" s="2" t="n">
        <x:f>IF(F181=1,IF(E181='Trial Rows'!M181,1,0),0)</x:f>
        <x:v>0</x:v>
      </x:c>
      <x:c r="H181" s="2" t="n">
        <x:f>IF(AND(B181=1,'Trial Rows'!G181="B",C181=1,D181=1,ISNUMBER(E181),'Trial Rows'!R181=1,'Trial Rows'!Q181=0,'Trial Rows'!S181=0,ISNUMBER('Trial Rows'!L181),'Trial Rows'!L181&gt;=0,'Trial Rows'!L181&lt;=4),1,0)</x:f>
        <x:v>0</x:v>
      </x:c>
      <x:c r="I181" s="2" t="n">
        <x:f>IF(H181=1,IF(E181='Trial Rows'!L181,1,0),0)</x:f>
        <x:v>0</x:v>
      </x:c>
      <x:c r="J181" s="2" t="n">
        <x:f>IF(AND(B181=1,'Trial Rows'!G181="B",'Trial Rows'!P181&gt;0),1,0)</x:f>
        <x:v>0</x:v>
      </x:c>
      <x:c r="K181" s="2" t="n">
        <x:f>IF(AND(B181=1,'Trial Rows'!G181="B",'Trial Rows'!Q181=1),1,0)</x:f>
        <x:v>0</x:v>
      </x:c>
      <x:c r="L181" s="2" t="n">
        <x:f>IF(AND(B181=1,'Trial Rows'!G181="B",'Trial Rows'!R181=1,'Trial Rows'!Q181=0,'Trial Rows'!S181=0),1,0)</x:f>
        <x:v>0</x:v>
      </x:c>
      <x:c r="M181" s="2" t="n">
        <x:f>IF(AND(B181=1,'Trial Rows'!G181="B"),1,0)</x:f>
        <x:v>0</x:v>
      </x:c>
      <x:c r="N181" s="2" t="n">
        <x:f>IF(AND(B181=1,'Trial Rows'!I181=1,COUNTIFS('Trial Rows'!$B$2:$B$201,'Trial Rows'!B181,'Trial Rows'!$C$2:$C$201,'Trial Rows'!C181,'Trial Rows'!$F$2:$F$201,'Trial Rows'!F181,'Trial Rows'!$G$2:$G$201,'Trial Rows'!G181,'Trial Rows'!$Y$2:$Y$201,'Trial Rows'!Y181)=4,COUNTIFS('Trial Rows'!$B$2:$B$201,'Trial Rows'!B181,'Trial Rows'!$C$2:$C$201,'Trial Rows'!C181,'Trial Rows'!$F$2:$F$201,'Trial Rows'!F181,'Trial Rows'!$G$2:$G$201,'Trial Rows'!G181,'Trial Rows'!$Y$2:$Y$201,'Trial Rows'!Y181,'Trial Rows'!$I$2:$I$201,1)=1,COUNTIFS('Trial Rows'!$B$2:$B$201,'Trial Rows'!B181,'Trial Rows'!$C$2:$C$201,'Trial Rows'!C181,'Trial Rows'!$F$2:$F$201,'Trial Rows'!F181,'Trial Rows'!$G$2:$G$201,'Trial Rows'!G181,'Trial Rows'!$Y$2:$Y$201,'Trial Rows'!Y181,'Trial Rows'!$I$2:$I$201,2)=1,COUNTIFS('Trial Rows'!$B$2:$B$201,'Trial Rows'!B181,'Trial Rows'!$C$2:$C$201,'Trial Rows'!C181,'Trial Rows'!$F$2:$F$201,'Trial Rows'!F181,'Trial Rows'!$G$2:$G$201,'Trial Rows'!G181,'Trial Rows'!$Y$2:$Y$201,'Trial Rows'!Y181,'Trial Rows'!$I$2:$I$201,3)=1,COUNTIFS('Trial Rows'!$B$2:$B$201,'Trial Rows'!B181,'Trial Rows'!$C$2:$C$201,'Trial Rows'!C181,'Trial Rows'!$F$2:$F$201,'Trial Rows'!F181,'Trial Rows'!$G$2:$G$201,'Trial Rows'!G181,'Trial Rows'!$Y$2:$Y$201,'Trial Rows'!Y181,'Trial Rows'!$I$2:$I$201,4)=1,COUNTIFS('Trial Rows'!$B$2:$B$201,'Trial Rows'!B181,'Trial Rows'!$C$2:$C$201,'Trial Rows'!C181,'Trial Rows'!$F$2:$F$201,'Trial Rows'!F181,'Trial Rows'!$G$2:$G$201,'Trial Rows'!G181,'Trial Rows'!$Y$2:$Y$201,'Trial Rows'!Y181,'Trial Rows'!$W$2:$W$201,"&lt;&gt;")=4,ISNUMBER('Trial Rows'!U181),COUNTIFS('Trial Rows'!$B$2:$B$201,'Trial Rows'!B181,'Trial Rows'!$C$2:$C$201,'Trial Rows'!C181,'Trial Rows'!$F$2:$F$201,'Trial Rows'!F181,'Trial Rows'!$G$2:$G$201,'Trial Rows'!G181,'Trial Rows'!$Y$2:$Y$201,'Trial Rows'!Y181,'Trial Rows'!$U$2:$U$201,'Trial Rows'!U181)=4,'Trial Rows'!U181&gt;=0),1,0)</x:f>
        <x:v>0</x:v>
      </x:c>
      <x:c r="O181" s="2" t="str">
        <x:f>IF(N181=1,'Trial Rows'!U181/1000,"")</x:f>
      </x:c>
      <x:c r="P181" s="2" t="str">
        <x:f>IF(AND(N181=1,'Trial Rows'!G181="A"),O181,"")</x:f>
      </x:c>
      <x:c r="Q181" s="2" t="str">
        <x:f>IF(AND(N181=1,'Trial Rows'!G181="B"),O181,"")</x:f>
      </x:c>
      <x:c r="R181" s="2" t="str">
        <x:f>IF(AND(N181=1,COUNTIFS('Trial Rows'!$B$2:$B$201,'Trial Rows'!B181,'Trial Rows'!$C$2:$C$201,'Trial Rows'!C181,'Trial Rows'!$F$2:$F$201,'Trial Rows'!F181,'Trial Rows'!$G$2:$G$201,'Trial Rows'!G181,'Trial Rows'!$Y$2:$Y$201,'Trial Rows'!Y181,'Trial Rows'!$N$2:$N$201,"&gt;=0",'Trial Rows'!$N$2:$N$201,"&lt;=4",'Trial Rows'!$N$2:$N$201,"&lt;&gt;")=4),SUMIFS('Trial Rows'!$N$2:$N$201,'Trial Rows'!$B$2:$B$201,'Trial Rows'!B181,'Trial Rows'!$C$2:$C$201,'Trial Rows'!C181,'Trial Rows'!$F$2:$F$201,'Trial Rows'!F181,'Trial Rows'!$G$2:$G$201,'Trial Rows'!G181,'Trial Rows'!$Y$2:$Y$201,'Trial Rows'!Y181,'Trial Rows'!$I$2:$I$201,1)+4-SUMIFS('Trial Rows'!$N$2:$N$201,'Trial Rows'!$B$2:$B$201,'Trial Rows'!B181,'Trial Rows'!$C$2:$C$201,'Trial Rows'!C181,'Trial Rows'!$F$2:$F$201,'Trial Rows'!F181,'Trial Rows'!$G$2:$G$201,'Trial Rows'!G181,'Trial Rows'!$Y$2:$Y$201,'Trial Rows'!Y181,'Trial Rows'!$I$2:$I$201,2)+4-SUMIFS('Trial Rows'!$N$2:$N$201,'Trial Rows'!$B$2:$B$201,'Trial Rows'!B181,'Trial Rows'!$C$2:$C$201,'Trial Rows'!C181,'Trial Rows'!$F$2:$F$201,'Trial Rows'!F181,'Trial Rows'!$G$2:$G$201,'Trial Rows'!G181,'Trial Rows'!$Y$2:$Y$201,'Trial Rows'!Y181,'Trial Rows'!$I$2:$I$201,3)+SUMIFS('Trial Rows'!$N$2:$N$201,'Trial Rows'!$B$2:$B$201,'Trial Rows'!B181,'Trial Rows'!$C$2:$C$201,'Trial Rows'!C181,'Trial Rows'!$F$2:$F$201,'Trial Rows'!F181,'Trial Rows'!$G$2:$G$201,'Trial Rows'!G181,'Trial Rows'!$Y$2:$Y$201,'Trial Rows'!Y181,'Trial Rows'!$I$2:$I$201,4),"")</x:f>
      </x:c>
      <x:c r="S181" s="2" t="n">
        <x:f>IF(AND(B181=1,COUNTIFS('Trial Rows'!$C$2:C181,'Trial Rows'!C181,'Trial Rows'!$F$2:F181,Summary!$B$5,'Trial Rows'!$Y$2:Y181,Summary!$B$4)=1),1,0)</x:f>
        <x:v>0</x:v>
      </x:c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 t="str">
        <x:f>IF('Trial Rows'!A182="","",'Trial Rows'!F182&amp;"|"&amp;'Trial Rows'!B182&amp;"|"&amp;'Trial Rows'!C182&amp;"|"&amp;'Trial Rows'!I182)</x:f>
      </x:c>
      <x:c r="B182" s="2" t="n">
        <x:f>IF(AND('Trial Rows'!A182&lt;&gt;"",'Trial Rows'!Y182=Summary!$B$4,'Trial Rows'!F182=Summary!$B$5),1,0)</x:f>
        <x:v>0</x:v>
      </x:c>
      <x:c r="C182" s="2" t="n">
        <x:f>IF(B182=1,COUNTIFS('Trial Rows'!$B$2:$B$201,'Trial Rows'!B182,'Trial Rows'!$C$2:$C$201,'Trial Rows'!C182,'Trial Rows'!$F$2:$F$201,'Trial Rows'!F182,'Trial Rows'!$I$2:$I$201,'Trial Rows'!I182,'Trial Rows'!$Y$2:$Y$201,'Trial Rows'!Y182,'Trial Rows'!$G$2:$G$201,"A"),0)</x:f>
        <x:v>0</x:v>
      </x:c>
      <x:c r="D182" s="2" t="n">
        <x:f>IF(B182=1,COUNTIFS('Trial Rows'!$B$2:$B$201,'Trial Rows'!B182,'Trial Rows'!$C$2:$C$201,'Trial Rows'!C182,'Trial Rows'!$F$2:$F$201,'Trial Rows'!F182,'Trial Rows'!$I$2:$I$201,'Trial Rows'!I182,'Trial Rows'!$Y$2:$Y$201,'Trial Rows'!Y182,'Trial Rows'!$G$2:$G$201,"B"),0)</x:f>
        <x:v>0</x:v>
      </x:c>
      <x:c r="E182" s="2" t="str">
        <x:f>IF(AND(C182=1,COUNTIFS('Trial Rows'!$B$2:$B$201,'Trial Rows'!B182,'Trial Rows'!$C$2:$C$201,'Trial Rows'!C182,'Trial Rows'!$F$2:$F$201,'Trial Rows'!F182,'Trial Rows'!$I$2:$I$201,'Trial Rows'!I182,'Trial Rows'!$Y$2:$Y$201,'Trial Rows'!Y182,'Trial Rows'!$G$2:$G$201,"A",'Trial Rows'!$K$2:$K$201,"&gt;=0",'Trial Rows'!$K$2:$K$201,"&lt;=4",'Trial Rows'!$K$2:$K$201,"&lt;&gt;")=1),SUMIFS('Trial Rows'!$K$2:$K$201,'Trial Rows'!$B$2:$B$201,'Trial Rows'!B182,'Trial Rows'!$C$2:$C$201,'Trial Rows'!C182,'Trial Rows'!$F$2:$F$201,'Trial Rows'!F182,'Trial Rows'!$I$2:$I$201,'Trial Rows'!I182,'Trial Rows'!$Y$2:$Y$201,'Trial Rows'!Y182,'Trial Rows'!$G$2:$G$201,"A"),"")</x:f>
      </x:c>
      <x:c r="F182" s="2" t="n">
        <x:f>IF(AND(B182=1,'Trial Rows'!G182="B",C182=1,D182=1,ISNUMBER(E182),ISNUMBER('Trial Rows'!M182),'Trial Rows'!M182&gt;=0,'Trial Rows'!M182&lt;=4,'Trial Rows'!Q182=0,'Trial Rows'!S182=0),1,0)</x:f>
        <x:v>0</x:v>
      </x:c>
      <x:c r="G182" s="2" t="n">
        <x:f>IF(F182=1,IF(E182='Trial Rows'!M182,1,0),0)</x:f>
        <x:v>0</x:v>
      </x:c>
      <x:c r="H182" s="2" t="n">
        <x:f>IF(AND(B182=1,'Trial Rows'!G182="B",C182=1,D182=1,ISNUMBER(E182),'Trial Rows'!R182=1,'Trial Rows'!Q182=0,'Trial Rows'!S182=0,ISNUMBER('Trial Rows'!L182),'Trial Rows'!L182&gt;=0,'Trial Rows'!L182&lt;=4),1,0)</x:f>
        <x:v>0</x:v>
      </x:c>
      <x:c r="I182" s="2" t="n">
        <x:f>IF(H182=1,IF(E182='Trial Rows'!L182,1,0),0)</x:f>
        <x:v>0</x:v>
      </x:c>
      <x:c r="J182" s="2" t="n">
        <x:f>IF(AND(B182=1,'Trial Rows'!G182="B",'Trial Rows'!P182&gt;0),1,0)</x:f>
        <x:v>0</x:v>
      </x:c>
      <x:c r="K182" s="2" t="n">
        <x:f>IF(AND(B182=1,'Trial Rows'!G182="B",'Trial Rows'!Q182=1),1,0)</x:f>
        <x:v>0</x:v>
      </x:c>
      <x:c r="L182" s="2" t="n">
        <x:f>IF(AND(B182=1,'Trial Rows'!G182="B",'Trial Rows'!R182=1,'Trial Rows'!Q182=0,'Trial Rows'!S182=0),1,0)</x:f>
        <x:v>0</x:v>
      </x:c>
      <x:c r="M182" s="2" t="n">
        <x:f>IF(AND(B182=1,'Trial Rows'!G182="B"),1,0)</x:f>
        <x:v>0</x:v>
      </x:c>
      <x:c r="N182" s="2" t="n">
        <x:f>IF(AND(B182=1,'Trial Rows'!I182=1,COUNTIFS('Trial Rows'!$B$2:$B$201,'Trial Rows'!B182,'Trial Rows'!$C$2:$C$201,'Trial Rows'!C182,'Trial Rows'!$F$2:$F$201,'Trial Rows'!F182,'Trial Rows'!$G$2:$G$201,'Trial Rows'!G182,'Trial Rows'!$Y$2:$Y$201,'Trial Rows'!Y182)=4,COUNTIFS('Trial Rows'!$B$2:$B$201,'Trial Rows'!B182,'Trial Rows'!$C$2:$C$201,'Trial Rows'!C182,'Trial Rows'!$F$2:$F$201,'Trial Rows'!F182,'Trial Rows'!$G$2:$G$201,'Trial Rows'!G182,'Trial Rows'!$Y$2:$Y$201,'Trial Rows'!Y182,'Trial Rows'!$I$2:$I$201,1)=1,COUNTIFS('Trial Rows'!$B$2:$B$201,'Trial Rows'!B182,'Trial Rows'!$C$2:$C$201,'Trial Rows'!C182,'Trial Rows'!$F$2:$F$201,'Trial Rows'!F182,'Trial Rows'!$G$2:$G$201,'Trial Rows'!G182,'Trial Rows'!$Y$2:$Y$201,'Trial Rows'!Y182,'Trial Rows'!$I$2:$I$201,2)=1,COUNTIFS('Trial Rows'!$B$2:$B$201,'Trial Rows'!B182,'Trial Rows'!$C$2:$C$201,'Trial Rows'!C182,'Trial Rows'!$F$2:$F$201,'Trial Rows'!F182,'Trial Rows'!$G$2:$G$201,'Trial Rows'!G182,'Trial Rows'!$Y$2:$Y$201,'Trial Rows'!Y182,'Trial Rows'!$I$2:$I$201,3)=1,COUNTIFS('Trial Rows'!$B$2:$B$201,'Trial Rows'!B182,'Trial Rows'!$C$2:$C$201,'Trial Rows'!C182,'Trial Rows'!$F$2:$F$201,'Trial Rows'!F182,'Trial Rows'!$G$2:$G$201,'Trial Rows'!G182,'Trial Rows'!$Y$2:$Y$201,'Trial Rows'!Y182,'Trial Rows'!$I$2:$I$201,4)=1,COUNTIFS('Trial Rows'!$B$2:$B$201,'Trial Rows'!B182,'Trial Rows'!$C$2:$C$201,'Trial Rows'!C182,'Trial Rows'!$F$2:$F$201,'Trial Rows'!F182,'Trial Rows'!$G$2:$G$201,'Trial Rows'!G182,'Trial Rows'!$Y$2:$Y$201,'Trial Rows'!Y182,'Trial Rows'!$W$2:$W$201,"&lt;&gt;")=4,ISNUMBER('Trial Rows'!U182),COUNTIFS('Trial Rows'!$B$2:$B$201,'Trial Rows'!B182,'Trial Rows'!$C$2:$C$201,'Trial Rows'!C182,'Trial Rows'!$F$2:$F$201,'Trial Rows'!F182,'Trial Rows'!$G$2:$G$201,'Trial Rows'!G182,'Trial Rows'!$Y$2:$Y$201,'Trial Rows'!Y182,'Trial Rows'!$U$2:$U$201,'Trial Rows'!U182)=4,'Trial Rows'!U182&gt;=0),1,0)</x:f>
        <x:v>0</x:v>
      </x:c>
      <x:c r="O182" s="2" t="str">
        <x:f>IF(N182=1,'Trial Rows'!U182/1000,"")</x:f>
      </x:c>
      <x:c r="P182" s="2" t="str">
        <x:f>IF(AND(N182=1,'Trial Rows'!G182="A"),O182,"")</x:f>
      </x:c>
      <x:c r="Q182" s="2" t="str">
        <x:f>IF(AND(N182=1,'Trial Rows'!G182="B"),O182,"")</x:f>
      </x:c>
      <x:c r="R182" s="2" t="str">
        <x:f>IF(AND(N182=1,COUNTIFS('Trial Rows'!$B$2:$B$201,'Trial Rows'!B182,'Trial Rows'!$C$2:$C$201,'Trial Rows'!C182,'Trial Rows'!$F$2:$F$201,'Trial Rows'!F182,'Trial Rows'!$G$2:$G$201,'Trial Rows'!G182,'Trial Rows'!$Y$2:$Y$201,'Trial Rows'!Y182,'Trial Rows'!$N$2:$N$201,"&gt;=0",'Trial Rows'!$N$2:$N$201,"&lt;=4",'Trial Rows'!$N$2:$N$201,"&lt;&gt;")=4),SUMIFS('Trial Rows'!$N$2:$N$201,'Trial Rows'!$B$2:$B$201,'Trial Rows'!B182,'Trial Rows'!$C$2:$C$201,'Trial Rows'!C182,'Trial Rows'!$F$2:$F$201,'Trial Rows'!F182,'Trial Rows'!$G$2:$G$201,'Trial Rows'!G182,'Trial Rows'!$Y$2:$Y$201,'Trial Rows'!Y182,'Trial Rows'!$I$2:$I$201,1)+4-SUMIFS('Trial Rows'!$N$2:$N$201,'Trial Rows'!$B$2:$B$201,'Trial Rows'!B182,'Trial Rows'!$C$2:$C$201,'Trial Rows'!C182,'Trial Rows'!$F$2:$F$201,'Trial Rows'!F182,'Trial Rows'!$G$2:$G$201,'Trial Rows'!G182,'Trial Rows'!$Y$2:$Y$201,'Trial Rows'!Y182,'Trial Rows'!$I$2:$I$201,2)+4-SUMIFS('Trial Rows'!$N$2:$N$201,'Trial Rows'!$B$2:$B$201,'Trial Rows'!B182,'Trial Rows'!$C$2:$C$201,'Trial Rows'!C182,'Trial Rows'!$F$2:$F$201,'Trial Rows'!F182,'Trial Rows'!$G$2:$G$201,'Trial Rows'!G182,'Trial Rows'!$Y$2:$Y$201,'Trial Rows'!Y182,'Trial Rows'!$I$2:$I$201,3)+SUMIFS('Trial Rows'!$N$2:$N$201,'Trial Rows'!$B$2:$B$201,'Trial Rows'!B182,'Trial Rows'!$C$2:$C$201,'Trial Rows'!C182,'Trial Rows'!$F$2:$F$201,'Trial Rows'!F182,'Trial Rows'!$G$2:$G$201,'Trial Rows'!G182,'Trial Rows'!$Y$2:$Y$201,'Trial Rows'!Y182,'Trial Rows'!$I$2:$I$201,4),"")</x:f>
      </x:c>
      <x:c r="S182" s="2" t="n">
        <x:f>IF(AND(B182=1,COUNTIFS('Trial Rows'!$C$2:C182,'Trial Rows'!C182,'Trial Rows'!$F$2:F182,Summary!$B$5,'Trial Rows'!$Y$2:Y182,Summary!$B$4)=1),1,0)</x:f>
        <x:v>0</x:v>
      </x:c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 t="str">
        <x:f>IF('Trial Rows'!A183="","",'Trial Rows'!F183&amp;"|"&amp;'Trial Rows'!B183&amp;"|"&amp;'Trial Rows'!C183&amp;"|"&amp;'Trial Rows'!I183)</x:f>
      </x:c>
      <x:c r="B183" s="2" t="n">
        <x:f>IF(AND('Trial Rows'!A183&lt;&gt;"",'Trial Rows'!Y183=Summary!$B$4,'Trial Rows'!F183=Summary!$B$5),1,0)</x:f>
        <x:v>0</x:v>
      </x:c>
      <x:c r="C183" s="2" t="n">
        <x:f>IF(B183=1,COUNTIFS('Trial Rows'!$B$2:$B$201,'Trial Rows'!B183,'Trial Rows'!$C$2:$C$201,'Trial Rows'!C183,'Trial Rows'!$F$2:$F$201,'Trial Rows'!F183,'Trial Rows'!$I$2:$I$201,'Trial Rows'!I183,'Trial Rows'!$Y$2:$Y$201,'Trial Rows'!Y183,'Trial Rows'!$G$2:$G$201,"A"),0)</x:f>
        <x:v>0</x:v>
      </x:c>
      <x:c r="D183" s="2" t="n">
        <x:f>IF(B183=1,COUNTIFS('Trial Rows'!$B$2:$B$201,'Trial Rows'!B183,'Trial Rows'!$C$2:$C$201,'Trial Rows'!C183,'Trial Rows'!$F$2:$F$201,'Trial Rows'!F183,'Trial Rows'!$I$2:$I$201,'Trial Rows'!I183,'Trial Rows'!$Y$2:$Y$201,'Trial Rows'!Y183,'Trial Rows'!$G$2:$G$201,"B"),0)</x:f>
        <x:v>0</x:v>
      </x:c>
      <x:c r="E183" s="2" t="str">
        <x:f>IF(AND(C183=1,COUNTIFS('Trial Rows'!$B$2:$B$201,'Trial Rows'!B183,'Trial Rows'!$C$2:$C$201,'Trial Rows'!C183,'Trial Rows'!$F$2:$F$201,'Trial Rows'!F183,'Trial Rows'!$I$2:$I$201,'Trial Rows'!I183,'Trial Rows'!$Y$2:$Y$201,'Trial Rows'!Y183,'Trial Rows'!$G$2:$G$201,"A",'Trial Rows'!$K$2:$K$201,"&gt;=0",'Trial Rows'!$K$2:$K$201,"&lt;=4",'Trial Rows'!$K$2:$K$201,"&lt;&gt;")=1),SUMIFS('Trial Rows'!$K$2:$K$201,'Trial Rows'!$B$2:$B$201,'Trial Rows'!B183,'Trial Rows'!$C$2:$C$201,'Trial Rows'!C183,'Trial Rows'!$F$2:$F$201,'Trial Rows'!F183,'Trial Rows'!$I$2:$I$201,'Trial Rows'!I183,'Trial Rows'!$Y$2:$Y$201,'Trial Rows'!Y183,'Trial Rows'!$G$2:$G$201,"A"),"")</x:f>
      </x:c>
      <x:c r="F183" s="2" t="n">
        <x:f>IF(AND(B183=1,'Trial Rows'!G183="B",C183=1,D183=1,ISNUMBER(E183),ISNUMBER('Trial Rows'!M183),'Trial Rows'!M183&gt;=0,'Trial Rows'!M183&lt;=4,'Trial Rows'!Q183=0,'Trial Rows'!S183=0),1,0)</x:f>
        <x:v>0</x:v>
      </x:c>
      <x:c r="G183" s="2" t="n">
        <x:f>IF(F183=1,IF(E183='Trial Rows'!M183,1,0),0)</x:f>
        <x:v>0</x:v>
      </x:c>
      <x:c r="H183" s="2" t="n">
        <x:f>IF(AND(B183=1,'Trial Rows'!G183="B",C183=1,D183=1,ISNUMBER(E183),'Trial Rows'!R183=1,'Trial Rows'!Q183=0,'Trial Rows'!S183=0,ISNUMBER('Trial Rows'!L183),'Trial Rows'!L183&gt;=0,'Trial Rows'!L183&lt;=4),1,0)</x:f>
        <x:v>0</x:v>
      </x:c>
      <x:c r="I183" s="2" t="n">
        <x:f>IF(H183=1,IF(E183='Trial Rows'!L183,1,0),0)</x:f>
        <x:v>0</x:v>
      </x:c>
      <x:c r="J183" s="2" t="n">
        <x:f>IF(AND(B183=1,'Trial Rows'!G183="B",'Trial Rows'!P183&gt;0),1,0)</x:f>
        <x:v>0</x:v>
      </x:c>
      <x:c r="K183" s="2" t="n">
        <x:f>IF(AND(B183=1,'Trial Rows'!G183="B",'Trial Rows'!Q183=1),1,0)</x:f>
        <x:v>0</x:v>
      </x:c>
      <x:c r="L183" s="2" t="n">
        <x:f>IF(AND(B183=1,'Trial Rows'!G183="B",'Trial Rows'!R183=1,'Trial Rows'!Q183=0,'Trial Rows'!S183=0),1,0)</x:f>
        <x:v>0</x:v>
      </x:c>
      <x:c r="M183" s="2" t="n">
        <x:f>IF(AND(B183=1,'Trial Rows'!G183="B"),1,0)</x:f>
        <x:v>0</x:v>
      </x:c>
      <x:c r="N183" s="2" t="n">
        <x:f>IF(AND(B183=1,'Trial Rows'!I183=1,COUNTIFS('Trial Rows'!$B$2:$B$201,'Trial Rows'!B183,'Trial Rows'!$C$2:$C$201,'Trial Rows'!C183,'Trial Rows'!$F$2:$F$201,'Trial Rows'!F183,'Trial Rows'!$G$2:$G$201,'Trial Rows'!G183,'Trial Rows'!$Y$2:$Y$201,'Trial Rows'!Y183)=4,COUNTIFS('Trial Rows'!$B$2:$B$201,'Trial Rows'!B183,'Trial Rows'!$C$2:$C$201,'Trial Rows'!C183,'Trial Rows'!$F$2:$F$201,'Trial Rows'!F183,'Trial Rows'!$G$2:$G$201,'Trial Rows'!G183,'Trial Rows'!$Y$2:$Y$201,'Trial Rows'!Y183,'Trial Rows'!$I$2:$I$201,1)=1,COUNTIFS('Trial Rows'!$B$2:$B$201,'Trial Rows'!B183,'Trial Rows'!$C$2:$C$201,'Trial Rows'!C183,'Trial Rows'!$F$2:$F$201,'Trial Rows'!F183,'Trial Rows'!$G$2:$G$201,'Trial Rows'!G183,'Trial Rows'!$Y$2:$Y$201,'Trial Rows'!Y183,'Trial Rows'!$I$2:$I$201,2)=1,COUNTIFS('Trial Rows'!$B$2:$B$201,'Trial Rows'!B183,'Trial Rows'!$C$2:$C$201,'Trial Rows'!C183,'Trial Rows'!$F$2:$F$201,'Trial Rows'!F183,'Trial Rows'!$G$2:$G$201,'Trial Rows'!G183,'Trial Rows'!$Y$2:$Y$201,'Trial Rows'!Y183,'Trial Rows'!$I$2:$I$201,3)=1,COUNTIFS('Trial Rows'!$B$2:$B$201,'Trial Rows'!B183,'Trial Rows'!$C$2:$C$201,'Trial Rows'!C183,'Trial Rows'!$F$2:$F$201,'Trial Rows'!F183,'Trial Rows'!$G$2:$G$201,'Trial Rows'!G183,'Trial Rows'!$Y$2:$Y$201,'Trial Rows'!Y183,'Trial Rows'!$I$2:$I$201,4)=1,COUNTIFS('Trial Rows'!$B$2:$B$201,'Trial Rows'!B183,'Trial Rows'!$C$2:$C$201,'Trial Rows'!C183,'Trial Rows'!$F$2:$F$201,'Trial Rows'!F183,'Trial Rows'!$G$2:$G$201,'Trial Rows'!G183,'Trial Rows'!$Y$2:$Y$201,'Trial Rows'!Y183,'Trial Rows'!$W$2:$W$201,"&lt;&gt;")=4,ISNUMBER('Trial Rows'!U183),COUNTIFS('Trial Rows'!$B$2:$B$201,'Trial Rows'!B183,'Trial Rows'!$C$2:$C$201,'Trial Rows'!C183,'Trial Rows'!$F$2:$F$201,'Trial Rows'!F183,'Trial Rows'!$G$2:$G$201,'Trial Rows'!G183,'Trial Rows'!$Y$2:$Y$201,'Trial Rows'!Y183,'Trial Rows'!$U$2:$U$201,'Trial Rows'!U183)=4,'Trial Rows'!U183&gt;=0),1,0)</x:f>
        <x:v>0</x:v>
      </x:c>
      <x:c r="O183" s="2" t="str">
        <x:f>IF(N183=1,'Trial Rows'!U183/1000,"")</x:f>
      </x:c>
      <x:c r="P183" s="2" t="str">
        <x:f>IF(AND(N183=1,'Trial Rows'!G183="A"),O183,"")</x:f>
      </x:c>
      <x:c r="Q183" s="2" t="str">
        <x:f>IF(AND(N183=1,'Trial Rows'!G183="B"),O183,"")</x:f>
      </x:c>
      <x:c r="R183" s="2" t="str">
        <x:f>IF(AND(N183=1,COUNTIFS('Trial Rows'!$B$2:$B$201,'Trial Rows'!B183,'Trial Rows'!$C$2:$C$201,'Trial Rows'!C183,'Trial Rows'!$F$2:$F$201,'Trial Rows'!F183,'Trial Rows'!$G$2:$G$201,'Trial Rows'!G183,'Trial Rows'!$Y$2:$Y$201,'Trial Rows'!Y183,'Trial Rows'!$N$2:$N$201,"&gt;=0",'Trial Rows'!$N$2:$N$201,"&lt;=4",'Trial Rows'!$N$2:$N$201,"&lt;&gt;")=4),SUMIFS('Trial Rows'!$N$2:$N$201,'Trial Rows'!$B$2:$B$201,'Trial Rows'!B183,'Trial Rows'!$C$2:$C$201,'Trial Rows'!C183,'Trial Rows'!$F$2:$F$201,'Trial Rows'!F183,'Trial Rows'!$G$2:$G$201,'Trial Rows'!G183,'Trial Rows'!$Y$2:$Y$201,'Trial Rows'!Y183,'Trial Rows'!$I$2:$I$201,1)+4-SUMIFS('Trial Rows'!$N$2:$N$201,'Trial Rows'!$B$2:$B$201,'Trial Rows'!B183,'Trial Rows'!$C$2:$C$201,'Trial Rows'!C183,'Trial Rows'!$F$2:$F$201,'Trial Rows'!F183,'Trial Rows'!$G$2:$G$201,'Trial Rows'!G183,'Trial Rows'!$Y$2:$Y$201,'Trial Rows'!Y183,'Trial Rows'!$I$2:$I$201,2)+4-SUMIFS('Trial Rows'!$N$2:$N$201,'Trial Rows'!$B$2:$B$201,'Trial Rows'!B183,'Trial Rows'!$C$2:$C$201,'Trial Rows'!C183,'Trial Rows'!$F$2:$F$201,'Trial Rows'!F183,'Trial Rows'!$G$2:$G$201,'Trial Rows'!G183,'Trial Rows'!$Y$2:$Y$201,'Trial Rows'!Y183,'Trial Rows'!$I$2:$I$201,3)+SUMIFS('Trial Rows'!$N$2:$N$201,'Trial Rows'!$B$2:$B$201,'Trial Rows'!B183,'Trial Rows'!$C$2:$C$201,'Trial Rows'!C183,'Trial Rows'!$F$2:$F$201,'Trial Rows'!F183,'Trial Rows'!$G$2:$G$201,'Trial Rows'!G183,'Trial Rows'!$Y$2:$Y$201,'Trial Rows'!Y183,'Trial Rows'!$I$2:$I$201,4),"")</x:f>
      </x:c>
      <x:c r="S183" s="2" t="n">
        <x:f>IF(AND(B183=1,COUNTIFS('Trial Rows'!$C$2:C183,'Trial Rows'!C183,'Trial Rows'!$F$2:F183,Summary!$B$5,'Trial Rows'!$Y$2:Y183,Summary!$B$4)=1),1,0)</x:f>
        <x:v>0</x:v>
      </x:c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 t="str">
        <x:f>IF('Trial Rows'!A184="","",'Trial Rows'!F184&amp;"|"&amp;'Trial Rows'!B184&amp;"|"&amp;'Trial Rows'!C184&amp;"|"&amp;'Trial Rows'!I184)</x:f>
      </x:c>
      <x:c r="B184" s="2" t="n">
        <x:f>IF(AND('Trial Rows'!A184&lt;&gt;"",'Trial Rows'!Y184=Summary!$B$4,'Trial Rows'!F184=Summary!$B$5),1,0)</x:f>
        <x:v>0</x:v>
      </x:c>
      <x:c r="C184" s="2" t="n">
        <x:f>IF(B184=1,COUNTIFS('Trial Rows'!$B$2:$B$201,'Trial Rows'!B184,'Trial Rows'!$C$2:$C$201,'Trial Rows'!C184,'Trial Rows'!$F$2:$F$201,'Trial Rows'!F184,'Trial Rows'!$I$2:$I$201,'Trial Rows'!I184,'Trial Rows'!$Y$2:$Y$201,'Trial Rows'!Y184,'Trial Rows'!$G$2:$G$201,"A"),0)</x:f>
        <x:v>0</x:v>
      </x:c>
      <x:c r="D184" s="2" t="n">
        <x:f>IF(B184=1,COUNTIFS('Trial Rows'!$B$2:$B$201,'Trial Rows'!B184,'Trial Rows'!$C$2:$C$201,'Trial Rows'!C184,'Trial Rows'!$F$2:$F$201,'Trial Rows'!F184,'Trial Rows'!$I$2:$I$201,'Trial Rows'!I184,'Trial Rows'!$Y$2:$Y$201,'Trial Rows'!Y184,'Trial Rows'!$G$2:$G$201,"B"),0)</x:f>
        <x:v>0</x:v>
      </x:c>
      <x:c r="E184" s="2" t="str">
        <x:f>IF(AND(C184=1,COUNTIFS('Trial Rows'!$B$2:$B$201,'Trial Rows'!B184,'Trial Rows'!$C$2:$C$201,'Trial Rows'!C184,'Trial Rows'!$F$2:$F$201,'Trial Rows'!F184,'Trial Rows'!$I$2:$I$201,'Trial Rows'!I184,'Trial Rows'!$Y$2:$Y$201,'Trial Rows'!Y184,'Trial Rows'!$G$2:$G$201,"A",'Trial Rows'!$K$2:$K$201,"&gt;=0",'Trial Rows'!$K$2:$K$201,"&lt;=4",'Trial Rows'!$K$2:$K$201,"&lt;&gt;")=1),SUMIFS('Trial Rows'!$K$2:$K$201,'Trial Rows'!$B$2:$B$201,'Trial Rows'!B184,'Trial Rows'!$C$2:$C$201,'Trial Rows'!C184,'Trial Rows'!$F$2:$F$201,'Trial Rows'!F184,'Trial Rows'!$I$2:$I$201,'Trial Rows'!I184,'Trial Rows'!$Y$2:$Y$201,'Trial Rows'!Y184,'Trial Rows'!$G$2:$G$201,"A"),"")</x:f>
      </x:c>
      <x:c r="F184" s="2" t="n">
        <x:f>IF(AND(B184=1,'Trial Rows'!G184="B",C184=1,D184=1,ISNUMBER(E184),ISNUMBER('Trial Rows'!M184),'Trial Rows'!M184&gt;=0,'Trial Rows'!M184&lt;=4,'Trial Rows'!Q184=0,'Trial Rows'!S184=0),1,0)</x:f>
        <x:v>0</x:v>
      </x:c>
      <x:c r="G184" s="2" t="n">
        <x:f>IF(F184=1,IF(E184='Trial Rows'!M184,1,0),0)</x:f>
        <x:v>0</x:v>
      </x:c>
      <x:c r="H184" s="2" t="n">
        <x:f>IF(AND(B184=1,'Trial Rows'!G184="B",C184=1,D184=1,ISNUMBER(E184),'Trial Rows'!R184=1,'Trial Rows'!Q184=0,'Trial Rows'!S184=0,ISNUMBER('Trial Rows'!L184),'Trial Rows'!L184&gt;=0,'Trial Rows'!L184&lt;=4),1,0)</x:f>
        <x:v>0</x:v>
      </x:c>
      <x:c r="I184" s="2" t="n">
        <x:f>IF(H184=1,IF(E184='Trial Rows'!L184,1,0),0)</x:f>
        <x:v>0</x:v>
      </x:c>
      <x:c r="J184" s="2" t="n">
        <x:f>IF(AND(B184=1,'Trial Rows'!G184="B",'Trial Rows'!P184&gt;0),1,0)</x:f>
        <x:v>0</x:v>
      </x:c>
      <x:c r="K184" s="2" t="n">
        <x:f>IF(AND(B184=1,'Trial Rows'!G184="B",'Trial Rows'!Q184=1),1,0)</x:f>
        <x:v>0</x:v>
      </x:c>
      <x:c r="L184" s="2" t="n">
        <x:f>IF(AND(B184=1,'Trial Rows'!G184="B",'Trial Rows'!R184=1,'Trial Rows'!Q184=0,'Trial Rows'!S184=0),1,0)</x:f>
        <x:v>0</x:v>
      </x:c>
      <x:c r="M184" s="2" t="n">
        <x:f>IF(AND(B184=1,'Trial Rows'!G184="B"),1,0)</x:f>
        <x:v>0</x:v>
      </x:c>
      <x:c r="N184" s="2" t="n">
        <x:f>IF(AND(B184=1,'Trial Rows'!I184=1,COUNTIFS('Trial Rows'!$B$2:$B$201,'Trial Rows'!B184,'Trial Rows'!$C$2:$C$201,'Trial Rows'!C184,'Trial Rows'!$F$2:$F$201,'Trial Rows'!F184,'Trial Rows'!$G$2:$G$201,'Trial Rows'!G184,'Trial Rows'!$Y$2:$Y$201,'Trial Rows'!Y184)=4,COUNTIFS('Trial Rows'!$B$2:$B$201,'Trial Rows'!B184,'Trial Rows'!$C$2:$C$201,'Trial Rows'!C184,'Trial Rows'!$F$2:$F$201,'Trial Rows'!F184,'Trial Rows'!$G$2:$G$201,'Trial Rows'!G184,'Trial Rows'!$Y$2:$Y$201,'Trial Rows'!Y184,'Trial Rows'!$I$2:$I$201,1)=1,COUNTIFS('Trial Rows'!$B$2:$B$201,'Trial Rows'!B184,'Trial Rows'!$C$2:$C$201,'Trial Rows'!C184,'Trial Rows'!$F$2:$F$201,'Trial Rows'!F184,'Trial Rows'!$G$2:$G$201,'Trial Rows'!G184,'Trial Rows'!$Y$2:$Y$201,'Trial Rows'!Y184,'Trial Rows'!$I$2:$I$201,2)=1,COUNTIFS('Trial Rows'!$B$2:$B$201,'Trial Rows'!B184,'Trial Rows'!$C$2:$C$201,'Trial Rows'!C184,'Trial Rows'!$F$2:$F$201,'Trial Rows'!F184,'Trial Rows'!$G$2:$G$201,'Trial Rows'!G184,'Trial Rows'!$Y$2:$Y$201,'Trial Rows'!Y184,'Trial Rows'!$I$2:$I$201,3)=1,COUNTIFS('Trial Rows'!$B$2:$B$201,'Trial Rows'!B184,'Trial Rows'!$C$2:$C$201,'Trial Rows'!C184,'Trial Rows'!$F$2:$F$201,'Trial Rows'!F184,'Trial Rows'!$G$2:$G$201,'Trial Rows'!G184,'Trial Rows'!$Y$2:$Y$201,'Trial Rows'!Y184,'Trial Rows'!$I$2:$I$201,4)=1,COUNTIFS('Trial Rows'!$B$2:$B$201,'Trial Rows'!B184,'Trial Rows'!$C$2:$C$201,'Trial Rows'!C184,'Trial Rows'!$F$2:$F$201,'Trial Rows'!F184,'Trial Rows'!$G$2:$G$201,'Trial Rows'!G184,'Trial Rows'!$Y$2:$Y$201,'Trial Rows'!Y184,'Trial Rows'!$W$2:$W$201,"&lt;&gt;")=4,ISNUMBER('Trial Rows'!U184),COUNTIFS('Trial Rows'!$B$2:$B$201,'Trial Rows'!B184,'Trial Rows'!$C$2:$C$201,'Trial Rows'!C184,'Trial Rows'!$F$2:$F$201,'Trial Rows'!F184,'Trial Rows'!$G$2:$G$201,'Trial Rows'!G184,'Trial Rows'!$Y$2:$Y$201,'Trial Rows'!Y184,'Trial Rows'!$U$2:$U$201,'Trial Rows'!U184)=4,'Trial Rows'!U184&gt;=0),1,0)</x:f>
        <x:v>0</x:v>
      </x:c>
      <x:c r="O184" s="2" t="str">
        <x:f>IF(N184=1,'Trial Rows'!U184/1000,"")</x:f>
      </x:c>
      <x:c r="P184" s="2" t="str">
        <x:f>IF(AND(N184=1,'Trial Rows'!G184="A"),O184,"")</x:f>
      </x:c>
      <x:c r="Q184" s="2" t="str">
        <x:f>IF(AND(N184=1,'Trial Rows'!G184="B"),O184,"")</x:f>
      </x:c>
      <x:c r="R184" s="2" t="str">
        <x:f>IF(AND(N184=1,COUNTIFS('Trial Rows'!$B$2:$B$201,'Trial Rows'!B184,'Trial Rows'!$C$2:$C$201,'Trial Rows'!C184,'Trial Rows'!$F$2:$F$201,'Trial Rows'!F184,'Trial Rows'!$G$2:$G$201,'Trial Rows'!G184,'Trial Rows'!$Y$2:$Y$201,'Trial Rows'!Y184,'Trial Rows'!$N$2:$N$201,"&gt;=0",'Trial Rows'!$N$2:$N$201,"&lt;=4",'Trial Rows'!$N$2:$N$201,"&lt;&gt;")=4),SUMIFS('Trial Rows'!$N$2:$N$201,'Trial Rows'!$B$2:$B$201,'Trial Rows'!B184,'Trial Rows'!$C$2:$C$201,'Trial Rows'!C184,'Trial Rows'!$F$2:$F$201,'Trial Rows'!F184,'Trial Rows'!$G$2:$G$201,'Trial Rows'!G184,'Trial Rows'!$Y$2:$Y$201,'Trial Rows'!Y184,'Trial Rows'!$I$2:$I$201,1)+4-SUMIFS('Trial Rows'!$N$2:$N$201,'Trial Rows'!$B$2:$B$201,'Trial Rows'!B184,'Trial Rows'!$C$2:$C$201,'Trial Rows'!C184,'Trial Rows'!$F$2:$F$201,'Trial Rows'!F184,'Trial Rows'!$G$2:$G$201,'Trial Rows'!G184,'Trial Rows'!$Y$2:$Y$201,'Trial Rows'!Y184,'Trial Rows'!$I$2:$I$201,2)+4-SUMIFS('Trial Rows'!$N$2:$N$201,'Trial Rows'!$B$2:$B$201,'Trial Rows'!B184,'Trial Rows'!$C$2:$C$201,'Trial Rows'!C184,'Trial Rows'!$F$2:$F$201,'Trial Rows'!F184,'Trial Rows'!$G$2:$G$201,'Trial Rows'!G184,'Trial Rows'!$Y$2:$Y$201,'Trial Rows'!Y184,'Trial Rows'!$I$2:$I$201,3)+SUMIFS('Trial Rows'!$N$2:$N$201,'Trial Rows'!$B$2:$B$201,'Trial Rows'!B184,'Trial Rows'!$C$2:$C$201,'Trial Rows'!C184,'Trial Rows'!$F$2:$F$201,'Trial Rows'!F184,'Trial Rows'!$G$2:$G$201,'Trial Rows'!G184,'Trial Rows'!$Y$2:$Y$201,'Trial Rows'!Y184,'Trial Rows'!$I$2:$I$201,4),"")</x:f>
      </x:c>
      <x:c r="S184" s="2" t="n">
        <x:f>IF(AND(B184=1,COUNTIFS('Trial Rows'!$C$2:C184,'Trial Rows'!C184,'Trial Rows'!$F$2:F184,Summary!$B$5,'Trial Rows'!$Y$2:Y184,Summary!$B$4)=1),1,0)</x:f>
        <x:v>0</x:v>
      </x:c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 t="str">
        <x:f>IF('Trial Rows'!A185="","",'Trial Rows'!F185&amp;"|"&amp;'Trial Rows'!B185&amp;"|"&amp;'Trial Rows'!C185&amp;"|"&amp;'Trial Rows'!I185)</x:f>
      </x:c>
      <x:c r="B185" s="2" t="n">
        <x:f>IF(AND('Trial Rows'!A185&lt;&gt;"",'Trial Rows'!Y185=Summary!$B$4,'Trial Rows'!F185=Summary!$B$5),1,0)</x:f>
        <x:v>0</x:v>
      </x:c>
      <x:c r="C185" s="2" t="n">
        <x:f>IF(B185=1,COUNTIFS('Trial Rows'!$B$2:$B$201,'Trial Rows'!B185,'Trial Rows'!$C$2:$C$201,'Trial Rows'!C185,'Trial Rows'!$F$2:$F$201,'Trial Rows'!F185,'Trial Rows'!$I$2:$I$201,'Trial Rows'!I185,'Trial Rows'!$Y$2:$Y$201,'Trial Rows'!Y185,'Trial Rows'!$G$2:$G$201,"A"),0)</x:f>
        <x:v>0</x:v>
      </x:c>
      <x:c r="D185" s="2" t="n">
        <x:f>IF(B185=1,COUNTIFS('Trial Rows'!$B$2:$B$201,'Trial Rows'!B185,'Trial Rows'!$C$2:$C$201,'Trial Rows'!C185,'Trial Rows'!$F$2:$F$201,'Trial Rows'!F185,'Trial Rows'!$I$2:$I$201,'Trial Rows'!I185,'Trial Rows'!$Y$2:$Y$201,'Trial Rows'!Y185,'Trial Rows'!$G$2:$G$201,"B"),0)</x:f>
        <x:v>0</x:v>
      </x:c>
      <x:c r="E185" s="2" t="str">
        <x:f>IF(AND(C185=1,COUNTIFS('Trial Rows'!$B$2:$B$201,'Trial Rows'!B185,'Trial Rows'!$C$2:$C$201,'Trial Rows'!C185,'Trial Rows'!$F$2:$F$201,'Trial Rows'!F185,'Trial Rows'!$I$2:$I$201,'Trial Rows'!I185,'Trial Rows'!$Y$2:$Y$201,'Trial Rows'!Y185,'Trial Rows'!$G$2:$G$201,"A",'Trial Rows'!$K$2:$K$201,"&gt;=0",'Trial Rows'!$K$2:$K$201,"&lt;=4",'Trial Rows'!$K$2:$K$201,"&lt;&gt;")=1),SUMIFS('Trial Rows'!$K$2:$K$201,'Trial Rows'!$B$2:$B$201,'Trial Rows'!B185,'Trial Rows'!$C$2:$C$201,'Trial Rows'!C185,'Trial Rows'!$F$2:$F$201,'Trial Rows'!F185,'Trial Rows'!$I$2:$I$201,'Trial Rows'!I185,'Trial Rows'!$Y$2:$Y$201,'Trial Rows'!Y185,'Trial Rows'!$G$2:$G$201,"A"),"")</x:f>
      </x:c>
      <x:c r="F185" s="2" t="n">
        <x:f>IF(AND(B185=1,'Trial Rows'!G185="B",C185=1,D185=1,ISNUMBER(E185),ISNUMBER('Trial Rows'!M185),'Trial Rows'!M185&gt;=0,'Trial Rows'!M185&lt;=4,'Trial Rows'!Q185=0,'Trial Rows'!S185=0),1,0)</x:f>
        <x:v>0</x:v>
      </x:c>
      <x:c r="G185" s="2" t="n">
        <x:f>IF(F185=1,IF(E185='Trial Rows'!M185,1,0),0)</x:f>
        <x:v>0</x:v>
      </x:c>
      <x:c r="H185" s="2" t="n">
        <x:f>IF(AND(B185=1,'Trial Rows'!G185="B",C185=1,D185=1,ISNUMBER(E185),'Trial Rows'!R185=1,'Trial Rows'!Q185=0,'Trial Rows'!S185=0,ISNUMBER('Trial Rows'!L185),'Trial Rows'!L185&gt;=0,'Trial Rows'!L185&lt;=4),1,0)</x:f>
        <x:v>0</x:v>
      </x:c>
      <x:c r="I185" s="2" t="n">
        <x:f>IF(H185=1,IF(E185='Trial Rows'!L185,1,0),0)</x:f>
        <x:v>0</x:v>
      </x:c>
      <x:c r="J185" s="2" t="n">
        <x:f>IF(AND(B185=1,'Trial Rows'!G185="B",'Trial Rows'!P185&gt;0),1,0)</x:f>
        <x:v>0</x:v>
      </x:c>
      <x:c r="K185" s="2" t="n">
        <x:f>IF(AND(B185=1,'Trial Rows'!G185="B",'Trial Rows'!Q185=1),1,0)</x:f>
        <x:v>0</x:v>
      </x:c>
      <x:c r="L185" s="2" t="n">
        <x:f>IF(AND(B185=1,'Trial Rows'!G185="B",'Trial Rows'!R185=1,'Trial Rows'!Q185=0,'Trial Rows'!S185=0),1,0)</x:f>
        <x:v>0</x:v>
      </x:c>
      <x:c r="M185" s="2" t="n">
        <x:f>IF(AND(B185=1,'Trial Rows'!G185="B"),1,0)</x:f>
        <x:v>0</x:v>
      </x:c>
      <x:c r="N185" s="2" t="n">
        <x:f>IF(AND(B185=1,'Trial Rows'!I185=1,COUNTIFS('Trial Rows'!$B$2:$B$201,'Trial Rows'!B185,'Trial Rows'!$C$2:$C$201,'Trial Rows'!C185,'Trial Rows'!$F$2:$F$201,'Trial Rows'!F185,'Trial Rows'!$G$2:$G$201,'Trial Rows'!G185,'Trial Rows'!$Y$2:$Y$201,'Trial Rows'!Y185)=4,COUNTIFS('Trial Rows'!$B$2:$B$201,'Trial Rows'!B185,'Trial Rows'!$C$2:$C$201,'Trial Rows'!C185,'Trial Rows'!$F$2:$F$201,'Trial Rows'!F185,'Trial Rows'!$G$2:$G$201,'Trial Rows'!G185,'Trial Rows'!$Y$2:$Y$201,'Trial Rows'!Y185,'Trial Rows'!$I$2:$I$201,1)=1,COUNTIFS('Trial Rows'!$B$2:$B$201,'Trial Rows'!B185,'Trial Rows'!$C$2:$C$201,'Trial Rows'!C185,'Trial Rows'!$F$2:$F$201,'Trial Rows'!F185,'Trial Rows'!$G$2:$G$201,'Trial Rows'!G185,'Trial Rows'!$Y$2:$Y$201,'Trial Rows'!Y185,'Trial Rows'!$I$2:$I$201,2)=1,COUNTIFS('Trial Rows'!$B$2:$B$201,'Trial Rows'!B185,'Trial Rows'!$C$2:$C$201,'Trial Rows'!C185,'Trial Rows'!$F$2:$F$201,'Trial Rows'!F185,'Trial Rows'!$G$2:$G$201,'Trial Rows'!G185,'Trial Rows'!$Y$2:$Y$201,'Trial Rows'!Y185,'Trial Rows'!$I$2:$I$201,3)=1,COUNTIFS('Trial Rows'!$B$2:$B$201,'Trial Rows'!B185,'Trial Rows'!$C$2:$C$201,'Trial Rows'!C185,'Trial Rows'!$F$2:$F$201,'Trial Rows'!F185,'Trial Rows'!$G$2:$G$201,'Trial Rows'!G185,'Trial Rows'!$Y$2:$Y$201,'Trial Rows'!Y185,'Trial Rows'!$I$2:$I$201,4)=1,COUNTIFS('Trial Rows'!$B$2:$B$201,'Trial Rows'!B185,'Trial Rows'!$C$2:$C$201,'Trial Rows'!C185,'Trial Rows'!$F$2:$F$201,'Trial Rows'!F185,'Trial Rows'!$G$2:$G$201,'Trial Rows'!G185,'Trial Rows'!$Y$2:$Y$201,'Trial Rows'!Y185,'Trial Rows'!$W$2:$W$201,"&lt;&gt;")=4,ISNUMBER('Trial Rows'!U185),COUNTIFS('Trial Rows'!$B$2:$B$201,'Trial Rows'!B185,'Trial Rows'!$C$2:$C$201,'Trial Rows'!C185,'Trial Rows'!$F$2:$F$201,'Trial Rows'!F185,'Trial Rows'!$G$2:$G$201,'Trial Rows'!G185,'Trial Rows'!$Y$2:$Y$201,'Trial Rows'!Y185,'Trial Rows'!$U$2:$U$201,'Trial Rows'!U185)=4,'Trial Rows'!U185&gt;=0),1,0)</x:f>
        <x:v>0</x:v>
      </x:c>
      <x:c r="O185" s="2" t="str">
        <x:f>IF(N185=1,'Trial Rows'!U185/1000,"")</x:f>
      </x:c>
      <x:c r="P185" s="2" t="str">
        <x:f>IF(AND(N185=1,'Trial Rows'!G185="A"),O185,"")</x:f>
      </x:c>
      <x:c r="Q185" s="2" t="str">
        <x:f>IF(AND(N185=1,'Trial Rows'!G185="B"),O185,"")</x:f>
      </x:c>
      <x:c r="R185" s="2" t="str">
        <x:f>IF(AND(N185=1,COUNTIFS('Trial Rows'!$B$2:$B$201,'Trial Rows'!B185,'Trial Rows'!$C$2:$C$201,'Trial Rows'!C185,'Trial Rows'!$F$2:$F$201,'Trial Rows'!F185,'Trial Rows'!$G$2:$G$201,'Trial Rows'!G185,'Trial Rows'!$Y$2:$Y$201,'Trial Rows'!Y185,'Trial Rows'!$N$2:$N$201,"&gt;=0",'Trial Rows'!$N$2:$N$201,"&lt;=4",'Trial Rows'!$N$2:$N$201,"&lt;&gt;")=4),SUMIFS('Trial Rows'!$N$2:$N$201,'Trial Rows'!$B$2:$B$201,'Trial Rows'!B185,'Trial Rows'!$C$2:$C$201,'Trial Rows'!C185,'Trial Rows'!$F$2:$F$201,'Trial Rows'!F185,'Trial Rows'!$G$2:$G$201,'Trial Rows'!G185,'Trial Rows'!$Y$2:$Y$201,'Trial Rows'!Y185,'Trial Rows'!$I$2:$I$201,1)+4-SUMIFS('Trial Rows'!$N$2:$N$201,'Trial Rows'!$B$2:$B$201,'Trial Rows'!B185,'Trial Rows'!$C$2:$C$201,'Trial Rows'!C185,'Trial Rows'!$F$2:$F$201,'Trial Rows'!F185,'Trial Rows'!$G$2:$G$201,'Trial Rows'!G185,'Trial Rows'!$Y$2:$Y$201,'Trial Rows'!Y185,'Trial Rows'!$I$2:$I$201,2)+4-SUMIFS('Trial Rows'!$N$2:$N$201,'Trial Rows'!$B$2:$B$201,'Trial Rows'!B185,'Trial Rows'!$C$2:$C$201,'Trial Rows'!C185,'Trial Rows'!$F$2:$F$201,'Trial Rows'!F185,'Trial Rows'!$G$2:$G$201,'Trial Rows'!G185,'Trial Rows'!$Y$2:$Y$201,'Trial Rows'!Y185,'Trial Rows'!$I$2:$I$201,3)+SUMIFS('Trial Rows'!$N$2:$N$201,'Trial Rows'!$B$2:$B$201,'Trial Rows'!B185,'Trial Rows'!$C$2:$C$201,'Trial Rows'!C185,'Trial Rows'!$F$2:$F$201,'Trial Rows'!F185,'Trial Rows'!$G$2:$G$201,'Trial Rows'!G185,'Trial Rows'!$Y$2:$Y$201,'Trial Rows'!Y185,'Trial Rows'!$I$2:$I$201,4),"")</x:f>
      </x:c>
      <x:c r="S185" s="2" t="n">
        <x:f>IF(AND(B185=1,COUNTIFS('Trial Rows'!$C$2:C185,'Trial Rows'!C185,'Trial Rows'!$F$2:F185,Summary!$B$5,'Trial Rows'!$Y$2:Y185,Summary!$B$4)=1),1,0)</x:f>
        <x:v>0</x:v>
      </x:c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 t="str">
        <x:f>IF('Trial Rows'!A186="","",'Trial Rows'!F186&amp;"|"&amp;'Trial Rows'!B186&amp;"|"&amp;'Trial Rows'!C186&amp;"|"&amp;'Trial Rows'!I186)</x:f>
      </x:c>
      <x:c r="B186" s="2" t="n">
        <x:f>IF(AND('Trial Rows'!A186&lt;&gt;"",'Trial Rows'!Y186=Summary!$B$4,'Trial Rows'!F186=Summary!$B$5),1,0)</x:f>
        <x:v>0</x:v>
      </x:c>
      <x:c r="C186" s="2" t="n">
        <x:f>IF(B186=1,COUNTIFS('Trial Rows'!$B$2:$B$201,'Trial Rows'!B186,'Trial Rows'!$C$2:$C$201,'Trial Rows'!C186,'Trial Rows'!$F$2:$F$201,'Trial Rows'!F186,'Trial Rows'!$I$2:$I$201,'Trial Rows'!I186,'Trial Rows'!$Y$2:$Y$201,'Trial Rows'!Y186,'Trial Rows'!$G$2:$G$201,"A"),0)</x:f>
        <x:v>0</x:v>
      </x:c>
      <x:c r="D186" s="2" t="n">
        <x:f>IF(B186=1,COUNTIFS('Trial Rows'!$B$2:$B$201,'Trial Rows'!B186,'Trial Rows'!$C$2:$C$201,'Trial Rows'!C186,'Trial Rows'!$F$2:$F$201,'Trial Rows'!F186,'Trial Rows'!$I$2:$I$201,'Trial Rows'!I186,'Trial Rows'!$Y$2:$Y$201,'Trial Rows'!Y186,'Trial Rows'!$G$2:$G$201,"B"),0)</x:f>
        <x:v>0</x:v>
      </x:c>
      <x:c r="E186" s="2" t="str">
        <x:f>IF(AND(C186=1,COUNTIFS('Trial Rows'!$B$2:$B$201,'Trial Rows'!B186,'Trial Rows'!$C$2:$C$201,'Trial Rows'!C186,'Trial Rows'!$F$2:$F$201,'Trial Rows'!F186,'Trial Rows'!$I$2:$I$201,'Trial Rows'!I186,'Trial Rows'!$Y$2:$Y$201,'Trial Rows'!Y186,'Trial Rows'!$G$2:$G$201,"A",'Trial Rows'!$K$2:$K$201,"&gt;=0",'Trial Rows'!$K$2:$K$201,"&lt;=4",'Trial Rows'!$K$2:$K$201,"&lt;&gt;")=1),SUMIFS('Trial Rows'!$K$2:$K$201,'Trial Rows'!$B$2:$B$201,'Trial Rows'!B186,'Trial Rows'!$C$2:$C$201,'Trial Rows'!C186,'Trial Rows'!$F$2:$F$201,'Trial Rows'!F186,'Trial Rows'!$I$2:$I$201,'Trial Rows'!I186,'Trial Rows'!$Y$2:$Y$201,'Trial Rows'!Y186,'Trial Rows'!$G$2:$G$201,"A"),"")</x:f>
      </x:c>
      <x:c r="F186" s="2" t="n">
        <x:f>IF(AND(B186=1,'Trial Rows'!G186="B",C186=1,D186=1,ISNUMBER(E186),ISNUMBER('Trial Rows'!M186),'Trial Rows'!M186&gt;=0,'Trial Rows'!M186&lt;=4,'Trial Rows'!Q186=0,'Trial Rows'!S186=0),1,0)</x:f>
        <x:v>0</x:v>
      </x:c>
      <x:c r="G186" s="2" t="n">
        <x:f>IF(F186=1,IF(E186='Trial Rows'!M186,1,0),0)</x:f>
        <x:v>0</x:v>
      </x:c>
      <x:c r="H186" s="2" t="n">
        <x:f>IF(AND(B186=1,'Trial Rows'!G186="B",C186=1,D186=1,ISNUMBER(E186),'Trial Rows'!R186=1,'Trial Rows'!Q186=0,'Trial Rows'!S186=0,ISNUMBER('Trial Rows'!L186),'Trial Rows'!L186&gt;=0,'Trial Rows'!L186&lt;=4),1,0)</x:f>
        <x:v>0</x:v>
      </x:c>
      <x:c r="I186" s="2" t="n">
        <x:f>IF(H186=1,IF(E186='Trial Rows'!L186,1,0),0)</x:f>
        <x:v>0</x:v>
      </x:c>
      <x:c r="J186" s="2" t="n">
        <x:f>IF(AND(B186=1,'Trial Rows'!G186="B",'Trial Rows'!P186&gt;0),1,0)</x:f>
        <x:v>0</x:v>
      </x:c>
      <x:c r="K186" s="2" t="n">
        <x:f>IF(AND(B186=1,'Trial Rows'!G186="B",'Trial Rows'!Q186=1),1,0)</x:f>
        <x:v>0</x:v>
      </x:c>
      <x:c r="L186" s="2" t="n">
        <x:f>IF(AND(B186=1,'Trial Rows'!G186="B",'Trial Rows'!R186=1,'Trial Rows'!Q186=0,'Trial Rows'!S186=0),1,0)</x:f>
        <x:v>0</x:v>
      </x:c>
      <x:c r="M186" s="2" t="n">
        <x:f>IF(AND(B186=1,'Trial Rows'!G186="B"),1,0)</x:f>
        <x:v>0</x:v>
      </x:c>
      <x:c r="N186" s="2" t="n">
        <x:f>IF(AND(B186=1,'Trial Rows'!I186=1,COUNTIFS('Trial Rows'!$B$2:$B$201,'Trial Rows'!B186,'Trial Rows'!$C$2:$C$201,'Trial Rows'!C186,'Trial Rows'!$F$2:$F$201,'Trial Rows'!F186,'Trial Rows'!$G$2:$G$201,'Trial Rows'!G186,'Trial Rows'!$Y$2:$Y$201,'Trial Rows'!Y186)=4,COUNTIFS('Trial Rows'!$B$2:$B$201,'Trial Rows'!B186,'Trial Rows'!$C$2:$C$201,'Trial Rows'!C186,'Trial Rows'!$F$2:$F$201,'Trial Rows'!F186,'Trial Rows'!$G$2:$G$201,'Trial Rows'!G186,'Trial Rows'!$Y$2:$Y$201,'Trial Rows'!Y186,'Trial Rows'!$I$2:$I$201,1)=1,COUNTIFS('Trial Rows'!$B$2:$B$201,'Trial Rows'!B186,'Trial Rows'!$C$2:$C$201,'Trial Rows'!C186,'Trial Rows'!$F$2:$F$201,'Trial Rows'!F186,'Trial Rows'!$G$2:$G$201,'Trial Rows'!G186,'Trial Rows'!$Y$2:$Y$201,'Trial Rows'!Y186,'Trial Rows'!$I$2:$I$201,2)=1,COUNTIFS('Trial Rows'!$B$2:$B$201,'Trial Rows'!B186,'Trial Rows'!$C$2:$C$201,'Trial Rows'!C186,'Trial Rows'!$F$2:$F$201,'Trial Rows'!F186,'Trial Rows'!$G$2:$G$201,'Trial Rows'!G186,'Trial Rows'!$Y$2:$Y$201,'Trial Rows'!Y186,'Trial Rows'!$I$2:$I$201,3)=1,COUNTIFS('Trial Rows'!$B$2:$B$201,'Trial Rows'!B186,'Trial Rows'!$C$2:$C$201,'Trial Rows'!C186,'Trial Rows'!$F$2:$F$201,'Trial Rows'!F186,'Trial Rows'!$G$2:$G$201,'Trial Rows'!G186,'Trial Rows'!$Y$2:$Y$201,'Trial Rows'!Y186,'Trial Rows'!$I$2:$I$201,4)=1,COUNTIFS('Trial Rows'!$B$2:$B$201,'Trial Rows'!B186,'Trial Rows'!$C$2:$C$201,'Trial Rows'!C186,'Trial Rows'!$F$2:$F$201,'Trial Rows'!F186,'Trial Rows'!$G$2:$G$201,'Trial Rows'!G186,'Trial Rows'!$Y$2:$Y$201,'Trial Rows'!Y186,'Trial Rows'!$W$2:$W$201,"&lt;&gt;")=4,ISNUMBER('Trial Rows'!U186),COUNTIFS('Trial Rows'!$B$2:$B$201,'Trial Rows'!B186,'Trial Rows'!$C$2:$C$201,'Trial Rows'!C186,'Trial Rows'!$F$2:$F$201,'Trial Rows'!F186,'Trial Rows'!$G$2:$G$201,'Trial Rows'!G186,'Trial Rows'!$Y$2:$Y$201,'Trial Rows'!Y186,'Trial Rows'!$U$2:$U$201,'Trial Rows'!U186)=4,'Trial Rows'!U186&gt;=0),1,0)</x:f>
        <x:v>0</x:v>
      </x:c>
      <x:c r="O186" s="2" t="str">
        <x:f>IF(N186=1,'Trial Rows'!U186/1000,"")</x:f>
      </x:c>
      <x:c r="P186" s="2" t="str">
        <x:f>IF(AND(N186=1,'Trial Rows'!G186="A"),O186,"")</x:f>
      </x:c>
      <x:c r="Q186" s="2" t="str">
        <x:f>IF(AND(N186=1,'Trial Rows'!G186="B"),O186,"")</x:f>
      </x:c>
      <x:c r="R186" s="2" t="str">
        <x:f>IF(AND(N186=1,COUNTIFS('Trial Rows'!$B$2:$B$201,'Trial Rows'!B186,'Trial Rows'!$C$2:$C$201,'Trial Rows'!C186,'Trial Rows'!$F$2:$F$201,'Trial Rows'!F186,'Trial Rows'!$G$2:$G$201,'Trial Rows'!G186,'Trial Rows'!$Y$2:$Y$201,'Trial Rows'!Y186,'Trial Rows'!$N$2:$N$201,"&gt;=0",'Trial Rows'!$N$2:$N$201,"&lt;=4",'Trial Rows'!$N$2:$N$201,"&lt;&gt;")=4),SUMIFS('Trial Rows'!$N$2:$N$201,'Trial Rows'!$B$2:$B$201,'Trial Rows'!B186,'Trial Rows'!$C$2:$C$201,'Trial Rows'!C186,'Trial Rows'!$F$2:$F$201,'Trial Rows'!F186,'Trial Rows'!$G$2:$G$201,'Trial Rows'!G186,'Trial Rows'!$Y$2:$Y$201,'Trial Rows'!Y186,'Trial Rows'!$I$2:$I$201,1)+4-SUMIFS('Trial Rows'!$N$2:$N$201,'Trial Rows'!$B$2:$B$201,'Trial Rows'!B186,'Trial Rows'!$C$2:$C$201,'Trial Rows'!C186,'Trial Rows'!$F$2:$F$201,'Trial Rows'!F186,'Trial Rows'!$G$2:$G$201,'Trial Rows'!G186,'Trial Rows'!$Y$2:$Y$201,'Trial Rows'!Y186,'Trial Rows'!$I$2:$I$201,2)+4-SUMIFS('Trial Rows'!$N$2:$N$201,'Trial Rows'!$B$2:$B$201,'Trial Rows'!B186,'Trial Rows'!$C$2:$C$201,'Trial Rows'!C186,'Trial Rows'!$F$2:$F$201,'Trial Rows'!F186,'Trial Rows'!$G$2:$G$201,'Trial Rows'!G186,'Trial Rows'!$Y$2:$Y$201,'Trial Rows'!Y186,'Trial Rows'!$I$2:$I$201,3)+SUMIFS('Trial Rows'!$N$2:$N$201,'Trial Rows'!$B$2:$B$201,'Trial Rows'!B186,'Trial Rows'!$C$2:$C$201,'Trial Rows'!C186,'Trial Rows'!$F$2:$F$201,'Trial Rows'!F186,'Trial Rows'!$G$2:$G$201,'Trial Rows'!G186,'Trial Rows'!$Y$2:$Y$201,'Trial Rows'!Y186,'Trial Rows'!$I$2:$I$201,4),"")</x:f>
      </x:c>
      <x:c r="S186" s="2" t="n">
        <x:f>IF(AND(B186=1,COUNTIFS('Trial Rows'!$C$2:C186,'Trial Rows'!C186,'Trial Rows'!$F$2:F186,Summary!$B$5,'Trial Rows'!$Y$2:Y186,Summary!$B$4)=1),1,0)</x:f>
        <x:v>0</x:v>
      </x:c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 t="str">
        <x:f>IF('Trial Rows'!A187="","",'Trial Rows'!F187&amp;"|"&amp;'Trial Rows'!B187&amp;"|"&amp;'Trial Rows'!C187&amp;"|"&amp;'Trial Rows'!I187)</x:f>
      </x:c>
      <x:c r="B187" s="2" t="n">
        <x:f>IF(AND('Trial Rows'!A187&lt;&gt;"",'Trial Rows'!Y187=Summary!$B$4,'Trial Rows'!F187=Summary!$B$5),1,0)</x:f>
        <x:v>0</x:v>
      </x:c>
      <x:c r="C187" s="2" t="n">
        <x:f>IF(B187=1,COUNTIFS('Trial Rows'!$B$2:$B$201,'Trial Rows'!B187,'Trial Rows'!$C$2:$C$201,'Trial Rows'!C187,'Trial Rows'!$F$2:$F$201,'Trial Rows'!F187,'Trial Rows'!$I$2:$I$201,'Trial Rows'!I187,'Trial Rows'!$Y$2:$Y$201,'Trial Rows'!Y187,'Trial Rows'!$G$2:$G$201,"A"),0)</x:f>
        <x:v>0</x:v>
      </x:c>
      <x:c r="D187" s="2" t="n">
        <x:f>IF(B187=1,COUNTIFS('Trial Rows'!$B$2:$B$201,'Trial Rows'!B187,'Trial Rows'!$C$2:$C$201,'Trial Rows'!C187,'Trial Rows'!$F$2:$F$201,'Trial Rows'!F187,'Trial Rows'!$I$2:$I$201,'Trial Rows'!I187,'Trial Rows'!$Y$2:$Y$201,'Trial Rows'!Y187,'Trial Rows'!$G$2:$G$201,"B"),0)</x:f>
        <x:v>0</x:v>
      </x:c>
      <x:c r="E187" s="2" t="str">
        <x:f>IF(AND(C187=1,COUNTIFS('Trial Rows'!$B$2:$B$201,'Trial Rows'!B187,'Trial Rows'!$C$2:$C$201,'Trial Rows'!C187,'Trial Rows'!$F$2:$F$201,'Trial Rows'!F187,'Trial Rows'!$I$2:$I$201,'Trial Rows'!I187,'Trial Rows'!$Y$2:$Y$201,'Trial Rows'!Y187,'Trial Rows'!$G$2:$G$201,"A",'Trial Rows'!$K$2:$K$201,"&gt;=0",'Trial Rows'!$K$2:$K$201,"&lt;=4",'Trial Rows'!$K$2:$K$201,"&lt;&gt;")=1),SUMIFS('Trial Rows'!$K$2:$K$201,'Trial Rows'!$B$2:$B$201,'Trial Rows'!B187,'Trial Rows'!$C$2:$C$201,'Trial Rows'!C187,'Trial Rows'!$F$2:$F$201,'Trial Rows'!F187,'Trial Rows'!$I$2:$I$201,'Trial Rows'!I187,'Trial Rows'!$Y$2:$Y$201,'Trial Rows'!Y187,'Trial Rows'!$G$2:$G$201,"A"),"")</x:f>
      </x:c>
      <x:c r="F187" s="2" t="n">
        <x:f>IF(AND(B187=1,'Trial Rows'!G187="B",C187=1,D187=1,ISNUMBER(E187),ISNUMBER('Trial Rows'!M187),'Trial Rows'!M187&gt;=0,'Trial Rows'!M187&lt;=4,'Trial Rows'!Q187=0,'Trial Rows'!S187=0),1,0)</x:f>
        <x:v>0</x:v>
      </x:c>
      <x:c r="G187" s="2" t="n">
        <x:f>IF(F187=1,IF(E187='Trial Rows'!M187,1,0),0)</x:f>
        <x:v>0</x:v>
      </x:c>
      <x:c r="H187" s="2" t="n">
        <x:f>IF(AND(B187=1,'Trial Rows'!G187="B",C187=1,D187=1,ISNUMBER(E187),'Trial Rows'!R187=1,'Trial Rows'!Q187=0,'Trial Rows'!S187=0,ISNUMBER('Trial Rows'!L187),'Trial Rows'!L187&gt;=0,'Trial Rows'!L187&lt;=4),1,0)</x:f>
        <x:v>0</x:v>
      </x:c>
      <x:c r="I187" s="2" t="n">
        <x:f>IF(H187=1,IF(E187='Trial Rows'!L187,1,0),0)</x:f>
        <x:v>0</x:v>
      </x:c>
      <x:c r="J187" s="2" t="n">
        <x:f>IF(AND(B187=1,'Trial Rows'!G187="B",'Trial Rows'!P187&gt;0),1,0)</x:f>
        <x:v>0</x:v>
      </x:c>
      <x:c r="K187" s="2" t="n">
        <x:f>IF(AND(B187=1,'Trial Rows'!G187="B",'Trial Rows'!Q187=1),1,0)</x:f>
        <x:v>0</x:v>
      </x:c>
      <x:c r="L187" s="2" t="n">
        <x:f>IF(AND(B187=1,'Trial Rows'!G187="B",'Trial Rows'!R187=1,'Trial Rows'!Q187=0,'Trial Rows'!S187=0),1,0)</x:f>
        <x:v>0</x:v>
      </x:c>
      <x:c r="M187" s="2" t="n">
        <x:f>IF(AND(B187=1,'Trial Rows'!G187="B"),1,0)</x:f>
        <x:v>0</x:v>
      </x:c>
      <x:c r="N187" s="2" t="n">
        <x:f>IF(AND(B187=1,'Trial Rows'!I187=1,COUNTIFS('Trial Rows'!$B$2:$B$201,'Trial Rows'!B187,'Trial Rows'!$C$2:$C$201,'Trial Rows'!C187,'Trial Rows'!$F$2:$F$201,'Trial Rows'!F187,'Trial Rows'!$G$2:$G$201,'Trial Rows'!G187,'Trial Rows'!$Y$2:$Y$201,'Trial Rows'!Y187)=4,COUNTIFS('Trial Rows'!$B$2:$B$201,'Trial Rows'!B187,'Trial Rows'!$C$2:$C$201,'Trial Rows'!C187,'Trial Rows'!$F$2:$F$201,'Trial Rows'!F187,'Trial Rows'!$G$2:$G$201,'Trial Rows'!G187,'Trial Rows'!$Y$2:$Y$201,'Trial Rows'!Y187,'Trial Rows'!$I$2:$I$201,1)=1,COUNTIFS('Trial Rows'!$B$2:$B$201,'Trial Rows'!B187,'Trial Rows'!$C$2:$C$201,'Trial Rows'!C187,'Trial Rows'!$F$2:$F$201,'Trial Rows'!F187,'Trial Rows'!$G$2:$G$201,'Trial Rows'!G187,'Trial Rows'!$Y$2:$Y$201,'Trial Rows'!Y187,'Trial Rows'!$I$2:$I$201,2)=1,COUNTIFS('Trial Rows'!$B$2:$B$201,'Trial Rows'!B187,'Trial Rows'!$C$2:$C$201,'Trial Rows'!C187,'Trial Rows'!$F$2:$F$201,'Trial Rows'!F187,'Trial Rows'!$G$2:$G$201,'Trial Rows'!G187,'Trial Rows'!$Y$2:$Y$201,'Trial Rows'!Y187,'Trial Rows'!$I$2:$I$201,3)=1,COUNTIFS('Trial Rows'!$B$2:$B$201,'Trial Rows'!B187,'Trial Rows'!$C$2:$C$201,'Trial Rows'!C187,'Trial Rows'!$F$2:$F$201,'Trial Rows'!F187,'Trial Rows'!$G$2:$G$201,'Trial Rows'!G187,'Trial Rows'!$Y$2:$Y$201,'Trial Rows'!Y187,'Trial Rows'!$I$2:$I$201,4)=1,COUNTIFS('Trial Rows'!$B$2:$B$201,'Trial Rows'!B187,'Trial Rows'!$C$2:$C$201,'Trial Rows'!C187,'Trial Rows'!$F$2:$F$201,'Trial Rows'!F187,'Trial Rows'!$G$2:$G$201,'Trial Rows'!G187,'Trial Rows'!$Y$2:$Y$201,'Trial Rows'!Y187,'Trial Rows'!$W$2:$W$201,"&lt;&gt;")=4,ISNUMBER('Trial Rows'!U187),COUNTIFS('Trial Rows'!$B$2:$B$201,'Trial Rows'!B187,'Trial Rows'!$C$2:$C$201,'Trial Rows'!C187,'Trial Rows'!$F$2:$F$201,'Trial Rows'!F187,'Trial Rows'!$G$2:$G$201,'Trial Rows'!G187,'Trial Rows'!$Y$2:$Y$201,'Trial Rows'!Y187,'Trial Rows'!$U$2:$U$201,'Trial Rows'!U187)=4,'Trial Rows'!U187&gt;=0),1,0)</x:f>
        <x:v>0</x:v>
      </x:c>
      <x:c r="O187" s="2" t="str">
        <x:f>IF(N187=1,'Trial Rows'!U187/1000,"")</x:f>
      </x:c>
      <x:c r="P187" s="2" t="str">
        <x:f>IF(AND(N187=1,'Trial Rows'!G187="A"),O187,"")</x:f>
      </x:c>
      <x:c r="Q187" s="2" t="str">
        <x:f>IF(AND(N187=1,'Trial Rows'!G187="B"),O187,"")</x:f>
      </x:c>
      <x:c r="R187" s="2" t="str">
        <x:f>IF(AND(N187=1,COUNTIFS('Trial Rows'!$B$2:$B$201,'Trial Rows'!B187,'Trial Rows'!$C$2:$C$201,'Trial Rows'!C187,'Trial Rows'!$F$2:$F$201,'Trial Rows'!F187,'Trial Rows'!$G$2:$G$201,'Trial Rows'!G187,'Trial Rows'!$Y$2:$Y$201,'Trial Rows'!Y187,'Trial Rows'!$N$2:$N$201,"&gt;=0",'Trial Rows'!$N$2:$N$201,"&lt;=4",'Trial Rows'!$N$2:$N$201,"&lt;&gt;")=4),SUMIFS('Trial Rows'!$N$2:$N$201,'Trial Rows'!$B$2:$B$201,'Trial Rows'!B187,'Trial Rows'!$C$2:$C$201,'Trial Rows'!C187,'Trial Rows'!$F$2:$F$201,'Trial Rows'!F187,'Trial Rows'!$G$2:$G$201,'Trial Rows'!G187,'Trial Rows'!$Y$2:$Y$201,'Trial Rows'!Y187,'Trial Rows'!$I$2:$I$201,1)+4-SUMIFS('Trial Rows'!$N$2:$N$201,'Trial Rows'!$B$2:$B$201,'Trial Rows'!B187,'Trial Rows'!$C$2:$C$201,'Trial Rows'!C187,'Trial Rows'!$F$2:$F$201,'Trial Rows'!F187,'Trial Rows'!$G$2:$G$201,'Trial Rows'!G187,'Trial Rows'!$Y$2:$Y$201,'Trial Rows'!Y187,'Trial Rows'!$I$2:$I$201,2)+4-SUMIFS('Trial Rows'!$N$2:$N$201,'Trial Rows'!$B$2:$B$201,'Trial Rows'!B187,'Trial Rows'!$C$2:$C$201,'Trial Rows'!C187,'Trial Rows'!$F$2:$F$201,'Trial Rows'!F187,'Trial Rows'!$G$2:$G$201,'Trial Rows'!G187,'Trial Rows'!$Y$2:$Y$201,'Trial Rows'!Y187,'Trial Rows'!$I$2:$I$201,3)+SUMIFS('Trial Rows'!$N$2:$N$201,'Trial Rows'!$B$2:$B$201,'Trial Rows'!B187,'Trial Rows'!$C$2:$C$201,'Trial Rows'!C187,'Trial Rows'!$F$2:$F$201,'Trial Rows'!F187,'Trial Rows'!$G$2:$G$201,'Trial Rows'!G187,'Trial Rows'!$Y$2:$Y$201,'Trial Rows'!Y187,'Trial Rows'!$I$2:$I$201,4),"")</x:f>
      </x:c>
      <x:c r="S187" s="2" t="n">
        <x:f>IF(AND(B187=1,COUNTIFS('Trial Rows'!$C$2:C187,'Trial Rows'!C187,'Trial Rows'!$F$2:F187,Summary!$B$5,'Trial Rows'!$Y$2:Y187,Summary!$B$4)=1),1,0)</x:f>
        <x:v>0</x:v>
      </x:c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 t="str">
        <x:f>IF('Trial Rows'!A188="","",'Trial Rows'!F188&amp;"|"&amp;'Trial Rows'!B188&amp;"|"&amp;'Trial Rows'!C188&amp;"|"&amp;'Trial Rows'!I188)</x:f>
      </x:c>
      <x:c r="B188" s="2" t="n">
        <x:f>IF(AND('Trial Rows'!A188&lt;&gt;"",'Trial Rows'!Y188=Summary!$B$4,'Trial Rows'!F188=Summary!$B$5),1,0)</x:f>
        <x:v>0</x:v>
      </x:c>
      <x:c r="C188" s="2" t="n">
        <x:f>IF(B188=1,COUNTIFS('Trial Rows'!$B$2:$B$201,'Trial Rows'!B188,'Trial Rows'!$C$2:$C$201,'Trial Rows'!C188,'Trial Rows'!$F$2:$F$201,'Trial Rows'!F188,'Trial Rows'!$I$2:$I$201,'Trial Rows'!I188,'Trial Rows'!$Y$2:$Y$201,'Trial Rows'!Y188,'Trial Rows'!$G$2:$G$201,"A"),0)</x:f>
        <x:v>0</x:v>
      </x:c>
      <x:c r="D188" s="2" t="n">
        <x:f>IF(B188=1,COUNTIFS('Trial Rows'!$B$2:$B$201,'Trial Rows'!B188,'Trial Rows'!$C$2:$C$201,'Trial Rows'!C188,'Trial Rows'!$F$2:$F$201,'Trial Rows'!F188,'Trial Rows'!$I$2:$I$201,'Trial Rows'!I188,'Trial Rows'!$Y$2:$Y$201,'Trial Rows'!Y188,'Trial Rows'!$G$2:$G$201,"B"),0)</x:f>
        <x:v>0</x:v>
      </x:c>
      <x:c r="E188" s="2" t="str">
        <x:f>IF(AND(C188=1,COUNTIFS('Trial Rows'!$B$2:$B$201,'Trial Rows'!B188,'Trial Rows'!$C$2:$C$201,'Trial Rows'!C188,'Trial Rows'!$F$2:$F$201,'Trial Rows'!F188,'Trial Rows'!$I$2:$I$201,'Trial Rows'!I188,'Trial Rows'!$Y$2:$Y$201,'Trial Rows'!Y188,'Trial Rows'!$G$2:$G$201,"A",'Trial Rows'!$K$2:$K$201,"&gt;=0",'Trial Rows'!$K$2:$K$201,"&lt;=4",'Trial Rows'!$K$2:$K$201,"&lt;&gt;")=1),SUMIFS('Trial Rows'!$K$2:$K$201,'Trial Rows'!$B$2:$B$201,'Trial Rows'!B188,'Trial Rows'!$C$2:$C$201,'Trial Rows'!C188,'Trial Rows'!$F$2:$F$201,'Trial Rows'!F188,'Trial Rows'!$I$2:$I$201,'Trial Rows'!I188,'Trial Rows'!$Y$2:$Y$201,'Trial Rows'!Y188,'Trial Rows'!$G$2:$G$201,"A"),"")</x:f>
      </x:c>
      <x:c r="F188" s="2" t="n">
        <x:f>IF(AND(B188=1,'Trial Rows'!G188="B",C188=1,D188=1,ISNUMBER(E188),ISNUMBER('Trial Rows'!M188),'Trial Rows'!M188&gt;=0,'Trial Rows'!M188&lt;=4,'Trial Rows'!Q188=0,'Trial Rows'!S188=0),1,0)</x:f>
        <x:v>0</x:v>
      </x:c>
      <x:c r="G188" s="2" t="n">
        <x:f>IF(F188=1,IF(E188='Trial Rows'!M188,1,0),0)</x:f>
        <x:v>0</x:v>
      </x:c>
      <x:c r="H188" s="2" t="n">
        <x:f>IF(AND(B188=1,'Trial Rows'!G188="B",C188=1,D188=1,ISNUMBER(E188),'Trial Rows'!R188=1,'Trial Rows'!Q188=0,'Trial Rows'!S188=0,ISNUMBER('Trial Rows'!L188),'Trial Rows'!L188&gt;=0,'Trial Rows'!L188&lt;=4),1,0)</x:f>
        <x:v>0</x:v>
      </x:c>
      <x:c r="I188" s="2" t="n">
        <x:f>IF(H188=1,IF(E188='Trial Rows'!L188,1,0),0)</x:f>
        <x:v>0</x:v>
      </x:c>
      <x:c r="J188" s="2" t="n">
        <x:f>IF(AND(B188=1,'Trial Rows'!G188="B",'Trial Rows'!P188&gt;0),1,0)</x:f>
        <x:v>0</x:v>
      </x:c>
      <x:c r="K188" s="2" t="n">
        <x:f>IF(AND(B188=1,'Trial Rows'!G188="B",'Trial Rows'!Q188=1),1,0)</x:f>
        <x:v>0</x:v>
      </x:c>
      <x:c r="L188" s="2" t="n">
        <x:f>IF(AND(B188=1,'Trial Rows'!G188="B",'Trial Rows'!R188=1,'Trial Rows'!Q188=0,'Trial Rows'!S188=0),1,0)</x:f>
        <x:v>0</x:v>
      </x:c>
      <x:c r="M188" s="2" t="n">
        <x:f>IF(AND(B188=1,'Trial Rows'!G188="B"),1,0)</x:f>
        <x:v>0</x:v>
      </x:c>
      <x:c r="N188" s="2" t="n">
        <x:f>IF(AND(B188=1,'Trial Rows'!I188=1,COUNTIFS('Trial Rows'!$B$2:$B$201,'Trial Rows'!B188,'Trial Rows'!$C$2:$C$201,'Trial Rows'!C188,'Trial Rows'!$F$2:$F$201,'Trial Rows'!F188,'Trial Rows'!$G$2:$G$201,'Trial Rows'!G188,'Trial Rows'!$Y$2:$Y$201,'Trial Rows'!Y188)=4,COUNTIFS('Trial Rows'!$B$2:$B$201,'Trial Rows'!B188,'Trial Rows'!$C$2:$C$201,'Trial Rows'!C188,'Trial Rows'!$F$2:$F$201,'Trial Rows'!F188,'Trial Rows'!$G$2:$G$201,'Trial Rows'!G188,'Trial Rows'!$Y$2:$Y$201,'Trial Rows'!Y188,'Trial Rows'!$I$2:$I$201,1)=1,COUNTIFS('Trial Rows'!$B$2:$B$201,'Trial Rows'!B188,'Trial Rows'!$C$2:$C$201,'Trial Rows'!C188,'Trial Rows'!$F$2:$F$201,'Trial Rows'!F188,'Trial Rows'!$G$2:$G$201,'Trial Rows'!G188,'Trial Rows'!$Y$2:$Y$201,'Trial Rows'!Y188,'Trial Rows'!$I$2:$I$201,2)=1,COUNTIFS('Trial Rows'!$B$2:$B$201,'Trial Rows'!B188,'Trial Rows'!$C$2:$C$201,'Trial Rows'!C188,'Trial Rows'!$F$2:$F$201,'Trial Rows'!F188,'Trial Rows'!$G$2:$G$201,'Trial Rows'!G188,'Trial Rows'!$Y$2:$Y$201,'Trial Rows'!Y188,'Trial Rows'!$I$2:$I$201,3)=1,COUNTIFS('Trial Rows'!$B$2:$B$201,'Trial Rows'!B188,'Trial Rows'!$C$2:$C$201,'Trial Rows'!C188,'Trial Rows'!$F$2:$F$201,'Trial Rows'!F188,'Trial Rows'!$G$2:$G$201,'Trial Rows'!G188,'Trial Rows'!$Y$2:$Y$201,'Trial Rows'!Y188,'Trial Rows'!$I$2:$I$201,4)=1,COUNTIFS('Trial Rows'!$B$2:$B$201,'Trial Rows'!B188,'Trial Rows'!$C$2:$C$201,'Trial Rows'!C188,'Trial Rows'!$F$2:$F$201,'Trial Rows'!F188,'Trial Rows'!$G$2:$G$201,'Trial Rows'!G188,'Trial Rows'!$Y$2:$Y$201,'Trial Rows'!Y188,'Trial Rows'!$W$2:$W$201,"&lt;&gt;")=4,ISNUMBER('Trial Rows'!U188),COUNTIFS('Trial Rows'!$B$2:$B$201,'Trial Rows'!B188,'Trial Rows'!$C$2:$C$201,'Trial Rows'!C188,'Trial Rows'!$F$2:$F$201,'Trial Rows'!F188,'Trial Rows'!$G$2:$G$201,'Trial Rows'!G188,'Trial Rows'!$Y$2:$Y$201,'Trial Rows'!Y188,'Trial Rows'!$U$2:$U$201,'Trial Rows'!U188)=4,'Trial Rows'!U188&gt;=0),1,0)</x:f>
        <x:v>0</x:v>
      </x:c>
      <x:c r="O188" s="2" t="str">
        <x:f>IF(N188=1,'Trial Rows'!U188/1000,"")</x:f>
      </x:c>
      <x:c r="P188" s="2" t="str">
        <x:f>IF(AND(N188=1,'Trial Rows'!G188="A"),O188,"")</x:f>
      </x:c>
      <x:c r="Q188" s="2" t="str">
        <x:f>IF(AND(N188=1,'Trial Rows'!G188="B"),O188,"")</x:f>
      </x:c>
      <x:c r="R188" s="2" t="str">
        <x:f>IF(AND(N188=1,COUNTIFS('Trial Rows'!$B$2:$B$201,'Trial Rows'!B188,'Trial Rows'!$C$2:$C$201,'Trial Rows'!C188,'Trial Rows'!$F$2:$F$201,'Trial Rows'!F188,'Trial Rows'!$G$2:$G$201,'Trial Rows'!G188,'Trial Rows'!$Y$2:$Y$201,'Trial Rows'!Y188,'Trial Rows'!$N$2:$N$201,"&gt;=0",'Trial Rows'!$N$2:$N$201,"&lt;=4",'Trial Rows'!$N$2:$N$201,"&lt;&gt;")=4),SUMIFS('Trial Rows'!$N$2:$N$201,'Trial Rows'!$B$2:$B$201,'Trial Rows'!B188,'Trial Rows'!$C$2:$C$201,'Trial Rows'!C188,'Trial Rows'!$F$2:$F$201,'Trial Rows'!F188,'Trial Rows'!$G$2:$G$201,'Trial Rows'!G188,'Trial Rows'!$Y$2:$Y$201,'Trial Rows'!Y188,'Trial Rows'!$I$2:$I$201,1)+4-SUMIFS('Trial Rows'!$N$2:$N$201,'Trial Rows'!$B$2:$B$201,'Trial Rows'!B188,'Trial Rows'!$C$2:$C$201,'Trial Rows'!C188,'Trial Rows'!$F$2:$F$201,'Trial Rows'!F188,'Trial Rows'!$G$2:$G$201,'Trial Rows'!G188,'Trial Rows'!$Y$2:$Y$201,'Trial Rows'!Y188,'Trial Rows'!$I$2:$I$201,2)+4-SUMIFS('Trial Rows'!$N$2:$N$201,'Trial Rows'!$B$2:$B$201,'Trial Rows'!B188,'Trial Rows'!$C$2:$C$201,'Trial Rows'!C188,'Trial Rows'!$F$2:$F$201,'Trial Rows'!F188,'Trial Rows'!$G$2:$G$201,'Trial Rows'!G188,'Trial Rows'!$Y$2:$Y$201,'Trial Rows'!Y188,'Trial Rows'!$I$2:$I$201,3)+SUMIFS('Trial Rows'!$N$2:$N$201,'Trial Rows'!$B$2:$B$201,'Trial Rows'!B188,'Trial Rows'!$C$2:$C$201,'Trial Rows'!C188,'Trial Rows'!$F$2:$F$201,'Trial Rows'!F188,'Trial Rows'!$G$2:$G$201,'Trial Rows'!G188,'Trial Rows'!$Y$2:$Y$201,'Trial Rows'!Y188,'Trial Rows'!$I$2:$I$201,4),"")</x:f>
      </x:c>
      <x:c r="S188" s="2" t="n">
        <x:f>IF(AND(B188=1,COUNTIFS('Trial Rows'!$C$2:C188,'Trial Rows'!C188,'Trial Rows'!$F$2:F188,Summary!$B$5,'Trial Rows'!$Y$2:Y188,Summary!$B$4)=1),1,0)</x:f>
        <x:v>0</x:v>
      </x:c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 t="str">
        <x:f>IF('Trial Rows'!A189="","",'Trial Rows'!F189&amp;"|"&amp;'Trial Rows'!B189&amp;"|"&amp;'Trial Rows'!C189&amp;"|"&amp;'Trial Rows'!I189)</x:f>
      </x:c>
      <x:c r="B189" s="2" t="n">
        <x:f>IF(AND('Trial Rows'!A189&lt;&gt;"",'Trial Rows'!Y189=Summary!$B$4,'Trial Rows'!F189=Summary!$B$5),1,0)</x:f>
        <x:v>0</x:v>
      </x:c>
      <x:c r="C189" s="2" t="n">
        <x:f>IF(B189=1,COUNTIFS('Trial Rows'!$B$2:$B$201,'Trial Rows'!B189,'Trial Rows'!$C$2:$C$201,'Trial Rows'!C189,'Trial Rows'!$F$2:$F$201,'Trial Rows'!F189,'Trial Rows'!$I$2:$I$201,'Trial Rows'!I189,'Trial Rows'!$Y$2:$Y$201,'Trial Rows'!Y189,'Trial Rows'!$G$2:$G$201,"A"),0)</x:f>
        <x:v>0</x:v>
      </x:c>
      <x:c r="D189" s="2" t="n">
        <x:f>IF(B189=1,COUNTIFS('Trial Rows'!$B$2:$B$201,'Trial Rows'!B189,'Trial Rows'!$C$2:$C$201,'Trial Rows'!C189,'Trial Rows'!$F$2:$F$201,'Trial Rows'!F189,'Trial Rows'!$I$2:$I$201,'Trial Rows'!I189,'Trial Rows'!$Y$2:$Y$201,'Trial Rows'!Y189,'Trial Rows'!$G$2:$G$201,"B"),0)</x:f>
        <x:v>0</x:v>
      </x:c>
      <x:c r="E189" s="2" t="str">
        <x:f>IF(AND(C189=1,COUNTIFS('Trial Rows'!$B$2:$B$201,'Trial Rows'!B189,'Trial Rows'!$C$2:$C$201,'Trial Rows'!C189,'Trial Rows'!$F$2:$F$201,'Trial Rows'!F189,'Trial Rows'!$I$2:$I$201,'Trial Rows'!I189,'Trial Rows'!$Y$2:$Y$201,'Trial Rows'!Y189,'Trial Rows'!$G$2:$G$201,"A",'Trial Rows'!$K$2:$K$201,"&gt;=0",'Trial Rows'!$K$2:$K$201,"&lt;=4",'Trial Rows'!$K$2:$K$201,"&lt;&gt;")=1),SUMIFS('Trial Rows'!$K$2:$K$201,'Trial Rows'!$B$2:$B$201,'Trial Rows'!B189,'Trial Rows'!$C$2:$C$201,'Trial Rows'!C189,'Trial Rows'!$F$2:$F$201,'Trial Rows'!F189,'Trial Rows'!$I$2:$I$201,'Trial Rows'!I189,'Trial Rows'!$Y$2:$Y$201,'Trial Rows'!Y189,'Trial Rows'!$G$2:$G$201,"A"),"")</x:f>
      </x:c>
      <x:c r="F189" s="2" t="n">
        <x:f>IF(AND(B189=1,'Trial Rows'!G189="B",C189=1,D189=1,ISNUMBER(E189),ISNUMBER('Trial Rows'!M189),'Trial Rows'!M189&gt;=0,'Trial Rows'!M189&lt;=4,'Trial Rows'!Q189=0,'Trial Rows'!S189=0),1,0)</x:f>
        <x:v>0</x:v>
      </x:c>
      <x:c r="G189" s="2" t="n">
        <x:f>IF(F189=1,IF(E189='Trial Rows'!M189,1,0),0)</x:f>
        <x:v>0</x:v>
      </x:c>
      <x:c r="H189" s="2" t="n">
        <x:f>IF(AND(B189=1,'Trial Rows'!G189="B",C189=1,D189=1,ISNUMBER(E189),'Trial Rows'!R189=1,'Trial Rows'!Q189=0,'Trial Rows'!S189=0,ISNUMBER('Trial Rows'!L189),'Trial Rows'!L189&gt;=0,'Trial Rows'!L189&lt;=4),1,0)</x:f>
        <x:v>0</x:v>
      </x:c>
      <x:c r="I189" s="2" t="n">
        <x:f>IF(H189=1,IF(E189='Trial Rows'!L189,1,0),0)</x:f>
        <x:v>0</x:v>
      </x:c>
      <x:c r="J189" s="2" t="n">
        <x:f>IF(AND(B189=1,'Trial Rows'!G189="B",'Trial Rows'!P189&gt;0),1,0)</x:f>
        <x:v>0</x:v>
      </x:c>
      <x:c r="K189" s="2" t="n">
        <x:f>IF(AND(B189=1,'Trial Rows'!G189="B",'Trial Rows'!Q189=1),1,0)</x:f>
        <x:v>0</x:v>
      </x:c>
      <x:c r="L189" s="2" t="n">
        <x:f>IF(AND(B189=1,'Trial Rows'!G189="B",'Trial Rows'!R189=1,'Trial Rows'!Q189=0,'Trial Rows'!S189=0),1,0)</x:f>
        <x:v>0</x:v>
      </x:c>
      <x:c r="M189" s="2" t="n">
        <x:f>IF(AND(B189=1,'Trial Rows'!G189="B"),1,0)</x:f>
        <x:v>0</x:v>
      </x:c>
      <x:c r="N189" s="2" t="n">
        <x:f>IF(AND(B189=1,'Trial Rows'!I189=1,COUNTIFS('Trial Rows'!$B$2:$B$201,'Trial Rows'!B189,'Trial Rows'!$C$2:$C$201,'Trial Rows'!C189,'Trial Rows'!$F$2:$F$201,'Trial Rows'!F189,'Trial Rows'!$G$2:$G$201,'Trial Rows'!G189,'Trial Rows'!$Y$2:$Y$201,'Trial Rows'!Y189)=4,COUNTIFS('Trial Rows'!$B$2:$B$201,'Trial Rows'!B189,'Trial Rows'!$C$2:$C$201,'Trial Rows'!C189,'Trial Rows'!$F$2:$F$201,'Trial Rows'!F189,'Trial Rows'!$G$2:$G$201,'Trial Rows'!G189,'Trial Rows'!$Y$2:$Y$201,'Trial Rows'!Y189,'Trial Rows'!$I$2:$I$201,1)=1,COUNTIFS('Trial Rows'!$B$2:$B$201,'Trial Rows'!B189,'Trial Rows'!$C$2:$C$201,'Trial Rows'!C189,'Trial Rows'!$F$2:$F$201,'Trial Rows'!F189,'Trial Rows'!$G$2:$G$201,'Trial Rows'!G189,'Trial Rows'!$Y$2:$Y$201,'Trial Rows'!Y189,'Trial Rows'!$I$2:$I$201,2)=1,COUNTIFS('Trial Rows'!$B$2:$B$201,'Trial Rows'!B189,'Trial Rows'!$C$2:$C$201,'Trial Rows'!C189,'Trial Rows'!$F$2:$F$201,'Trial Rows'!F189,'Trial Rows'!$G$2:$G$201,'Trial Rows'!G189,'Trial Rows'!$Y$2:$Y$201,'Trial Rows'!Y189,'Trial Rows'!$I$2:$I$201,3)=1,COUNTIFS('Trial Rows'!$B$2:$B$201,'Trial Rows'!B189,'Trial Rows'!$C$2:$C$201,'Trial Rows'!C189,'Trial Rows'!$F$2:$F$201,'Trial Rows'!F189,'Trial Rows'!$G$2:$G$201,'Trial Rows'!G189,'Trial Rows'!$Y$2:$Y$201,'Trial Rows'!Y189,'Trial Rows'!$I$2:$I$201,4)=1,COUNTIFS('Trial Rows'!$B$2:$B$201,'Trial Rows'!B189,'Trial Rows'!$C$2:$C$201,'Trial Rows'!C189,'Trial Rows'!$F$2:$F$201,'Trial Rows'!F189,'Trial Rows'!$G$2:$G$201,'Trial Rows'!G189,'Trial Rows'!$Y$2:$Y$201,'Trial Rows'!Y189,'Trial Rows'!$W$2:$W$201,"&lt;&gt;")=4,ISNUMBER('Trial Rows'!U189),COUNTIFS('Trial Rows'!$B$2:$B$201,'Trial Rows'!B189,'Trial Rows'!$C$2:$C$201,'Trial Rows'!C189,'Trial Rows'!$F$2:$F$201,'Trial Rows'!F189,'Trial Rows'!$G$2:$G$201,'Trial Rows'!G189,'Trial Rows'!$Y$2:$Y$201,'Trial Rows'!Y189,'Trial Rows'!$U$2:$U$201,'Trial Rows'!U189)=4,'Trial Rows'!U189&gt;=0),1,0)</x:f>
        <x:v>0</x:v>
      </x:c>
      <x:c r="O189" s="2" t="str">
        <x:f>IF(N189=1,'Trial Rows'!U189/1000,"")</x:f>
      </x:c>
      <x:c r="P189" s="2" t="str">
        <x:f>IF(AND(N189=1,'Trial Rows'!G189="A"),O189,"")</x:f>
      </x:c>
      <x:c r="Q189" s="2" t="str">
        <x:f>IF(AND(N189=1,'Trial Rows'!G189="B"),O189,"")</x:f>
      </x:c>
      <x:c r="R189" s="2" t="str">
        <x:f>IF(AND(N189=1,COUNTIFS('Trial Rows'!$B$2:$B$201,'Trial Rows'!B189,'Trial Rows'!$C$2:$C$201,'Trial Rows'!C189,'Trial Rows'!$F$2:$F$201,'Trial Rows'!F189,'Trial Rows'!$G$2:$G$201,'Trial Rows'!G189,'Trial Rows'!$Y$2:$Y$201,'Trial Rows'!Y189,'Trial Rows'!$N$2:$N$201,"&gt;=0",'Trial Rows'!$N$2:$N$201,"&lt;=4",'Trial Rows'!$N$2:$N$201,"&lt;&gt;")=4),SUMIFS('Trial Rows'!$N$2:$N$201,'Trial Rows'!$B$2:$B$201,'Trial Rows'!B189,'Trial Rows'!$C$2:$C$201,'Trial Rows'!C189,'Trial Rows'!$F$2:$F$201,'Trial Rows'!F189,'Trial Rows'!$G$2:$G$201,'Trial Rows'!G189,'Trial Rows'!$Y$2:$Y$201,'Trial Rows'!Y189,'Trial Rows'!$I$2:$I$201,1)+4-SUMIFS('Trial Rows'!$N$2:$N$201,'Trial Rows'!$B$2:$B$201,'Trial Rows'!B189,'Trial Rows'!$C$2:$C$201,'Trial Rows'!C189,'Trial Rows'!$F$2:$F$201,'Trial Rows'!F189,'Trial Rows'!$G$2:$G$201,'Trial Rows'!G189,'Trial Rows'!$Y$2:$Y$201,'Trial Rows'!Y189,'Trial Rows'!$I$2:$I$201,2)+4-SUMIFS('Trial Rows'!$N$2:$N$201,'Trial Rows'!$B$2:$B$201,'Trial Rows'!B189,'Trial Rows'!$C$2:$C$201,'Trial Rows'!C189,'Trial Rows'!$F$2:$F$201,'Trial Rows'!F189,'Trial Rows'!$G$2:$G$201,'Trial Rows'!G189,'Trial Rows'!$Y$2:$Y$201,'Trial Rows'!Y189,'Trial Rows'!$I$2:$I$201,3)+SUMIFS('Trial Rows'!$N$2:$N$201,'Trial Rows'!$B$2:$B$201,'Trial Rows'!B189,'Trial Rows'!$C$2:$C$201,'Trial Rows'!C189,'Trial Rows'!$F$2:$F$201,'Trial Rows'!F189,'Trial Rows'!$G$2:$G$201,'Trial Rows'!G189,'Trial Rows'!$Y$2:$Y$201,'Trial Rows'!Y189,'Trial Rows'!$I$2:$I$201,4),"")</x:f>
      </x:c>
      <x:c r="S189" s="2" t="n">
        <x:f>IF(AND(B189=1,COUNTIFS('Trial Rows'!$C$2:C189,'Trial Rows'!C189,'Trial Rows'!$F$2:F189,Summary!$B$5,'Trial Rows'!$Y$2:Y189,Summary!$B$4)=1),1,0)</x:f>
        <x:v>0</x:v>
      </x:c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 t="str">
        <x:f>IF('Trial Rows'!A190="","",'Trial Rows'!F190&amp;"|"&amp;'Trial Rows'!B190&amp;"|"&amp;'Trial Rows'!C190&amp;"|"&amp;'Trial Rows'!I190)</x:f>
      </x:c>
      <x:c r="B190" s="2" t="n">
        <x:f>IF(AND('Trial Rows'!A190&lt;&gt;"",'Trial Rows'!Y190=Summary!$B$4,'Trial Rows'!F190=Summary!$B$5),1,0)</x:f>
        <x:v>0</x:v>
      </x:c>
      <x:c r="C190" s="2" t="n">
        <x:f>IF(B190=1,COUNTIFS('Trial Rows'!$B$2:$B$201,'Trial Rows'!B190,'Trial Rows'!$C$2:$C$201,'Trial Rows'!C190,'Trial Rows'!$F$2:$F$201,'Trial Rows'!F190,'Trial Rows'!$I$2:$I$201,'Trial Rows'!I190,'Trial Rows'!$Y$2:$Y$201,'Trial Rows'!Y190,'Trial Rows'!$G$2:$G$201,"A"),0)</x:f>
        <x:v>0</x:v>
      </x:c>
      <x:c r="D190" s="2" t="n">
        <x:f>IF(B190=1,COUNTIFS('Trial Rows'!$B$2:$B$201,'Trial Rows'!B190,'Trial Rows'!$C$2:$C$201,'Trial Rows'!C190,'Trial Rows'!$F$2:$F$201,'Trial Rows'!F190,'Trial Rows'!$I$2:$I$201,'Trial Rows'!I190,'Trial Rows'!$Y$2:$Y$201,'Trial Rows'!Y190,'Trial Rows'!$G$2:$G$201,"B"),0)</x:f>
        <x:v>0</x:v>
      </x:c>
      <x:c r="E190" s="2" t="str">
        <x:f>IF(AND(C190=1,COUNTIFS('Trial Rows'!$B$2:$B$201,'Trial Rows'!B190,'Trial Rows'!$C$2:$C$201,'Trial Rows'!C190,'Trial Rows'!$F$2:$F$201,'Trial Rows'!F190,'Trial Rows'!$I$2:$I$201,'Trial Rows'!I190,'Trial Rows'!$Y$2:$Y$201,'Trial Rows'!Y190,'Trial Rows'!$G$2:$G$201,"A",'Trial Rows'!$K$2:$K$201,"&gt;=0",'Trial Rows'!$K$2:$K$201,"&lt;=4",'Trial Rows'!$K$2:$K$201,"&lt;&gt;")=1),SUMIFS('Trial Rows'!$K$2:$K$201,'Trial Rows'!$B$2:$B$201,'Trial Rows'!B190,'Trial Rows'!$C$2:$C$201,'Trial Rows'!C190,'Trial Rows'!$F$2:$F$201,'Trial Rows'!F190,'Trial Rows'!$I$2:$I$201,'Trial Rows'!I190,'Trial Rows'!$Y$2:$Y$201,'Trial Rows'!Y190,'Trial Rows'!$G$2:$G$201,"A"),"")</x:f>
      </x:c>
      <x:c r="F190" s="2" t="n">
        <x:f>IF(AND(B190=1,'Trial Rows'!G190="B",C190=1,D190=1,ISNUMBER(E190),ISNUMBER('Trial Rows'!M190),'Trial Rows'!M190&gt;=0,'Trial Rows'!M190&lt;=4,'Trial Rows'!Q190=0,'Trial Rows'!S190=0),1,0)</x:f>
        <x:v>0</x:v>
      </x:c>
      <x:c r="G190" s="2" t="n">
        <x:f>IF(F190=1,IF(E190='Trial Rows'!M190,1,0),0)</x:f>
        <x:v>0</x:v>
      </x:c>
      <x:c r="H190" s="2" t="n">
        <x:f>IF(AND(B190=1,'Trial Rows'!G190="B",C190=1,D190=1,ISNUMBER(E190),'Trial Rows'!R190=1,'Trial Rows'!Q190=0,'Trial Rows'!S190=0,ISNUMBER('Trial Rows'!L190),'Trial Rows'!L190&gt;=0,'Trial Rows'!L190&lt;=4),1,0)</x:f>
        <x:v>0</x:v>
      </x:c>
      <x:c r="I190" s="2" t="n">
        <x:f>IF(H190=1,IF(E190='Trial Rows'!L190,1,0),0)</x:f>
        <x:v>0</x:v>
      </x:c>
      <x:c r="J190" s="2" t="n">
        <x:f>IF(AND(B190=1,'Trial Rows'!G190="B",'Trial Rows'!P190&gt;0),1,0)</x:f>
        <x:v>0</x:v>
      </x:c>
      <x:c r="K190" s="2" t="n">
        <x:f>IF(AND(B190=1,'Trial Rows'!G190="B",'Trial Rows'!Q190=1),1,0)</x:f>
        <x:v>0</x:v>
      </x:c>
      <x:c r="L190" s="2" t="n">
        <x:f>IF(AND(B190=1,'Trial Rows'!G190="B",'Trial Rows'!R190=1,'Trial Rows'!Q190=0,'Trial Rows'!S190=0),1,0)</x:f>
        <x:v>0</x:v>
      </x:c>
      <x:c r="M190" s="2" t="n">
        <x:f>IF(AND(B190=1,'Trial Rows'!G190="B"),1,0)</x:f>
        <x:v>0</x:v>
      </x:c>
      <x:c r="N190" s="2" t="n">
        <x:f>IF(AND(B190=1,'Trial Rows'!I190=1,COUNTIFS('Trial Rows'!$B$2:$B$201,'Trial Rows'!B190,'Trial Rows'!$C$2:$C$201,'Trial Rows'!C190,'Trial Rows'!$F$2:$F$201,'Trial Rows'!F190,'Trial Rows'!$G$2:$G$201,'Trial Rows'!G190,'Trial Rows'!$Y$2:$Y$201,'Trial Rows'!Y190)=4,COUNTIFS('Trial Rows'!$B$2:$B$201,'Trial Rows'!B190,'Trial Rows'!$C$2:$C$201,'Trial Rows'!C190,'Trial Rows'!$F$2:$F$201,'Trial Rows'!F190,'Trial Rows'!$G$2:$G$201,'Trial Rows'!G190,'Trial Rows'!$Y$2:$Y$201,'Trial Rows'!Y190,'Trial Rows'!$I$2:$I$201,1)=1,COUNTIFS('Trial Rows'!$B$2:$B$201,'Trial Rows'!B190,'Trial Rows'!$C$2:$C$201,'Trial Rows'!C190,'Trial Rows'!$F$2:$F$201,'Trial Rows'!F190,'Trial Rows'!$G$2:$G$201,'Trial Rows'!G190,'Trial Rows'!$Y$2:$Y$201,'Trial Rows'!Y190,'Trial Rows'!$I$2:$I$201,2)=1,COUNTIFS('Trial Rows'!$B$2:$B$201,'Trial Rows'!B190,'Trial Rows'!$C$2:$C$201,'Trial Rows'!C190,'Trial Rows'!$F$2:$F$201,'Trial Rows'!F190,'Trial Rows'!$G$2:$G$201,'Trial Rows'!G190,'Trial Rows'!$Y$2:$Y$201,'Trial Rows'!Y190,'Trial Rows'!$I$2:$I$201,3)=1,COUNTIFS('Trial Rows'!$B$2:$B$201,'Trial Rows'!B190,'Trial Rows'!$C$2:$C$201,'Trial Rows'!C190,'Trial Rows'!$F$2:$F$201,'Trial Rows'!F190,'Trial Rows'!$G$2:$G$201,'Trial Rows'!G190,'Trial Rows'!$Y$2:$Y$201,'Trial Rows'!Y190,'Trial Rows'!$I$2:$I$201,4)=1,COUNTIFS('Trial Rows'!$B$2:$B$201,'Trial Rows'!B190,'Trial Rows'!$C$2:$C$201,'Trial Rows'!C190,'Trial Rows'!$F$2:$F$201,'Trial Rows'!F190,'Trial Rows'!$G$2:$G$201,'Trial Rows'!G190,'Trial Rows'!$Y$2:$Y$201,'Trial Rows'!Y190,'Trial Rows'!$W$2:$W$201,"&lt;&gt;")=4,ISNUMBER('Trial Rows'!U190),COUNTIFS('Trial Rows'!$B$2:$B$201,'Trial Rows'!B190,'Trial Rows'!$C$2:$C$201,'Trial Rows'!C190,'Trial Rows'!$F$2:$F$201,'Trial Rows'!F190,'Trial Rows'!$G$2:$G$201,'Trial Rows'!G190,'Trial Rows'!$Y$2:$Y$201,'Trial Rows'!Y190,'Trial Rows'!$U$2:$U$201,'Trial Rows'!U190)=4,'Trial Rows'!U190&gt;=0),1,0)</x:f>
        <x:v>0</x:v>
      </x:c>
      <x:c r="O190" s="2" t="str">
        <x:f>IF(N190=1,'Trial Rows'!U190/1000,"")</x:f>
      </x:c>
      <x:c r="P190" s="2" t="str">
        <x:f>IF(AND(N190=1,'Trial Rows'!G190="A"),O190,"")</x:f>
      </x:c>
      <x:c r="Q190" s="2" t="str">
        <x:f>IF(AND(N190=1,'Trial Rows'!G190="B"),O190,"")</x:f>
      </x:c>
      <x:c r="R190" s="2" t="str">
        <x:f>IF(AND(N190=1,COUNTIFS('Trial Rows'!$B$2:$B$201,'Trial Rows'!B190,'Trial Rows'!$C$2:$C$201,'Trial Rows'!C190,'Trial Rows'!$F$2:$F$201,'Trial Rows'!F190,'Trial Rows'!$G$2:$G$201,'Trial Rows'!G190,'Trial Rows'!$Y$2:$Y$201,'Trial Rows'!Y190,'Trial Rows'!$N$2:$N$201,"&gt;=0",'Trial Rows'!$N$2:$N$201,"&lt;=4",'Trial Rows'!$N$2:$N$201,"&lt;&gt;")=4),SUMIFS('Trial Rows'!$N$2:$N$201,'Trial Rows'!$B$2:$B$201,'Trial Rows'!B190,'Trial Rows'!$C$2:$C$201,'Trial Rows'!C190,'Trial Rows'!$F$2:$F$201,'Trial Rows'!F190,'Trial Rows'!$G$2:$G$201,'Trial Rows'!G190,'Trial Rows'!$Y$2:$Y$201,'Trial Rows'!Y190,'Trial Rows'!$I$2:$I$201,1)+4-SUMIFS('Trial Rows'!$N$2:$N$201,'Trial Rows'!$B$2:$B$201,'Trial Rows'!B190,'Trial Rows'!$C$2:$C$201,'Trial Rows'!C190,'Trial Rows'!$F$2:$F$201,'Trial Rows'!F190,'Trial Rows'!$G$2:$G$201,'Trial Rows'!G190,'Trial Rows'!$Y$2:$Y$201,'Trial Rows'!Y190,'Trial Rows'!$I$2:$I$201,2)+4-SUMIFS('Trial Rows'!$N$2:$N$201,'Trial Rows'!$B$2:$B$201,'Trial Rows'!B190,'Trial Rows'!$C$2:$C$201,'Trial Rows'!C190,'Trial Rows'!$F$2:$F$201,'Trial Rows'!F190,'Trial Rows'!$G$2:$G$201,'Trial Rows'!G190,'Trial Rows'!$Y$2:$Y$201,'Trial Rows'!Y190,'Trial Rows'!$I$2:$I$201,3)+SUMIFS('Trial Rows'!$N$2:$N$201,'Trial Rows'!$B$2:$B$201,'Trial Rows'!B190,'Trial Rows'!$C$2:$C$201,'Trial Rows'!C190,'Trial Rows'!$F$2:$F$201,'Trial Rows'!F190,'Trial Rows'!$G$2:$G$201,'Trial Rows'!G190,'Trial Rows'!$Y$2:$Y$201,'Trial Rows'!Y190,'Trial Rows'!$I$2:$I$201,4),"")</x:f>
      </x:c>
      <x:c r="S190" s="2" t="n">
        <x:f>IF(AND(B190=1,COUNTIFS('Trial Rows'!$C$2:C190,'Trial Rows'!C190,'Trial Rows'!$F$2:F190,Summary!$B$5,'Trial Rows'!$Y$2:Y190,Summary!$B$4)=1),1,0)</x:f>
        <x:v>0</x:v>
      </x:c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 t="str">
        <x:f>IF('Trial Rows'!A191="","",'Trial Rows'!F191&amp;"|"&amp;'Trial Rows'!B191&amp;"|"&amp;'Trial Rows'!C191&amp;"|"&amp;'Trial Rows'!I191)</x:f>
      </x:c>
      <x:c r="B191" s="2" t="n">
        <x:f>IF(AND('Trial Rows'!A191&lt;&gt;"",'Trial Rows'!Y191=Summary!$B$4,'Trial Rows'!F191=Summary!$B$5),1,0)</x:f>
        <x:v>0</x:v>
      </x:c>
      <x:c r="C191" s="2" t="n">
        <x:f>IF(B191=1,COUNTIFS('Trial Rows'!$B$2:$B$201,'Trial Rows'!B191,'Trial Rows'!$C$2:$C$201,'Trial Rows'!C191,'Trial Rows'!$F$2:$F$201,'Trial Rows'!F191,'Trial Rows'!$I$2:$I$201,'Trial Rows'!I191,'Trial Rows'!$Y$2:$Y$201,'Trial Rows'!Y191,'Trial Rows'!$G$2:$G$201,"A"),0)</x:f>
        <x:v>0</x:v>
      </x:c>
      <x:c r="D191" s="2" t="n">
        <x:f>IF(B191=1,COUNTIFS('Trial Rows'!$B$2:$B$201,'Trial Rows'!B191,'Trial Rows'!$C$2:$C$201,'Trial Rows'!C191,'Trial Rows'!$F$2:$F$201,'Trial Rows'!F191,'Trial Rows'!$I$2:$I$201,'Trial Rows'!I191,'Trial Rows'!$Y$2:$Y$201,'Trial Rows'!Y191,'Trial Rows'!$G$2:$G$201,"B"),0)</x:f>
        <x:v>0</x:v>
      </x:c>
      <x:c r="E191" s="2" t="str">
        <x:f>IF(AND(C191=1,COUNTIFS('Trial Rows'!$B$2:$B$201,'Trial Rows'!B191,'Trial Rows'!$C$2:$C$201,'Trial Rows'!C191,'Trial Rows'!$F$2:$F$201,'Trial Rows'!F191,'Trial Rows'!$I$2:$I$201,'Trial Rows'!I191,'Trial Rows'!$Y$2:$Y$201,'Trial Rows'!Y191,'Trial Rows'!$G$2:$G$201,"A",'Trial Rows'!$K$2:$K$201,"&gt;=0",'Trial Rows'!$K$2:$K$201,"&lt;=4",'Trial Rows'!$K$2:$K$201,"&lt;&gt;")=1),SUMIFS('Trial Rows'!$K$2:$K$201,'Trial Rows'!$B$2:$B$201,'Trial Rows'!B191,'Trial Rows'!$C$2:$C$201,'Trial Rows'!C191,'Trial Rows'!$F$2:$F$201,'Trial Rows'!F191,'Trial Rows'!$I$2:$I$201,'Trial Rows'!I191,'Trial Rows'!$Y$2:$Y$201,'Trial Rows'!Y191,'Trial Rows'!$G$2:$G$201,"A"),"")</x:f>
      </x:c>
      <x:c r="F191" s="2" t="n">
        <x:f>IF(AND(B191=1,'Trial Rows'!G191="B",C191=1,D191=1,ISNUMBER(E191),ISNUMBER('Trial Rows'!M191),'Trial Rows'!M191&gt;=0,'Trial Rows'!M191&lt;=4,'Trial Rows'!Q191=0,'Trial Rows'!S191=0),1,0)</x:f>
        <x:v>0</x:v>
      </x:c>
      <x:c r="G191" s="2" t="n">
        <x:f>IF(F191=1,IF(E191='Trial Rows'!M191,1,0),0)</x:f>
        <x:v>0</x:v>
      </x:c>
      <x:c r="H191" s="2" t="n">
        <x:f>IF(AND(B191=1,'Trial Rows'!G191="B",C191=1,D191=1,ISNUMBER(E191),'Trial Rows'!R191=1,'Trial Rows'!Q191=0,'Trial Rows'!S191=0,ISNUMBER('Trial Rows'!L191),'Trial Rows'!L191&gt;=0,'Trial Rows'!L191&lt;=4),1,0)</x:f>
        <x:v>0</x:v>
      </x:c>
      <x:c r="I191" s="2" t="n">
        <x:f>IF(H191=1,IF(E191='Trial Rows'!L191,1,0),0)</x:f>
        <x:v>0</x:v>
      </x:c>
      <x:c r="J191" s="2" t="n">
        <x:f>IF(AND(B191=1,'Trial Rows'!G191="B",'Trial Rows'!P191&gt;0),1,0)</x:f>
        <x:v>0</x:v>
      </x:c>
      <x:c r="K191" s="2" t="n">
        <x:f>IF(AND(B191=1,'Trial Rows'!G191="B",'Trial Rows'!Q191=1),1,0)</x:f>
        <x:v>0</x:v>
      </x:c>
      <x:c r="L191" s="2" t="n">
        <x:f>IF(AND(B191=1,'Trial Rows'!G191="B",'Trial Rows'!R191=1,'Trial Rows'!Q191=0,'Trial Rows'!S191=0),1,0)</x:f>
        <x:v>0</x:v>
      </x:c>
      <x:c r="M191" s="2" t="n">
        <x:f>IF(AND(B191=1,'Trial Rows'!G191="B"),1,0)</x:f>
        <x:v>0</x:v>
      </x:c>
      <x:c r="N191" s="2" t="n">
        <x:f>IF(AND(B191=1,'Trial Rows'!I191=1,COUNTIFS('Trial Rows'!$B$2:$B$201,'Trial Rows'!B191,'Trial Rows'!$C$2:$C$201,'Trial Rows'!C191,'Trial Rows'!$F$2:$F$201,'Trial Rows'!F191,'Trial Rows'!$G$2:$G$201,'Trial Rows'!G191,'Trial Rows'!$Y$2:$Y$201,'Trial Rows'!Y191)=4,COUNTIFS('Trial Rows'!$B$2:$B$201,'Trial Rows'!B191,'Trial Rows'!$C$2:$C$201,'Trial Rows'!C191,'Trial Rows'!$F$2:$F$201,'Trial Rows'!F191,'Trial Rows'!$G$2:$G$201,'Trial Rows'!G191,'Trial Rows'!$Y$2:$Y$201,'Trial Rows'!Y191,'Trial Rows'!$I$2:$I$201,1)=1,COUNTIFS('Trial Rows'!$B$2:$B$201,'Trial Rows'!B191,'Trial Rows'!$C$2:$C$201,'Trial Rows'!C191,'Trial Rows'!$F$2:$F$201,'Trial Rows'!F191,'Trial Rows'!$G$2:$G$201,'Trial Rows'!G191,'Trial Rows'!$Y$2:$Y$201,'Trial Rows'!Y191,'Trial Rows'!$I$2:$I$201,2)=1,COUNTIFS('Trial Rows'!$B$2:$B$201,'Trial Rows'!B191,'Trial Rows'!$C$2:$C$201,'Trial Rows'!C191,'Trial Rows'!$F$2:$F$201,'Trial Rows'!F191,'Trial Rows'!$G$2:$G$201,'Trial Rows'!G191,'Trial Rows'!$Y$2:$Y$201,'Trial Rows'!Y191,'Trial Rows'!$I$2:$I$201,3)=1,COUNTIFS('Trial Rows'!$B$2:$B$201,'Trial Rows'!B191,'Trial Rows'!$C$2:$C$201,'Trial Rows'!C191,'Trial Rows'!$F$2:$F$201,'Trial Rows'!F191,'Trial Rows'!$G$2:$G$201,'Trial Rows'!G191,'Trial Rows'!$Y$2:$Y$201,'Trial Rows'!Y191,'Trial Rows'!$I$2:$I$201,4)=1,COUNTIFS('Trial Rows'!$B$2:$B$201,'Trial Rows'!B191,'Trial Rows'!$C$2:$C$201,'Trial Rows'!C191,'Trial Rows'!$F$2:$F$201,'Trial Rows'!F191,'Trial Rows'!$G$2:$G$201,'Trial Rows'!G191,'Trial Rows'!$Y$2:$Y$201,'Trial Rows'!Y191,'Trial Rows'!$W$2:$W$201,"&lt;&gt;")=4,ISNUMBER('Trial Rows'!U191),COUNTIFS('Trial Rows'!$B$2:$B$201,'Trial Rows'!B191,'Trial Rows'!$C$2:$C$201,'Trial Rows'!C191,'Trial Rows'!$F$2:$F$201,'Trial Rows'!F191,'Trial Rows'!$G$2:$G$201,'Trial Rows'!G191,'Trial Rows'!$Y$2:$Y$201,'Trial Rows'!Y191,'Trial Rows'!$U$2:$U$201,'Trial Rows'!U191)=4,'Trial Rows'!U191&gt;=0),1,0)</x:f>
        <x:v>0</x:v>
      </x:c>
      <x:c r="O191" s="2" t="str">
        <x:f>IF(N191=1,'Trial Rows'!U191/1000,"")</x:f>
      </x:c>
      <x:c r="P191" s="2" t="str">
        <x:f>IF(AND(N191=1,'Trial Rows'!G191="A"),O191,"")</x:f>
      </x:c>
      <x:c r="Q191" s="2" t="str">
        <x:f>IF(AND(N191=1,'Trial Rows'!G191="B"),O191,"")</x:f>
      </x:c>
      <x:c r="R191" s="2" t="str">
        <x:f>IF(AND(N191=1,COUNTIFS('Trial Rows'!$B$2:$B$201,'Trial Rows'!B191,'Trial Rows'!$C$2:$C$201,'Trial Rows'!C191,'Trial Rows'!$F$2:$F$201,'Trial Rows'!F191,'Trial Rows'!$G$2:$G$201,'Trial Rows'!G191,'Trial Rows'!$Y$2:$Y$201,'Trial Rows'!Y191,'Trial Rows'!$N$2:$N$201,"&gt;=0",'Trial Rows'!$N$2:$N$201,"&lt;=4",'Trial Rows'!$N$2:$N$201,"&lt;&gt;")=4),SUMIFS('Trial Rows'!$N$2:$N$201,'Trial Rows'!$B$2:$B$201,'Trial Rows'!B191,'Trial Rows'!$C$2:$C$201,'Trial Rows'!C191,'Trial Rows'!$F$2:$F$201,'Trial Rows'!F191,'Trial Rows'!$G$2:$G$201,'Trial Rows'!G191,'Trial Rows'!$Y$2:$Y$201,'Trial Rows'!Y191,'Trial Rows'!$I$2:$I$201,1)+4-SUMIFS('Trial Rows'!$N$2:$N$201,'Trial Rows'!$B$2:$B$201,'Trial Rows'!B191,'Trial Rows'!$C$2:$C$201,'Trial Rows'!C191,'Trial Rows'!$F$2:$F$201,'Trial Rows'!F191,'Trial Rows'!$G$2:$G$201,'Trial Rows'!G191,'Trial Rows'!$Y$2:$Y$201,'Trial Rows'!Y191,'Trial Rows'!$I$2:$I$201,2)+4-SUMIFS('Trial Rows'!$N$2:$N$201,'Trial Rows'!$B$2:$B$201,'Trial Rows'!B191,'Trial Rows'!$C$2:$C$201,'Trial Rows'!C191,'Trial Rows'!$F$2:$F$201,'Trial Rows'!F191,'Trial Rows'!$G$2:$G$201,'Trial Rows'!G191,'Trial Rows'!$Y$2:$Y$201,'Trial Rows'!Y191,'Trial Rows'!$I$2:$I$201,3)+SUMIFS('Trial Rows'!$N$2:$N$201,'Trial Rows'!$B$2:$B$201,'Trial Rows'!B191,'Trial Rows'!$C$2:$C$201,'Trial Rows'!C191,'Trial Rows'!$F$2:$F$201,'Trial Rows'!F191,'Trial Rows'!$G$2:$G$201,'Trial Rows'!G191,'Trial Rows'!$Y$2:$Y$201,'Trial Rows'!Y191,'Trial Rows'!$I$2:$I$201,4),"")</x:f>
      </x:c>
      <x:c r="S191" s="2" t="n">
        <x:f>IF(AND(B191=1,COUNTIFS('Trial Rows'!$C$2:C191,'Trial Rows'!C191,'Trial Rows'!$F$2:F191,Summary!$B$5,'Trial Rows'!$Y$2:Y191,Summary!$B$4)=1),1,0)</x:f>
        <x:v>0</x:v>
      </x:c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 t="str">
        <x:f>IF('Trial Rows'!A192="","",'Trial Rows'!F192&amp;"|"&amp;'Trial Rows'!B192&amp;"|"&amp;'Trial Rows'!C192&amp;"|"&amp;'Trial Rows'!I192)</x:f>
      </x:c>
      <x:c r="B192" s="2" t="n">
        <x:f>IF(AND('Trial Rows'!A192&lt;&gt;"",'Trial Rows'!Y192=Summary!$B$4,'Trial Rows'!F192=Summary!$B$5),1,0)</x:f>
        <x:v>0</x:v>
      </x:c>
      <x:c r="C192" s="2" t="n">
        <x:f>IF(B192=1,COUNTIFS('Trial Rows'!$B$2:$B$201,'Trial Rows'!B192,'Trial Rows'!$C$2:$C$201,'Trial Rows'!C192,'Trial Rows'!$F$2:$F$201,'Trial Rows'!F192,'Trial Rows'!$I$2:$I$201,'Trial Rows'!I192,'Trial Rows'!$Y$2:$Y$201,'Trial Rows'!Y192,'Trial Rows'!$G$2:$G$201,"A"),0)</x:f>
        <x:v>0</x:v>
      </x:c>
      <x:c r="D192" s="2" t="n">
        <x:f>IF(B192=1,COUNTIFS('Trial Rows'!$B$2:$B$201,'Trial Rows'!B192,'Trial Rows'!$C$2:$C$201,'Trial Rows'!C192,'Trial Rows'!$F$2:$F$201,'Trial Rows'!F192,'Trial Rows'!$I$2:$I$201,'Trial Rows'!I192,'Trial Rows'!$Y$2:$Y$201,'Trial Rows'!Y192,'Trial Rows'!$G$2:$G$201,"B"),0)</x:f>
        <x:v>0</x:v>
      </x:c>
      <x:c r="E192" s="2" t="str">
        <x:f>IF(AND(C192=1,COUNTIFS('Trial Rows'!$B$2:$B$201,'Trial Rows'!B192,'Trial Rows'!$C$2:$C$201,'Trial Rows'!C192,'Trial Rows'!$F$2:$F$201,'Trial Rows'!F192,'Trial Rows'!$I$2:$I$201,'Trial Rows'!I192,'Trial Rows'!$Y$2:$Y$201,'Trial Rows'!Y192,'Trial Rows'!$G$2:$G$201,"A",'Trial Rows'!$K$2:$K$201,"&gt;=0",'Trial Rows'!$K$2:$K$201,"&lt;=4",'Trial Rows'!$K$2:$K$201,"&lt;&gt;")=1),SUMIFS('Trial Rows'!$K$2:$K$201,'Trial Rows'!$B$2:$B$201,'Trial Rows'!B192,'Trial Rows'!$C$2:$C$201,'Trial Rows'!C192,'Trial Rows'!$F$2:$F$201,'Trial Rows'!F192,'Trial Rows'!$I$2:$I$201,'Trial Rows'!I192,'Trial Rows'!$Y$2:$Y$201,'Trial Rows'!Y192,'Trial Rows'!$G$2:$G$201,"A"),"")</x:f>
      </x:c>
      <x:c r="F192" s="2" t="n">
        <x:f>IF(AND(B192=1,'Trial Rows'!G192="B",C192=1,D192=1,ISNUMBER(E192),ISNUMBER('Trial Rows'!M192),'Trial Rows'!M192&gt;=0,'Trial Rows'!M192&lt;=4,'Trial Rows'!Q192=0,'Trial Rows'!S192=0),1,0)</x:f>
        <x:v>0</x:v>
      </x:c>
      <x:c r="G192" s="2" t="n">
        <x:f>IF(F192=1,IF(E192='Trial Rows'!M192,1,0),0)</x:f>
        <x:v>0</x:v>
      </x:c>
      <x:c r="H192" s="2" t="n">
        <x:f>IF(AND(B192=1,'Trial Rows'!G192="B",C192=1,D192=1,ISNUMBER(E192),'Trial Rows'!R192=1,'Trial Rows'!Q192=0,'Trial Rows'!S192=0,ISNUMBER('Trial Rows'!L192),'Trial Rows'!L192&gt;=0,'Trial Rows'!L192&lt;=4),1,0)</x:f>
        <x:v>0</x:v>
      </x:c>
      <x:c r="I192" s="2" t="n">
        <x:f>IF(H192=1,IF(E192='Trial Rows'!L192,1,0),0)</x:f>
        <x:v>0</x:v>
      </x:c>
      <x:c r="J192" s="2" t="n">
        <x:f>IF(AND(B192=1,'Trial Rows'!G192="B",'Trial Rows'!P192&gt;0),1,0)</x:f>
        <x:v>0</x:v>
      </x:c>
      <x:c r="K192" s="2" t="n">
        <x:f>IF(AND(B192=1,'Trial Rows'!G192="B",'Trial Rows'!Q192=1),1,0)</x:f>
        <x:v>0</x:v>
      </x:c>
      <x:c r="L192" s="2" t="n">
        <x:f>IF(AND(B192=1,'Trial Rows'!G192="B",'Trial Rows'!R192=1,'Trial Rows'!Q192=0,'Trial Rows'!S192=0),1,0)</x:f>
        <x:v>0</x:v>
      </x:c>
      <x:c r="M192" s="2" t="n">
        <x:f>IF(AND(B192=1,'Trial Rows'!G192="B"),1,0)</x:f>
        <x:v>0</x:v>
      </x:c>
      <x:c r="N192" s="2" t="n">
        <x:f>IF(AND(B192=1,'Trial Rows'!I192=1,COUNTIFS('Trial Rows'!$B$2:$B$201,'Trial Rows'!B192,'Trial Rows'!$C$2:$C$201,'Trial Rows'!C192,'Trial Rows'!$F$2:$F$201,'Trial Rows'!F192,'Trial Rows'!$G$2:$G$201,'Trial Rows'!G192,'Trial Rows'!$Y$2:$Y$201,'Trial Rows'!Y192)=4,COUNTIFS('Trial Rows'!$B$2:$B$201,'Trial Rows'!B192,'Trial Rows'!$C$2:$C$201,'Trial Rows'!C192,'Trial Rows'!$F$2:$F$201,'Trial Rows'!F192,'Trial Rows'!$G$2:$G$201,'Trial Rows'!G192,'Trial Rows'!$Y$2:$Y$201,'Trial Rows'!Y192,'Trial Rows'!$I$2:$I$201,1)=1,COUNTIFS('Trial Rows'!$B$2:$B$201,'Trial Rows'!B192,'Trial Rows'!$C$2:$C$201,'Trial Rows'!C192,'Trial Rows'!$F$2:$F$201,'Trial Rows'!F192,'Trial Rows'!$G$2:$G$201,'Trial Rows'!G192,'Trial Rows'!$Y$2:$Y$201,'Trial Rows'!Y192,'Trial Rows'!$I$2:$I$201,2)=1,COUNTIFS('Trial Rows'!$B$2:$B$201,'Trial Rows'!B192,'Trial Rows'!$C$2:$C$201,'Trial Rows'!C192,'Trial Rows'!$F$2:$F$201,'Trial Rows'!F192,'Trial Rows'!$G$2:$G$201,'Trial Rows'!G192,'Trial Rows'!$Y$2:$Y$201,'Trial Rows'!Y192,'Trial Rows'!$I$2:$I$201,3)=1,COUNTIFS('Trial Rows'!$B$2:$B$201,'Trial Rows'!B192,'Trial Rows'!$C$2:$C$201,'Trial Rows'!C192,'Trial Rows'!$F$2:$F$201,'Trial Rows'!F192,'Trial Rows'!$G$2:$G$201,'Trial Rows'!G192,'Trial Rows'!$Y$2:$Y$201,'Trial Rows'!Y192,'Trial Rows'!$I$2:$I$201,4)=1,COUNTIFS('Trial Rows'!$B$2:$B$201,'Trial Rows'!B192,'Trial Rows'!$C$2:$C$201,'Trial Rows'!C192,'Trial Rows'!$F$2:$F$201,'Trial Rows'!F192,'Trial Rows'!$G$2:$G$201,'Trial Rows'!G192,'Trial Rows'!$Y$2:$Y$201,'Trial Rows'!Y192,'Trial Rows'!$W$2:$W$201,"&lt;&gt;")=4,ISNUMBER('Trial Rows'!U192),COUNTIFS('Trial Rows'!$B$2:$B$201,'Trial Rows'!B192,'Trial Rows'!$C$2:$C$201,'Trial Rows'!C192,'Trial Rows'!$F$2:$F$201,'Trial Rows'!F192,'Trial Rows'!$G$2:$G$201,'Trial Rows'!G192,'Trial Rows'!$Y$2:$Y$201,'Trial Rows'!Y192,'Trial Rows'!$U$2:$U$201,'Trial Rows'!U192)=4,'Trial Rows'!U192&gt;=0),1,0)</x:f>
        <x:v>0</x:v>
      </x:c>
      <x:c r="O192" s="2" t="str">
        <x:f>IF(N192=1,'Trial Rows'!U192/1000,"")</x:f>
      </x:c>
      <x:c r="P192" s="2" t="str">
        <x:f>IF(AND(N192=1,'Trial Rows'!G192="A"),O192,"")</x:f>
      </x:c>
      <x:c r="Q192" s="2" t="str">
        <x:f>IF(AND(N192=1,'Trial Rows'!G192="B"),O192,"")</x:f>
      </x:c>
      <x:c r="R192" s="2" t="str">
        <x:f>IF(AND(N192=1,COUNTIFS('Trial Rows'!$B$2:$B$201,'Trial Rows'!B192,'Trial Rows'!$C$2:$C$201,'Trial Rows'!C192,'Trial Rows'!$F$2:$F$201,'Trial Rows'!F192,'Trial Rows'!$G$2:$G$201,'Trial Rows'!G192,'Trial Rows'!$Y$2:$Y$201,'Trial Rows'!Y192,'Trial Rows'!$N$2:$N$201,"&gt;=0",'Trial Rows'!$N$2:$N$201,"&lt;=4",'Trial Rows'!$N$2:$N$201,"&lt;&gt;")=4),SUMIFS('Trial Rows'!$N$2:$N$201,'Trial Rows'!$B$2:$B$201,'Trial Rows'!B192,'Trial Rows'!$C$2:$C$201,'Trial Rows'!C192,'Trial Rows'!$F$2:$F$201,'Trial Rows'!F192,'Trial Rows'!$G$2:$G$201,'Trial Rows'!G192,'Trial Rows'!$Y$2:$Y$201,'Trial Rows'!Y192,'Trial Rows'!$I$2:$I$201,1)+4-SUMIFS('Trial Rows'!$N$2:$N$201,'Trial Rows'!$B$2:$B$201,'Trial Rows'!B192,'Trial Rows'!$C$2:$C$201,'Trial Rows'!C192,'Trial Rows'!$F$2:$F$201,'Trial Rows'!F192,'Trial Rows'!$G$2:$G$201,'Trial Rows'!G192,'Trial Rows'!$Y$2:$Y$201,'Trial Rows'!Y192,'Trial Rows'!$I$2:$I$201,2)+4-SUMIFS('Trial Rows'!$N$2:$N$201,'Trial Rows'!$B$2:$B$201,'Trial Rows'!B192,'Trial Rows'!$C$2:$C$201,'Trial Rows'!C192,'Trial Rows'!$F$2:$F$201,'Trial Rows'!F192,'Trial Rows'!$G$2:$G$201,'Trial Rows'!G192,'Trial Rows'!$Y$2:$Y$201,'Trial Rows'!Y192,'Trial Rows'!$I$2:$I$201,3)+SUMIFS('Trial Rows'!$N$2:$N$201,'Trial Rows'!$B$2:$B$201,'Trial Rows'!B192,'Trial Rows'!$C$2:$C$201,'Trial Rows'!C192,'Trial Rows'!$F$2:$F$201,'Trial Rows'!F192,'Trial Rows'!$G$2:$G$201,'Trial Rows'!G192,'Trial Rows'!$Y$2:$Y$201,'Trial Rows'!Y192,'Trial Rows'!$I$2:$I$201,4),"")</x:f>
      </x:c>
      <x:c r="S192" s="2" t="n">
        <x:f>IF(AND(B192=1,COUNTIFS('Trial Rows'!$C$2:C192,'Trial Rows'!C192,'Trial Rows'!$F$2:F192,Summary!$B$5,'Trial Rows'!$Y$2:Y192,Summary!$B$4)=1),1,0)</x:f>
        <x:v>0</x:v>
      </x:c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 t="str">
        <x:f>IF('Trial Rows'!A193="","",'Trial Rows'!F193&amp;"|"&amp;'Trial Rows'!B193&amp;"|"&amp;'Trial Rows'!C193&amp;"|"&amp;'Trial Rows'!I193)</x:f>
      </x:c>
      <x:c r="B193" s="2" t="n">
        <x:f>IF(AND('Trial Rows'!A193&lt;&gt;"",'Trial Rows'!Y193=Summary!$B$4,'Trial Rows'!F193=Summary!$B$5),1,0)</x:f>
        <x:v>0</x:v>
      </x:c>
      <x:c r="C193" s="2" t="n">
        <x:f>IF(B193=1,COUNTIFS('Trial Rows'!$B$2:$B$201,'Trial Rows'!B193,'Trial Rows'!$C$2:$C$201,'Trial Rows'!C193,'Trial Rows'!$F$2:$F$201,'Trial Rows'!F193,'Trial Rows'!$I$2:$I$201,'Trial Rows'!I193,'Trial Rows'!$Y$2:$Y$201,'Trial Rows'!Y193,'Trial Rows'!$G$2:$G$201,"A"),0)</x:f>
        <x:v>0</x:v>
      </x:c>
      <x:c r="D193" s="2" t="n">
        <x:f>IF(B193=1,COUNTIFS('Trial Rows'!$B$2:$B$201,'Trial Rows'!B193,'Trial Rows'!$C$2:$C$201,'Trial Rows'!C193,'Trial Rows'!$F$2:$F$201,'Trial Rows'!F193,'Trial Rows'!$I$2:$I$201,'Trial Rows'!I193,'Trial Rows'!$Y$2:$Y$201,'Trial Rows'!Y193,'Trial Rows'!$G$2:$G$201,"B"),0)</x:f>
        <x:v>0</x:v>
      </x:c>
      <x:c r="E193" s="2" t="str">
        <x:f>IF(AND(C193=1,COUNTIFS('Trial Rows'!$B$2:$B$201,'Trial Rows'!B193,'Trial Rows'!$C$2:$C$201,'Trial Rows'!C193,'Trial Rows'!$F$2:$F$201,'Trial Rows'!F193,'Trial Rows'!$I$2:$I$201,'Trial Rows'!I193,'Trial Rows'!$Y$2:$Y$201,'Trial Rows'!Y193,'Trial Rows'!$G$2:$G$201,"A",'Trial Rows'!$K$2:$K$201,"&gt;=0",'Trial Rows'!$K$2:$K$201,"&lt;=4",'Trial Rows'!$K$2:$K$201,"&lt;&gt;")=1),SUMIFS('Trial Rows'!$K$2:$K$201,'Trial Rows'!$B$2:$B$201,'Trial Rows'!B193,'Trial Rows'!$C$2:$C$201,'Trial Rows'!C193,'Trial Rows'!$F$2:$F$201,'Trial Rows'!F193,'Trial Rows'!$I$2:$I$201,'Trial Rows'!I193,'Trial Rows'!$Y$2:$Y$201,'Trial Rows'!Y193,'Trial Rows'!$G$2:$G$201,"A"),"")</x:f>
      </x:c>
      <x:c r="F193" s="2" t="n">
        <x:f>IF(AND(B193=1,'Trial Rows'!G193="B",C193=1,D193=1,ISNUMBER(E193),ISNUMBER('Trial Rows'!M193),'Trial Rows'!M193&gt;=0,'Trial Rows'!M193&lt;=4,'Trial Rows'!Q193=0,'Trial Rows'!S193=0),1,0)</x:f>
        <x:v>0</x:v>
      </x:c>
      <x:c r="G193" s="2" t="n">
        <x:f>IF(F193=1,IF(E193='Trial Rows'!M193,1,0),0)</x:f>
        <x:v>0</x:v>
      </x:c>
      <x:c r="H193" s="2" t="n">
        <x:f>IF(AND(B193=1,'Trial Rows'!G193="B",C193=1,D193=1,ISNUMBER(E193),'Trial Rows'!R193=1,'Trial Rows'!Q193=0,'Trial Rows'!S193=0,ISNUMBER('Trial Rows'!L193),'Trial Rows'!L193&gt;=0,'Trial Rows'!L193&lt;=4),1,0)</x:f>
        <x:v>0</x:v>
      </x:c>
      <x:c r="I193" s="2" t="n">
        <x:f>IF(H193=1,IF(E193='Trial Rows'!L193,1,0),0)</x:f>
        <x:v>0</x:v>
      </x:c>
      <x:c r="J193" s="2" t="n">
        <x:f>IF(AND(B193=1,'Trial Rows'!G193="B",'Trial Rows'!P193&gt;0),1,0)</x:f>
        <x:v>0</x:v>
      </x:c>
      <x:c r="K193" s="2" t="n">
        <x:f>IF(AND(B193=1,'Trial Rows'!G193="B",'Trial Rows'!Q193=1),1,0)</x:f>
        <x:v>0</x:v>
      </x:c>
      <x:c r="L193" s="2" t="n">
        <x:f>IF(AND(B193=1,'Trial Rows'!G193="B",'Trial Rows'!R193=1,'Trial Rows'!Q193=0,'Trial Rows'!S193=0),1,0)</x:f>
        <x:v>0</x:v>
      </x:c>
      <x:c r="M193" s="2" t="n">
        <x:f>IF(AND(B193=1,'Trial Rows'!G193="B"),1,0)</x:f>
        <x:v>0</x:v>
      </x:c>
      <x:c r="N193" s="2" t="n">
        <x:f>IF(AND(B193=1,'Trial Rows'!I193=1,COUNTIFS('Trial Rows'!$B$2:$B$201,'Trial Rows'!B193,'Trial Rows'!$C$2:$C$201,'Trial Rows'!C193,'Trial Rows'!$F$2:$F$201,'Trial Rows'!F193,'Trial Rows'!$G$2:$G$201,'Trial Rows'!G193,'Trial Rows'!$Y$2:$Y$201,'Trial Rows'!Y193)=4,COUNTIFS('Trial Rows'!$B$2:$B$201,'Trial Rows'!B193,'Trial Rows'!$C$2:$C$201,'Trial Rows'!C193,'Trial Rows'!$F$2:$F$201,'Trial Rows'!F193,'Trial Rows'!$G$2:$G$201,'Trial Rows'!G193,'Trial Rows'!$Y$2:$Y$201,'Trial Rows'!Y193,'Trial Rows'!$I$2:$I$201,1)=1,COUNTIFS('Trial Rows'!$B$2:$B$201,'Trial Rows'!B193,'Trial Rows'!$C$2:$C$201,'Trial Rows'!C193,'Trial Rows'!$F$2:$F$201,'Trial Rows'!F193,'Trial Rows'!$G$2:$G$201,'Trial Rows'!G193,'Trial Rows'!$Y$2:$Y$201,'Trial Rows'!Y193,'Trial Rows'!$I$2:$I$201,2)=1,COUNTIFS('Trial Rows'!$B$2:$B$201,'Trial Rows'!B193,'Trial Rows'!$C$2:$C$201,'Trial Rows'!C193,'Trial Rows'!$F$2:$F$201,'Trial Rows'!F193,'Trial Rows'!$G$2:$G$201,'Trial Rows'!G193,'Trial Rows'!$Y$2:$Y$201,'Trial Rows'!Y193,'Trial Rows'!$I$2:$I$201,3)=1,COUNTIFS('Trial Rows'!$B$2:$B$201,'Trial Rows'!B193,'Trial Rows'!$C$2:$C$201,'Trial Rows'!C193,'Trial Rows'!$F$2:$F$201,'Trial Rows'!F193,'Trial Rows'!$G$2:$G$201,'Trial Rows'!G193,'Trial Rows'!$Y$2:$Y$201,'Trial Rows'!Y193,'Trial Rows'!$I$2:$I$201,4)=1,COUNTIFS('Trial Rows'!$B$2:$B$201,'Trial Rows'!B193,'Trial Rows'!$C$2:$C$201,'Trial Rows'!C193,'Trial Rows'!$F$2:$F$201,'Trial Rows'!F193,'Trial Rows'!$G$2:$G$201,'Trial Rows'!G193,'Trial Rows'!$Y$2:$Y$201,'Trial Rows'!Y193,'Trial Rows'!$W$2:$W$201,"&lt;&gt;")=4,ISNUMBER('Trial Rows'!U193),COUNTIFS('Trial Rows'!$B$2:$B$201,'Trial Rows'!B193,'Trial Rows'!$C$2:$C$201,'Trial Rows'!C193,'Trial Rows'!$F$2:$F$201,'Trial Rows'!F193,'Trial Rows'!$G$2:$G$201,'Trial Rows'!G193,'Trial Rows'!$Y$2:$Y$201,'Trial Rows'!Y193,'Trial Rows'!$U$2:$U$201,'Trial Rows'!U193)=4,'Trial Rows'!U193&gt;=0),1,0)</x:f>
        <x:v>0</x:v>
      </x:c>
      <x:c r="O193" s="2" t="str">
        <x:f>IF(N193=1,'Trial Rows'!U193/1000,"")</x:f>
      </x:c>
      <x:c r="P193" s="2" t="str">
        <x:f>IF(AND(N193=1,'Trial Rows'!G193="A"),O193,"")</x:f>
      </x:c>
      <x:c r="Q193" s="2" t="str">
        <x:f>IF(AND(N193=1,'Trial Rows'!G193="B"),O193,"")</x:f>
      </x:c>
      <x:c r="R193" s="2" t="str">
        <x:f>IF(AND(N193=1,COUNTIFS('Trial Rows'!$B$2:$B$201,'Trial Rows'!B193,'Trial Rows'!$C$2:$C$201,'Trial Rows'!C193,'Trial Rows'!$F$2:$F$201,'Trial Rows'!F193,'Trial Rows'!$G$2:$G$201,'Trial Rows'!G193,'Trial Rows'!$Y$2:$Y$201,'Trial Rows'!Y193,'Trial Rows'!$N$2:$N$201,"&gt;=0",'Trial Rows'!$N$2:$N$201,"&lt;=4",'Trial Rows'!$N$2:$N$201,"&lt;&gt;")=4),SUMIFS('Trial Rows'!$N$2:$N$201,'Trial Rows'!$B$2:$B$201,'Trial Rows'!B193,'Trial Rows'!$C$2:$C$201,'Trial Rows'!C193,'Trial Rows'!$F$2:$F$201,'Trial Rows'!F193,'Trial Rows'!$G$2:$G$201,'Trial Rows'!G193,'Trial Rows'!$Y$2:$Y$201,'Trial Rows'!Y193,'Trial Rows'!$I$2:$I$201,1)+4-SUMIFS('Trial Rows'!$N$2:$N$201,'Trial Rows'!$B$2:$B$201,'Trial Rows'!B193,'Trial Rows'!$C$2:$C$201,'Trial Rows'!C193,'Trial Rows'!$F$2:$F$201,'Trial Rows'!F193,'Trial Rows'!$G$2:$G$201,'Trial Rows'!G193,'Trial Rows'!$Y$2:$Y$201,'Trial Rows'!Y193,'Trial Rows'!$I$2:$I$201,2)+4-SUMIFS('Trial Rows'!$N$2:$N$201,'Trial Rows'!$B$2:$B$201,'Trial Rows'!B193,'Trial Rows'!$C$2:$C$201,'Trial Rows'!C193,'Trial Rows'!$F$2:$F$201,'Trial Rows'!F193,'Trial Rows'!$G$2:$G$201,'Trial Rows'!G193,'Trial Rows'!$Y$2:$Y$201,'Trial Rows'!Y193,'Trial Rows'!$I$2:$I$201,3)+SUMIFS('Trial Rows'!$N$2:$N$201,'Trial Rows'!$B$2:$B$201,'Trial Rows'!B193,'Trial Rows'!$C$2:$C$201,'Trial Rows'!C193,'Trial Rows'!$F$2:$F$201,'Trial Rows'!F193,'Trial Rows'!$G$2:$G$201,'Trial Rows'!G193,'Trial Rows'!$Y$2:$Y$201,'Trial Rows'!Y193,'Trial Rows'!$I$2:$I$201,4),"")</x:f>
      </x:c>
      <x:c r="S193" s="2" t="n">
        <x:f>IF(AND(B193=1,COUNTIFS('Trial Rows'!$C$2:C193,'Trial Rows'!C193,'Trial Rows'!$F$2:F193,Summary!$B$5,'Trial Rows'!$Y$2:Y193,Summary!$B$4)=1),1,0)</x:f>
        <x:v>0</x:v>
      </x:c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 t="str">
        <x:f>IF('Trial Rows'!A194="","",'Trial Rows'!F194&amp;"|"&amp;'Trial Rows'!B194&amp;"|"&amp;'Trial Rows'!C194&amp;"|"&amp;'Trial Rows'!I194)</x:f>
      </x:c>
      <x:c r="B194" s="2" t="n">
        <x:f>IF(AND('Trial Rows'!A194&lt;&gt;"",'Trial Rows'!Y194=Summary!$B$4,'Trial Rows'!F194=Summary!$B$5),1,0)</x:f>
        <x:v>0</x:v>
      </x:c>
      <x:c r="C194" s="2" t="n">
        <x:f>IF(B194=1,COUNTIFS('Trial Rows'!$B$2:$B$201,'Trial Rows'!B194,'Trial Rows'!$C$2:$C$201,'Trial Rows'!C194,'Trial Rows'!$F$2:$F$201,'Trial Rows'!F194,'Trial Rows'!$I$2:$I$201,'Trial Rows'!I194,'Trial Rows'!$Y$2:$Y$201,'Trial Rows'!Y194,'Trial Rows'!$G$2:$G$201,"A"),0)</x:f>
        <x:v>0</x:v>
      </x:c>
      <x:c r="D194" s="2" t="n">
        <x:f>IF(B194=1,COUNTIFS('Trial Rows'!$B$2:$B$201,'Trial Rows'!B194,'Trial Rows'!$C$2:$C$201,'Trial Rows'!C194,'Trial Rows'!$F$2:$F$201,'Trial Rows'!F194,'Trial Rows'!$I$2:$I$201,'Trial Rows'!I194,'Trial Rows'!$Y$2:$Y$201,'Trial Rows'!Y194,'Trial Rows'!$G$2:$G$201,"B"),0)</x:f>
        <x:v>0</x:v>
      </x:c>
      <x:c r="E194" s="2" t="str">
        <x:f>IF(AND(C194=1,COUNTIFS('Trial Rows'!$B$2:$B$201,'Trial Rows'!B194,'Trial Rows'!$C$2:$C$201,'Trial Rows'!C194,'Trial Rows'!$F$2:$F$201,'Trial Rows'!F194,'Trial Rows'!$I$2:$I$201,'Trial Rows'!I194,'Trial Rows'!$Y$2:$Y$201,'Trial Rows'!Y194,'Trial Rows'!$G$2:$G$201,"A",'Trial Rows'!$K$2:$K$201,"&gt;=0",'Trial Rows'!$K$2:$K$201,"&lt;=4",'Trial Rows'!$K$2:$K$201,"&lt;&gt;")=1),SUMIFS('Trial Rows'!$K$2:$K$201,'Trial Rows'!$B$2:$B$201,'Trial Rows'!B194,'Trial Rows'!$C$2:$C$201,'Trial Rows'!C194,'Trial Rows'!$F$2:$F$201,'Trial Rows'!F194,'Trial Rows'!$I$2:$I$201,'Trial Rows'!I194,'Trial Rows'!$Y$2:$Y$201,'Trial Rows'!Y194,'Trial Rows'!$G$2:$G$201,"A"),"")</x:f>
      </x:c>
      <x:c r="F194" s="2" t="n">
        <x:f>IF(AND(B194=1,'Trial Rows'!G194="B",C194=1,D194=1,ISNUMBER(E194),ISNUMBER('Trial Rows'!M194),'Trial Rows'!M194&gt;=0,'Trial Rows'!M194&lt;=4,'Trial Rows'!Q194=0,'Trial Rows'!S194=0),1,0)</x:f>
        <x:v>0</x:v>
      </x:c>
      <x:c r="G194" s="2" t="n">
        <x:f>IF(F194=1,IF(E194='Trial Rows'!M194,1,0),0)</x:f>
        <x:v>0</x:v>
      </x:c>
      <x:c r="H194" s="2" t="n">
        <x:f>IF(AND(B194=1,'Trial Rows'!G194="B",C194=1,D194=1,ISNUMBER(E194),'Trial Rows'!R194=1,'Trial Rows'!Q194=0,'Trial Rows'!S194=0,ISNUMBER('Trial Rows'!L194),'Trial Rows'!L194&gt;=0,'Trial Rows'!L194&lt;=4),1,0)</x:f>
        <x:v>0</x:v>
      </x:c>
      <x:c r="I194" s="2" t="n">
        <x:f>IF(H194=1,IF(E194='Trial Rows'!L194,1,0),0)</x:f>
        <x:v>0</x:v>
      </x:c>
      <x:c r="J194" s="2" t="n">
        <x:f>IF(AND(B194=1,'Trial Rows'!G194="B",'Trial Rows'!P194&gt;0),1,0)</x:f>
        <x:v>0</x:v>
      </x:c>
      <x:c r="K194" s="2" t="n">
        <x:f>IF(AND(B194=1,'Trial Rows'!G194="B",'Trial Rows'!Q194=1),1,0)</x:f>
        <x:v>0</x:v>
      </x:c>
      <x:c r="L194" s="2" t="n">
        <x:f>IF(AND(B194=1,'Trial Rows'!G194="B",'Trial Rows'!R194=1,'Trial Rows'!Q194=0,'Trial Rows'!S194=0),1,0)</x:f>
        <x:v>0</x:v>
      </x:c>
      <x:c r="M194" s="2" t="n">
        <x:f>IF(AND(B194=1,'Trial Rows'!G194="B"),1,0)</x:f>
        <x:v>0</x:v>
      </x:c>
      <x:c r="N194" s="2" t="n">
        <x:f>IF(AND(B194=1,'Trial Rows'!I194=1,COUNTIFS('Trial Rows'!$B$2:$B$201,'Trial Rows'!B194,'Trial Rows'!$C$2:$C$201,'Trial Rows'!C194,'Trial Rows'!$F$2:$F$201,'Trial Rows'!F194,'Trial Rows'!$G$2:$G$201,'Trial Rows'!G194,'Trial Rows'!$Y$2:$Y$201,'Trial Rows'!Y194)=4,COUNTIFS('Trial Rows'!$B$2:$B$201,'Trial Rows'!B194,'Trial Rows'!$C$2:$C$201,'Trial Rows'!C194,'Trial Rows'!$F$2:$F$201,'Trial Rows'!F194,'Trial Rows'!$G$2:$G$201,'Trial Rows'!G194,'Trial Rows'!$Y$2:$Y$201,'Trial Rows'!Y194,'Trial Rows'!$I$2:$I$201,1)=1,COUNTIFS('Trial Rows'!$B$2:$B$201,'Trial Rows'!B194,'Trial Rows'!$C$2:$C$201,'Trial Rows'!C194,'Trial Rows'!$F$2:$F$201,'Trial Rows'!F194,'Trial Rows'!$G$2:$G$201,'Trial Rows'!G194,'Trial Rows'!$Y$2:$Y$201,'Trial Rows'!Y194,'Trial Rows'!$I$2:$I$201,2)=1,COUNTIFS('Trial Rows'!$B$2:$B$201,'Trial Rows'!B194,'Trial Rows'!$C$2:$C$201,'Trial Rows'!C194,'Trial Rows'!$F$2:$F$201,'Trial Rows'!F194,'Trial Rows'!$G$2:$G$201,'Trial Rows'!G194,'Trial Rows'!$Y$2:$Y$201,'Trial Rows'!Y194,'Trial Rows'!$I$2:$I$201,3)=1,COUNTIFS('Trial Rows'!$B$2:$B$201,'Trial Rows'!B194,'Trial Rows'!$C$2:$C$201,'Trial Rows'!C194,'Trial Rows'!$F$2:$F$201,'Trial Rows'!F194,'Trial Rows'!$G$2:$G$201,'Trial Rows'!G194,'Trial Rows'!$Y$2:$Y$201,'Trial Rows'!Y194,'Trial Rows'!$I$2:$I$201,4)=1,COUNTIFS('Trial Rows'!$B$2:$B$201,'Trial Rows'!B194,'Trial Rows'!$C$2:$C$201,'Trial Rows'!C194,'Trial Rows'!$F$2:$F$201,'Trial Rows'!F194,'Trial Rows'!$G$2:$G$201,'Trial Rows'!G194,'Trial Rows'!$Y$2:$Y$201,'Trial Rows'!Y194,'Trial Rows'!$W$2:$W$201,"&lt;&gt;")=4,ISNUMBER('Trial Rows'!U194),COUNTIFS('Trial Rows'!$B$2:$B$201,'Trial Rows'!B194,'Trial Rows'!$C$2:$C$201,'Trial Rows'!C194,'Trial Rows'!$F$2:$F$201,'Trial Rows'!F194,'Trial Rows'!$G$2:$G$201,'Trial Rows'!G194,'Trial Rows'!$Y$2:$Y$201,'Trial Rows'!Y194,'Trial Rows'!$U$2:$U$201,'Trial Rows'!U194)=4,'Trial Rows'!U194&gt;=0),1,0)</x:f>
        <x:v>0</x:v>
      </x:c>
      <x:c r="O194" s="2" t="str">
        <x:f>IF(N194=1,'Trial Rows'!U194/1000,"")</x:f>
      </x:c>
      <x:c r="P194" s="2" t="str">
        <x:f>IF(AND(N194=1,'Trial Rows'!G194="A"),O194,"")</x:f>
      </x:c>
      <x:c r="Q194" s="2" t="str">
        <x:f>IF(AND(N194=1,'Trial Rows'!G194="B"),O194,"")</x:f>
      </x:c>
      <x:c r="R194" s="2" t="str">
        <x:f>IF(AND(N194=1,COUNTIFS('Trial Rows'!$B$2:$B$201,'Trial Rows'!B194,'Trial Rows'!$C$2:$C$201,'Trial Rows'!C194,'Trial Rows'!$F$2:$F$201,'Trial Rows'!F194,'Trial Rows'!$G$2:$G$201,'Trial Rows'!G194,'Trial Rows'!$Y$2:$Y$201,'Trial Rows'!Y194,'Trial Rows'!$N$2:$N$201,"&gt;=0",'Trial Rows'!$N$2:$N$201,"&lt;=4",'Trial Rows'!$N$2:$N$201,"&lt;&gt;")=4),SUMIFS('Trial Rows'!$N$2:$N$201,'Trial Rows'!$B$2:$B$201,'Trial Rows'!B194,'Trial Rows'!$C$2:$C$201,'Trial Rows'!C194,'Trial Rows'!$F$2:$F$201,'Trial Rows'!F194,'Trial Rows'!$G$2:$G$201,'Trial Rows'!G194,'Trial Rows'!$Y$2:$Y$201,'Trial Rows'!Y194,'Trial Rows'!$I$2:$I$201,1)+4-SUMIFS('Trial Rows'!$N$2:$N$201,'Trial Rows'!$B$2:$B$201,'Trial Rows'!B194,'Trial Rows'!$C$2:$C$201,'Trial Rows'!C194,'Trial Rows'!$F$2:$F$201,'Trial Rows'!F194,'Trial Rows'!$G$2:$G$201,'Trial Rows'!G194,'Trial Rows'!$Y$2:$Y$201,'Trial Rows'!Y194,'Trial Rows'!$I$2:$I$201,2)+4-SUMIFS('Trial Rows'!$N$2:$N$201,'Trial Rows'!$B$2:$B$201,'Trial Rows'!B194,'Trial Rows'!$C$2:$C$201,'Trial Rows'!C194,'Trial Rows'!$F$2:$F$201,'Trial Rows'!F194,'Trial Rows'!$G$2:$G$201,'Trial Rows'!G194,'Trial Rows'!$Y$2:$Y$201,'Trial Rows'!Y194,'Trial Rows'!$I$2:$I$201,3)+SUMIFS('Trial Rows'!$N$2:$N$201,'Trial Rows'!$B$2:$B$201,'Trial Rows'!B194,'Trial Rows'!$C$2:$C$201,'Trial Rows'!C194,'Trial Rows'!$F$2:$F$201,'Trial Rows'!F194,'Trial Rows'!$G$2:$G$201,'Trial Rows'!G194,'Trial Rows'!$Y$2:$Y$201,'Trial Rows'!Y194,'Trial Rows'!$I$2:$I$201,4),"")</x:f>
      </x:c>
      <x:c r="S194" s="2" t="n">
        <x:f>IF(AND(B194=1,COUNTIFS('Trial Rows'!$C$2:C194,'Trial Rows'!C194,'Trial Rows'!$F$2:F194,Summary!$B$5,'Trial Rows'!$Y$2:Y194,Summary!$B$4)=1),1,0)</x:f>
        <x:v>0</x:v>
      </x:c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 t="str">
        <x:f>IF('Trial Rows'!A195="","",'Trial Rows'!F195&amp;"|"&amp;'Trial Rows'!B195&amp;"|"&amp;'Trial Rows'!C195&amp;"|"&amp;'Trial Rows'!I195)</x:f>
      </x:c>
      <x:c r="B195" s="2" t="n">
        <x:f>IF(AND('Trial Rows'!A195&lt;&gt;"",'Trial Rows'!Y195=Summary!$B$4,'Trial Rows'!F195=Summary!$B$5),1,0)</x:f>
        <x:v>0</x:v>
      </x:c>
      <x:c r="C195" s="2" t="n">
        <x:f>IF(B195=1,COUNTIFS('Trial Rows'!$B$2:$B$201,'Trial Rows'!B195,'Trial Rows'!$C$2:$C$201,'Trial Rows'!C195,'Trial Rows'!$F$2:$F$201,'Trial Rows'!F195,'Trial Rows'!$I$2:$I$201,'Trial Rows'!I195,'Trial Rows'!$Y$2:$Y$201,'Trial Rows'!Y195,'Trial Rows'!$G$2:$G$201,"A"),0)</x:f>
        <x:v>0</x:v>
      </x:c>
      <x:c r="D195" s="2" t="n">
        <x:f>IF(B195=1,COUNTIFS('Trial Rows'!$B$2:$B$201,'Trial Rows'!B195,'Trial Rows'!$C$2:$C$201,'Trial Rows'!C195,'Trial Rows'!$F$2:$F$201,'Trial Rows'!F195,'Trial Rows'!$I$2:$I$201,'Trial Rows'!I195,'Trial Rows'!$Y$2:$Y$201,'Trial Rows'!Y195,'Trial Rows'!$G$2:$G$201,"B"),0)</x:f>
        <x:v>0</x:v>
      </x:c>
      <x:c r="E195" s="2" t="str">
        <x:f>IF(AND(C195=1,COUNTIFS('Trial Rows'!$B$2:$B$201,'Trial Rows'!B195,'Trial Rows'!$C$2:$C$201,'Trial Rows'!C195,'Trial Rows'!$F$2:$F$201,'Trial Rows'!F195,'Trial Rows'!$I$2:$I$201,'Trial Rows'!I195,'Trial Rows'!$Y$2:$Y$201,'Trial Rows'!Y195,'Trial Rows'!$G$2:$G$201,"A",'Trial Rows'!$K$2:$K$201,"&gt;=0",'Trial Rows'!$K$2:$K$201,"&lt;=4",'Trial Rows'!$K$2:$K$201,"&lt;&gt;")=1),SUMIFS('Trial Rows'!$K$2:$K$201,'Trial Rows'!$B$2:$B$201,'Trial Rows'!B195,'Trial Rows'!$C$2:$C$201,'Trial Rows'!C195,'Trial Rows'!$F$2:$F$201,'Trial Rows'!F195,'Trial Rows'!$I$2:$I$201,'Trial Rows'!I195,'Trial Rows'!$Y$2:$Y$201,'Trial Rows'!Y195,'Trial Rows'!$G$2:$G$201,"A"),"")</x:f>
      </x:c>
      <x:c r="F195" s="2" t="n">
        <x:f>IF(AND(B195=1,'Trial Rows'!G195="B",C195=1,D195=1,ISNUMBER(E195),ISNUMBER('Trial Rows'!M195),'Trial Rows'!M195&gt;=0,'Trial Rows'!M195&lt;=4,'Trial Rows'!Q195=0,'Trial Rows'!S195=0),1,0)</x:f>
        <x:v>0</x:v>
      </x:c>
      <x:c r="G195" s="2" t="n">
        <x:f>IF(F195=1,IF(E195='Trial Rows'!M195,1,0),0)</x:f>
        <x:v>0</x:v>
      </x:c>
      <x:c r="H195" s="2" t="n">
        <x:f>IF(AND(B195=1,'Trial Rows'!G195="B",C195=1,D195=1,ISNUMBER(E195),'Trial Rows'!R195=1,'Trial Rows'!Q195=0,'Trial Rows'!S195=0,ISNUMBER('Trial Rows'!L195),'Trial Rows'!L195&gt;=0,'Trial Rows'!L195&lt;=4),1,0)</x:f>
        <x:v>0</x:v>
      </x:c>
      <x:c r="I195" s="2" t="n">
        <x:f>IF(H195=1,IF(E195='Trial Rows'!L195,1,0),0)</x:f>
        <x:v>0</x:v>
      </x:c>
      <x:c r="J195" s="2" t="n">
        <x:f>IF(AND(B195=1,'Trial Rows'!G195="B",'Trial Rows'!P195&gt;0),1,0)</x:f>
        <x:v>0</x:v>
      </x:c>
      <x:c r="K195" s="2" t="n">
        <x:f>IF(AND(B195=1,'Trial Rows'!G195="B",'Trial Rows'!Q195=1),1,0)</x:f>
        <x:v>0</x:v>
      </x:c>
      <x:c r="L195" s="2" t="n">
        <x:f>IF(AND(B195=1,'Trial Rows'!G195="B",'Trial Rows'!R195=1,'Trial Rows'!Q195=0,'Trial Rows'!S195=0),1,0)</x:f>
        <x:v>0</x:v>
      </x:c>
      <x:c r="M195" s="2" t="n">
        <x:f>IF(AND(B195=1,'Trial Rows'!G195="B"),1,0)</x:f>
        <x:v>0</x:v>
      </x:c>
      <x:c r="N195" s="2" t="n">
        <x:f>IF(AND(B195=1,'Trial Rows'!I195=1,COUNTIFS('Trial Rows'!$B$2:$B$201,'Trial Rows'!B195,'Trial Rows'!$C$2:$C$201,'Trial Rows'!C195,'Trial Rows'!$F$2:$F$201,'Trial Rows'!F195,'Trial Rows'!$G$2:$G$201,'Trial Rows'!G195,'Trial Rows'!$Y$2:$Y$201,'Trial Rows'!Y195)=4,COUNTIFS('Trial Rows'!$B$2:$B$201,'Trial Rows'!B195,'Trial Rows'!$C$2:$C$201,'Trial Rows'!C195,'Trial Rows'!$F$2:$F$201,'Trial Rows'!F195,'Trial Rows'!$G$2:$G$201,'Trial Rows'!G195,'Trial Rows'!$Y$2:$Y$201,'Trial Rows'!Y195,'Trial Rows'!$I$2:$I$201,1)=1,COUNTIFS('Trial Rows'!$B$2:$B$201,'Trial Rows'!B195,'Trial Rows'!$C$2:$C$201,'Trial Rows'!C195,'Trial Rows'!$F$2:$F$201,'Trial Rows'!F195,'Trial Rows'!$G$2:$G$201,'Trial Rows'!G195,'Trial Rows'!$Y$2:$Y$201,'Trial Rows'!Y195,'Trial Rows'!$I$2:$I$201,2)=1,COUNTIFS('Trial Rows'!$B$2:$B$201,'Trial Rows'!B195,'Trial Rows'!$C$2:$C$201,'Trial Rows'!C195,'Trial Rows'!$F$2:$F$201,'Trial Rows'!F195,'Trial Rows'!$G$2:$G$201,'Trial Rows'!G195,'Trial Rows'!$Y$2:$Y$201,'Trial Rows'!Y195,'Trial Rows'!$I$2:$I$201,3)=1,COUNTIFS('Trial Rows'!$B$2:$B$201,'Trial Rows'!B195,'Trial Rows'!$C$2:$C$201,'Trial Rows'!C195,'Trial Rows'!$F$2:$F$201,'Trial Rows'!F195,'Trial Rows'!$G$2:$G$201,'Trial Rows'!G195,'Trial Rows'!$Y$2:$Y$201,'Trial Rows'!Y195,'Trial Rows'!$I$2:$I$201,4)=1,COUNTIFS('Trial Rows'!$B$2:$B$201,'Trial Rows'!B195,'Trial Rows'!$C$2:$C$201,'Trial Rows'!C195,'Trial Rows'!$F$2:$F$201,'Trial Rows'!F195,'Trial Rows'!$G$2:$G$201,'Trial Rows'!G195,'Trial Rows'!$Y$2:$Y$201,'Trial Rows'!Y195,'Trial Rows'!$W$2:$W$201,"&lt;&gt;")=4,ISNUMBER('Trial Rows'!U195),COUNTIFS('Trial Rows'!$B$2:$B$201,'Trial Rows'!B195,'Trial Rows'!$C$2:$C$201,'Trial Rows'!C195,'Trial Rows'!$F$2:$F$201,'Trial Rows'!F195,'Trial Rows'!$G$2:$G$201,'Trial Rows'!G195,'Trial Rows'!$Y$2:$Y$201,'Trial Rows'!Y195,'Trial Rows'!$U$2:$U$201,'Trial Rows'!U195)=4,'Trial Rows'!U195&gt;=0),1,0)</x:f>
        <x:v>0</x:v>
      </x:c>
      <x:c r="O195" s="2" t="str">
        <x:f>IF(N195=1,'Trial Rows'!U195/1000,"")</x:f>
      </x:c>
      <x:c r="P195" s="2" t="str">
        <x:f>IF(AND(N195=1,'Trial Rows'!G195="A"),O195,"")</x:f>
      </x:c>
      <x:c r="Q195" s="2" t="str">
        <x:f>IF(AND(N195=1,'Trial Rows'!G195="B"),O195,"")</x:f>
      </x:c>
      <x:c r="R195" s="2" t="str">
        <x:f>IF(AND(N195=1,COUNTIFS('Trial Rows'!$B$2:$B$201,'Trial Rows'!B195,'Trial Rows'!$C$2:$C$201,'Trial Rows'!C195,'Trial Rows'!$F$2:$F$201,'Trial Rows'!F195,'Trial Rows'!$G$2:$G$201,'Trial Rows'!G195,'Trial Rows'!$Y$2:$Y$201,'Trial Rows'!Y195,'Trial Rows'!$N$2:$N$201,"&gt;=0",'Trial Rows'!$N$2:$N$201,"&lt;=4",'Trial Rows'!$N$2:$N$201,"&lt;&gt;")=4),SUMIFS('Trial Rows'!$N$2:$N$201,'Trial Rows'!$B$2:$B$201,'Trial Rows'!B195,'Trial Rows'!$C$2:$C$201,'Trial Rows'!C195,'Trial Rows'!$F$2:$F$201,'Trial Rows'!F195,'Trial Rows'!$G$2:$G$201,'Trial Rows'!G195,'Trial Rows'!$Y$2:$Y$201,'Trial Rows'!Y195,'Trial Rows'!$I$2:$I$201,1)+4-SUMIFS('Trial Rows'!$N$2:$N$201,'Trial Rows'!$B$2:$B$201,'Trial Rows'!B195,'Trial Rows'!$C$2:$C$201,'Trial Rows'!C195,'Trial Rows'!$F$2:$F$201,'Trial Rows'!F195,'Trial Rows'!$G$2:$G$201,'Trial Rows'!G195,'Trial Rows'!$Y$2:$Y$201,'Trial Rows'!Y195,'Trial Rows'!$I$2:$I$201,2)+4-SUMIFS('Trial Rows'!$N$2:$N$201,'Trial Rows'!$B$2:$B$201,'Trial Rows'!B195,'Trial Rows'!$C$2:$C$201,'Trial Rows'!C195,'Trial Rows'!$F$2:$F$201,'Trial Rows'!F195,'Trial Rows'!$G$2:$G$201,'Trial Rows'!G195,'Trial Rows'!$Y$2:$Y$201,'Trial Rows'!Y195,'Trial Rows'!$I$2:$I$201,3)+SUMIFS('Trial Rows'!$N$2:$N$201,'Trial Rows'!$B$2:$B$201,'Trial Rows'!B195,'Trial Rows'!$C$2:$C$201,'Trial Rows'!C195,'Trial Rows'!$F$2:$F$201,'Trial Rows'!F195,'Trial Rows'!$G$2:$G$201,'Trial Rows'!G195,'Trial Rows'!$Y$2:$Y$201,'Trial Rows'!Y195,'Trial Rows'!$I$2:$I$201,4),"")</x:f>
      </x:c>
      <x:c r="S195" s="2" t="n">
        <x:f>IF(AND(B195=1,COUNTIFS('Trial Rows'!$C$2:C195,'Trial Rows'!C195,'Trial Rows'!$F$2:F195,Summary!$B$5,'Trial Rows'!$Y$2:Y195,Summary!$B$4)=1),1,0)</x:f>
        <x:v>0</x:v>
      </x:c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 t="str">
        <x:f>IF('Trial Rows'!A196="","",'Trial Rows'!F196&amp;"|"&amp;'Trial Rows'!B196&amp;"|"&amp;'Trial Rows'!C196&amp;"|"&amp;'Trial Rows'!I196)</x:f>
      </x:c>
      <x:c r="B196" s="2" t="n">
        <x:f>IF(AND('Trial Rows'!A196&lt;&gt;"",'Trial Rows'!Y196=Summary!$B$4,'Trial Rows'!F196=Summary!$B$5),1,0)</x:f>
        <x:v>0</x:v>
      </x:c>
      <x:c r="C196" s="2" t="n">
        <x:f>IF(B196=1,COUNTIFS('Trial Rows'!$B$2:$B$201,'Trial Rows'!B196,'Trial Rows'!$C$2:$C$201,'Trial Rows'!C196,'Trial Rows'!$F$2:$F$201,'Trial Rows'!F196,'Trial Rows'!$I$2:$I$201,'Trial Rows'!I196,'Trial Rows'!$Y$2:$Y$201,'Trial Rows'!Y196,'Trial Rows'!$G$2:$G$201,"A"),0)</x:f>
        <x:v>0</x:v>
      </x:c>
      <x:c r="D196" s="2" t="n">
        <x:f>IF(B196=1,COUNTIFS('Trial Rows'!$B$2:$B$201,'Trial Rows'!B196,'Trial Rows'!$C$2:$C$201,'Trial Rows'!C196,'Trial Rows'!$F$2:$F$201,'Trial Rows'!F196,'Trial Rows'!$I$2:$I$201,'Trial Rows'!I196,'Trial Rows'!$Y$2:$Y$201,'Trial Rows'!Y196,'Trial Rows'!$G$2:$G$201,"B"),0)</x:f>
        <x:v>0</x:v>
      </x:c>
      <x:c r="E196" s="2" t="str">
        <x:f>IF(AND(C196=1,COUNTIFS('Trial Rows'!$B$2:$B$201,'Trial Rows'!B196,'Trial Rows'!$C$2:$C$201,'Trial Rows'!C196,'Trial Rows'!$F$2:$F$201,'Trial Rows'!F196,'Trial Rows'!$I$2:$I$201,'Trial Rows'!I196,'Trial Rows'!$Y$2:$Y$201,'Trial Rows'!Y196,'Trial Rows'!$G$2:$G$201,"A",'Trial Rows'!$K$2:$K$201,"&gt;=0",'Trial Rows'!$K$2:$K$201,"&lt;=4",'Trial Rows'!$K$2:$K$201,"&lt;&gt;")=1),SUMIFS('Trial Rows'!$K$2:$K$201,'Trial Rows'!$B$2:$B$201,'Trial Rows'!B196,'Trial Rows'!$C$2:$C$201,'Trial Rows'!C196,'Trial Rows'!$F$2:$F$201,'Trial Rows'!F196,'Trial Rows'!$I$2:$I$201,'Trial Rows'!I196,'Trial Rows'!$Y$2:$Y$201,'Trial Rows'!Y196,'Trial Rows'!$G$2:$G$201,"A"),"")</x:f>
      </x:c>
      <x:c r="F196" s="2" t="n">
        <x:f>IF(AND(B196=1,'Trial Rows'!G196="B",C196=1,D196=1,ISNUMBER(E196),ISNUMBER('Trial Rows'!M196),'Trial Rows'!M196&gt;=0,'Trial Rows'!M196&lt;=4,'Trial Rows'!Q196=0,'Trial Rows'!S196=0),1,0)</x:f>
        <x:v>0</x:v>
      </x:c>
      <x:c r="G196" s="2" t="n">
        <x:f>IF(F196=1,IF(E196='Trial Rows'!M196,1,0),0)</x:f>
        <x:v>0</x:v>
      </x:c>
      <x:c r="H196" s="2" t="n">
        <x:f>IF(AND(B196=1,'Trial Rows'!G196="B",C196=1,D196=1,ISNUMBER(E196),'Trial Rows'!R196=1,'Trial Rows'!Q196=0,'Trial Rows'!S196=0,ISNUMBER('Trial Rows'!L196),'Trial Rows'!L196&gt;=0,'Trial Rows'!L196&lt;=4),1,0)</x:f>
        <x:v>0</x:v>
      </x:c>
      <x:c r="I196" s="2" t="n">
        <x:f>IF(H196=1,IF(E196='Trial Rows'!L196,1,0),0)</x:f>
        <x:v>0</x:v>
      </x:c>
      <x:c r="J196" s="2" t="n">
        <x:f>IF(AND(B196=1,'Trial Rows'!G196="B",'Trial Rows'!P196&gt;0),1,0)</x:f>
        <x:v>0</x:v>
      </x:c>
      <x:c r="K196" s="2" t="n">
        <x:f>IF(AND(B196=1,'Trial Rows'!G196="B",'Trial Rows'!Q196=1),1,0)</x:f>
        <x:v>0</x:v>
      </x:c>
      <x:c r="L196" s="2" t="n">
        <x:f>IF(AND(B196=1,'Trial Rows'!G196="B",'Trial Rows'!R196=1,'Trial Rows'!Q196=0,'Trial Rows'!S196=0),1,0)</x:f>
        <x:v>0</x:v>
      </x:c>
      <x:c r="M196" s="2" t="n">
        <x:f>IF(AND(B196=1,'Trial Rows'!G196="B"),1,0)</x:f>
        <x:v>0</x:v>
      </x:c>
      <x:c r="N196" s="2" t="n">
        <x:f>IF(AND(B196=1,'Trial Rows'!I196=1,COUNTIFS('Trial Rows'!$B$2:$B$201,'Trial Rows'!B196,'Trial Rows'!$C$2:$C$201,'Trial Rows'!C196,'Trial Rows'!$F$2:$F$201,'Trial Rows'!F196,'Trial Rows'!$G$2:$G$201,'Trial Rows'!G196,'Trial Rows'!$Y$2:$Y$201,'Trial Rows'!Y196)=4,COUNTIFS('Trial Rows'!$B$2:$B$201,'Trial Rows'!B196,'Trial Rows'!$C$2:$C$201,'Trial Rows'!C196,'Trial Rows'!$F$2:$F$201,'Trial Rows'!F196,'Trial Rows'!$G$2:$G$201,'Trial Rows'!G196,'Trial Rows'!$Y$2:$Y$201,'Trial Rows'!Y196,'Trial Rows'!$I$2:$I$201,1)=1,COUNTIFS('Trial Rows'!$B$2:$B$201,'Trial Rows'!B196,'Trial Rows'!$C$2:$C$201,'Trial Rows'!C196,'Trial Rows'!$F$2:$F$201,'Trial Rows'!F196,'Trial Rows'!$G$2:$G$201,'Trial Rows'!G196,'Trial Rows'!$Y$2:$Y$201,'Trial Rows'!Y196,'Trial Rows'!$I$2:$I$201,2)=1,COUNTIFS('Trial Rows'!$B$2:$B$201,'Trial Rows'!B196,'Trial Rows'!$C$2:$C$201,'Trial Rows'!C196,'Trial Rows'!$F$2:$F$201,'Trial Rows'!F196,'Trial Rows'!$G$2:$G$201,'Trial Rows'!G196,'Trial Rows'!$Y$2:$Y$201,'Trial Rows'!Y196,'Trial Rows'!$I$2:$I$201,3)=1,COUNTIFS('Trial Rows'!$B$2:$B$201,'Trial Rows'!B196,'Trial Rows'!$C$2:$C$201,'Trial Rows'!C196,'Trial Rows'!$F$2:$F$201,'Trial Rows'!F196,'Trial Rows'!$G$2:$G$201,'Trial Rows'!G196,'Trial Rows'!$Y$2:$Y$201,'Trial Rows'!Y196,'Trial Rows'!$I$2:$I$201,4)=1,COUNTIFS('Trial Rows'!$B$2:$B$201,'Trial Rows'!B196,'Trial Rows'!$C$2:$C$201,'Trial Rows'!C196,'Trial Rows'!$F$2:$F$201,'Trial Rows'!F196,'Trial Rows'!$G$2:$G$201,'Trial Rows'!G196,'Trial Rows'!$Y$2:$Y$201,'Trial Rows'!Y196,'Trial Rows'!$W$2:$W$201,"&lt;&gt;")=4,ISNUMBER('Trial Rows'!U196),COUNTIFS('Trial Rows'!$B$2:$B$201,'Trial Rows'!B196,'Trial Rows'!$C$2:$C$201,'Trial Rows'!C196,'Trial Rows'!$F$2:$F$201,'Trial Rows'!F196,'Trial Rows'!$G$2:$G$201,'Trial Rows'!G196,'Trial Rows'!$Y$2:$Y$201,'Trial Rows'!Y196,'Trial Rows'!$U$2:$U$201,'Trial Rows'!U196)=4,'Trial Rows'!U196&gt;=0),1,0)</x:f>
        <x:v>0</x:v>
      </x:c>
      <x:c r="O196" s="2" t="str">
        <x:f>IF(N196=1,'Trial Rows'!U196/1000,"")</x:f>
      </x:c>
      <x:c r="P196" s="2" t="str">
        <x:f>IF(AND(N196=1,'Trial Rows'!G196="A"),O196,"")</x:f>
      </x:c>
      <x:c r="Q196" s="2" t="str">
        <x:f>IF(AND(N196=1,'Trial Rows'!G196="B"),O196,"")</x:f>
      </x:c>
      <x:c r="R196" s="2" t="str">
        <x:f>IF(AND(N196=1,COUNTIFS('Trial Rows'!$B$2:$B$201,'Trial Rows'!B196,'Trial Rows'!$C$2:$C$201,'Trial Rows'!C196,'Trial Rows'!$F$2:$F$201,'Trial Rows'!F196,'Trial Rows'!$G$2:$G$201,'Trial Rows'!G196,'Trial Rows'!$Y$2:$Y$201,'Trial Rows'!Y196,'Trial Rows'!$N$2:$N$201,"&gt;=0",'Trial Rows'!$N$2:$N$201,"&lt;=4",'Trial Rows'!$N$2:$N$201,"&lt;&gt;")=4),SUMIFS('Trial Rows'!$N$2:$N$201,'Trial Rows'!$B$2:$B$201,'Trial Rows'!B196,'Trial Rows'!$C$2:$C$201,'Trial Rows'!C196,'Trial Rows'!$F$2:$F$201,'Trial Rows'!F196,'Trial Rows'!$G$2:$G$201,'Trial Rows'!G196,'Trial Rows'!$Y$2:$Y$201,'Trial Rows'!Y196,'Trial Rows'!$I$2:$I$201,1)+4-SUMIFS('Trial Rows'!$N$2:$N$201,'Trial Rows'!$B$2:$B$201,'Trial Rows'!B196,'Trial Rows'!$C$2:$C$201,'Trial Rows'!C196,'Trial Rows'!$F$2:$F$201,'Trial Rows'!F196,'Trial Rows'!$G$2:$G$201,'Trial Rows'!G196,'Trial Rows'!$Y$2:$Y$201,'Trial Rows'!Y196,'Trial Rows'!$I$2:$I$201,2)+4-SUMIFS('Trial Rows'!$N$2:$N$201,'Trial Rows'!$B$2:$B$201,'Trial Rows'!B196,'Trial Rows'!$C$2:$C$201,'Trial Rows'!C196,'Trial Rows'!$F$2:$F$201,'Trial Rows'!F196,'Trial Rows'!$G$2:$G$201,'Trial Rows'!G196,'Trial Rows'!$Y$2:$Y$201,'Trial Rows'!Y196,'Trial Rows'!$I$2:$I$201,3)+SUMIFS('Trial Rows'!$N$2:$N$201,'Trial Rows'!$B$2:$B$201,'Trial Rows'!B196,'Trial Rows'!$C$2:$C$201,'Trial Rows'!C196,'Trial Rows'!$F$2:$F$201,'Trial Rows'!F196,'Trial Rows'!$G$2:$G$201,'Trial Rows'!G196,'Trial Rows'!$Y$2:$Y$201,'Trial Rows'!Y196,'Trial Rows'!$I$2:$I$201,4),"")</x:f>
      </x:c>
      <x:c r="S196" s="2" t="n">
        <x:f>IF(AND(B196=1,COUNTIFS('Trial Rows'!$C$2:C196,'Trial Rows'!C196,'Trial Rows'!$F$2:F196,Summary!$B$5,'Trial Rows'!$Y$2:Y196,Summary!$B$4)=1),1,0)</x:f>
        <x:v>0</x:v>
      </x:c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 t="str">
        <x:f>IF('Trial Rows'!A197="","",'Trial Rows'!F197&amp;"|"&amp;'Trial Rows'!B197&amp;"|"&amp;'Trial Rows'!C197&amp;"|"&amp;'Trial Rows'!I197)</x:f>
      </x:c>
      <x:c r="B197" s="2" t="n">
        <x:f>IF(AND('Trial Rows'!A197&lt;&gt;"",'Trial Rows'!Y197=Summary!$B$4,'Trial Rows'!F197=Summary!$B$5),1,0)</x:f>
        <x:v>0</x:v>
      </x:c>
      <x:c r="C197" s="2" t="n">
        <x:f>IF(B197=1,COUNTIFS('Trial Rows'!$B$2:$B$201,'Trial Rows'!B197,'Trial Rows'!$C$2:$C$201,'Trial Rows'!C197,'Trial Rows'!$F$2:$F$201,'Trial Rows'!F197,'Trial Rows'!$I$2:$I$201,'Trial Rows'!I197,'Trial Rows'!$Y$2:$Y$201,'Trial Rows'!Y197,'Trial Rows'!$G$2:$G$201,"A"),0)</x:f>
        <x:v>0</x:v>
      </x:c>
      <x:c r="D197" s="2" t="n">
        <x:f>IF(B197=1,COUNTIFS('Trial Rows'!$B$2:$B$201,'Trial Rows'!B197,'Trial Rows'!$C$2:$C$201,'Trial Rows'!C197,'Trial Rows'!$F$2:$F$201,'Trial Rows'!F197,'Trial Rows'!$I$2:$I$201,'Trial Rows'!I197,'Trial Rows'!$Y$2:$Y$201,'Trial Rows'!Y197,'Trial Rows'!$G$2:$G$201,"B"),0)</x:f>
        <x:v>0</x:v>
      </x:c>
      <x:c r="E197" s="2" t="str">
        <x:f>IF(AND(C197=1,COUNTIFS('Trial Rows'!$B$2:$B$201,'Trial Rows'!B197,'Trial Rows'!$C$2:$C$201,'Trial Rows'!C197,'Trial Rows'!$F$2:$F$201,'Trial Rows'!F197,'Trial Rows'!$I$2:$I$201,'Trial Rows'!I197,'Trial Rows'!$Y$2:$Y$201,'Trial Rows'!Y197,'Trial Rows'!$G$2:$G$201,"A",'Trial Rows'!$K$2:$K$201,"&gt;=0",'Trial Rows'!$K$2:$K$201,"&lt;=4",'Trial Rows'!$K$2:$K$201,"&lt;&gt;")=1),SUMIFS('Trial Rows'!$K$2:$K$201,'Trial Rows'!$B$2:$B$201,'Trial Rows'!B197,'Trial Rows'!$C$2:$C$201,'Trial Rows'!C197,'Trial Rows'!$F$2:$F$201,'Trial Rows'!F197,'Trial Rows'!$I$2:$I$201,'Trial Rows'!I197,'Trial Rows'!$Y$2:$Y$201,'Trial Rows'!Y197,'Trial Rows'!$G$2:$G$201,"A"),"")</x:f>
      </x:c>
      <x:c r="F197" s="2" t="n">
        <x:f>IF(AND(B197=1,'Trial Rows'!G197="B",C197=1,D197=1,ISNUMBER(E197),ISNUMBER('Trial Rows'!M197),'Trial Rows'!M197&gt;=0,'Trial Rows'!M197&lt;=4,'Trial Rows'!Q197=0,'Trial Rows'!S197=0),1,0)</x:f>
        <x:v>0</x:v>
      </x:c>
      <x:c r="G197" s="2" t="n">
        <x:f>IF(F197=1,IF(E197='Trial Rows'!M197,1,0),0)</x:f>
        <x:v>0</x:v>
      </x:c>
      <x:c r="H197" s="2" t="n">
        <x:f>IF(AND(B197=1,'Trial Rows'!G197="B",C197=1,D197=1,ISNUMBER(E197),'Trial Rows'!R197=1,'Trial Rows'!Q197=0,'Trial Rows'!S197=0,ISNUMBER('Trial Rows'!L197),'Trial Rows'!L197&gt;=0,'Trial Rows'!L197&lt;=4),1,0)</x:f>
        <x:v>0</x:v>
      </x:c>
      <x:c r="I197" s="2" t="n">
        <x:f>IF(H197=1,IF(E197='Trial Rows'!L197,1,0),0)</x:f>
        <x:v>0</x:v>
      </x:c>
      <x:c r="J197" s="2" t="n">
        <x:f>IF(AND(B197=1,'Trial Rows'!G197="B",'Trial Rows'!P197&gt;0),1,0)</x:f>
        <x:v>0</x:v>
      </x:c>
      <x:c r="K197" s="2" t="n">
        <x:f>IF(AND(B197=1,'Trial Rows'!G197="B",'Trial Rows'!Q197=1),1,0)</x:f>
        <x:v>0</x:v>
      </x:c>
      <x:c r="L197" s="2" t="n">
        <x:f>IF(AND(B197=1,'Trial Rows'!G197="B",'Trial Rows'!R197=1,'Trial Rows'!Q197=0,'Trial Rows'!S197=0),1,0)</x:f>
        <x:v>0</x:v>
      </x:c>
      <x:c r="M197" s="2" t="n">
        <x:f>IF(AND(B197=1,'Trial Rows'!G197="B"),1,0)</x:f>
        <x:v>0</x:v>
      </x:c>
      <x:c r="N197" s="2" t="n">
        <x:f>IF(AND(B197=1,'Trial Rows'!I197=1,COUNTIFS('Trial Rows'!$B$2:$B$201,'Trial Rows'!B197,'Trial Rows'!$C$2:$C$201,'Trial Rows'!C197,'Trial Rows'!$F$2:$F$201,'Trial Rows'!F197,'Trial Rows'!$G$2:$G$201,'Trial Rows'!G197,'Trial Rows'!$Y$2:$Y$201,'Trial Rows'!Y197)=4,COUNTIFS('Trial Rows'!$B$2:$B$201,'Trial Rows'!B197,'Trial Rows'!$C$2:$C$201,'Trial Rows'!C197,'Trial Rows'!$F$2:$F$201,'Trial Rows'!F197,'Trial Rows'!$G$2:$G$201,'Trial Rows'!G197,'Trial Rows'!$Y$2:$Y$201,'Trial Rows'!Y197,'Trial Rows'!$I$2:$I$201,1)=1,COUNTIFS('Trial Rows'!$B$2:$B$201,'Trial Rows'!B197,'Trial Rows'!$C$2:$C$201,'Trial Rows'!C197,'Trial Rows'!$F$2:$F$201,'Trial Rows'!F197,'Trial Rows'!$G$2:$G$201,'Trial Rows'!G197,'Trial Rows'!$Y$2:$Y$201,'Trial Rows'!Y197,'Trial Rows'!$I$2:$I$201,2)=1,COUNTIFS('Trial Rows'!$B$2:$B$201,'Trial Rows'!B197,'Trial Rows'!$C$2:$C$201,'Trial Rows'!C197,'Trial Rows'!$F$2:$F$201,'Trial Rows'!F197,'Trial Rows'!$G$2:$G$201,'Trial Rows'!G197,'Trial Rows'!$Y$2:$Y$201,'Trial Rows'!Y197,'Trial Rows'!$I$2:$I$201,3)=1,COUNTIFS('Trial Rows'!$B$2:$B$201,'Trial Rows'!B197,'Trial Rows'!$C$2:$C$201,'Trial Rows'!C197,'Trial Rows'!$F$2:$F$201,'Trial Rows'!F197,'Trial Rows'!$G$2:$G$201,'Trial Rows'!G197,'Trial Rows'!$Y$2:$Y$201,'Trial Rows'!Y197,'Trial Rows'!$I$2:$I$201,4)=1,COUNTIFS('Trial Rows'!$B$2:$B$201,'Trial Rows'!B197,'Trial Rows'!$C$2:$C$201,'Trial Rows'!C197,'Trial Rows'!$F$2:$F$201,'Trial Rows'!F197,'Trial Rows'!$G$2:$G$201,'Trial Rows'!G197,'Trial Rows'!$Y$2:$Y$201,'Trial Rows'!Y197,'Trial Rows'!$W$2:$W$201,"&lt;&gt;")=4,ISNUMBER('Trial Rows'!U197),COUNTIFS('Trial Rows'!$B$2:$B$201,'Trial Rows'!B197,'Trial Rows'!$C$2:$C$201,'Trial Rows'!C197,'Trial Rows'!$F$2:$F$201,'Trial Rows'!F197,'Trial Rows'!$G$2:$G$201,'Trial Rows'!G197,'Trial Rows'!$Y$2:$Y$201,'Trial Rows'!Y197,'Trial Rows'!$U$2:$U$201,'Trial Rows'!U197)=4,'Trial Rows'!U197&gt;=0),1,0)</x:f>
        <x:v>0</x:v>
      </x:c>
      <x:c r="O197" s="2" t="str">
        <x:f>IF(N197=1,'Trial Rows'!U197/1000,"")</x:f>
      </x:c>
      <x:c r="P197" s="2" t="str">
        <x:f>IF(AND(N197=1,'Trial Rows'!G197="A"),O197,"")</x:f>
      </x:c>
      <x:c r="Q197" s="2" t="str">
        <x:f>IF(AND(N197=1,'Trial Rows'!G197="B"),O197,"")</x:f>
      </x:c>
      <x:c r="R197" s="2" t="str">
        <x:f>IF(AND(N197=1,COUNTIFS('Trial Rows'!$B$2:$B$201,'Trial Rows'!B197,'Trial Rows'!$C$2:$C$201,'Trial Rows'!C197,'Trial Rows'!$F$2:$F$201,'Trial Rows'!F197,'Trial Rows'!$G$2:$G$201,'Trial Rows'!G197,'Trial Rows'!$Y$2:$Y$201,'Trial Rows'!Y197,'Trial Rows'!$N$2:$N$201,"&gt;=0",'Trial Rows'!$N$2:$N$201,"&lt;=4",'Trial Rows'!$N$2:$N$201,"&lt;&gt;")=4),SUMIFS('Trial Rows'!$N$2:$N$201,'Trial Rows'!$B$2:$B$201,'Trial Rows'!B197,'Trial Rows'!$C$2:$C$201,'Trial Rows'!C197,'Trial Rows'!$F$2:$F$201,'Trial Rows'!F197,'Trial Rows'!$G$2:$G$201,'Trial Rows'!G197,'Trial Rows'!$Y$2:$Y$201,'Trial Rows'!Y197,'Trial Rows'!$I$2:$I$201,1)+4-SUMIFS('Trial Rows'!$N$2:$N$201,'Trial Rows'!$B$2:$B$201,'Trial Rows'!B197,'Trial Rows'!$C$2:$C$201,'Trial Rows'!C197,'Trial Rows'!$F$2:$F$201,'Trial Rows'!F197,'Trial Rows'!$G$2:$G$201,'Trial Rows'!G197,'Trial Rows'!$Y$2:$Y$201,'Trial Rows'!Y197,'Trial Rows'!$I$2:$I$201,2)+4-SUMIFS('Trial Rows'!$N$2:$N$201,'Trial Rows'!$B$2:$B$201,'Trial Rows'!B197,'Trial Rows'!$C$2:$C$201,'Trial Rows'!C197,'Trial Rows'!$F$2:$F$201,'Trial Rows'!F197,'Trial Rows'!$G$2:$G$201,'Trial Rows'!G197,'Trial Rows'!$Y$2:$Y$201,'Trial Rows'!Y197,'Trial Rows'!$I$2:$I$201,3)+SUMIFS('Trial Rows'!$N$2:$N$201,'Trial Rows'!$B$2:$B$201,'Trial Rows'!B197,'Trial Rows'!$C$2:$C$201,'Trial Rows'!C197,'Trial Rows'!$F$2:$F$201,'Trial Rows'!F197,'Trial Rows'!$G$2:$G$201,'Trial Rows'!G197,'Trial Rows'!$Y$2:$Y$201,'Trial Rows'!Y197,'Trial Rows'!$I$2:$I$201,4),"")</x:f>
      </x:c>
      <x:c r="S197" s="2" t="n">
        <x:f>IF(AND(B197=1,COUNTIFS('Trial Rows'!$C$2:C197,'Trial Rows'!C197,'Trial Rows'!$F$2:F197,Summary!$B$5,'Trial Rows'!$Y$2:Y197,Summary!$B$4)=1),1,0)</x:f>
        <x:v>0</x:v>
      </x:c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 t="str">
        <x:f>IF('Trial Rows'!A198="","",'Trial Rows'!F198&amp;"|"&amp;'Trial Rows'!B198&amp;"|"&amp;'Trial Rows'!C198&amp;"|"&amp;'Trial Rows'!I198)</x:f>
      </x:c>
      <x:c r="B198" s="2" t="n">
        <x:f>IF(AND('Trial Rows'!A198&lt;&gt;"",'Trial Rows'!Y198=Summary!$B$4,'Trial Rows'!F198=Summary!$B$5),1,0)</x:f>
        <x:v>0</x:v>
      </x:c>
      <x:c r="C198" s="2" t="n">
        <x:f>IF(B198=1,COUNTIFS('Trial Rows'!$B$2:$B$201,'Trial Rows'!B198,'Trial Rows'!$C$2:$C$201,'Trial Rows'!C198,'Trial Rows'!$F$2:$F$201,'Trial Rows'!F198,'Trial Rows'!$I$2:$I$201,'Trial Rows'!I198,'Trial Rows'!$Y$2:$Y$201,'Trial Rows'!Y198,'Trial Rows'!$G$2:$G$201,"A"),0)</x:f>
        <x:v>0</x:v>
      </x:c>
      <x:c r="D198" s="2" t="n">
        <x:f>IF(B198=1,COUNTIFS('Trial Rows'!$B$2:$B$201,'Trial Rows'!B198,'Trial Rows'!$C$2:$C$201,'Trial Rows'!C198,'Trial Rows'!$F$2:$F$201,'Trial Rows'!F198,'Trial Rows'!$I$2:$I$201,'Trial Rows'!I198,'Trial Rows'!$Y$2:$Y$201,'Trial Rows'!Y198,'Trial Rows'!$G$2:$G$201,"B"),0)</x:f>
        <x:v>0</x:v>
      </x:c>
      <x:c r="E198" s="2" t="str">
        <x:f>IF(AND(C198=1,COUNTIFS('Trial Rows'!$B$2:$B$201,'Trial Rows'!B198,'Trial Rows'!$C$2:$C$201,'Trial Rows'!C198,'Trial Rows'!$F$2:$F$201,'Trial Rows'!F198,'Trial Rows'!$I$2:$I$201,'Trial Rows'!I198,'Trial Rows'!$Y$2:$Y$201,'Trial Rows'!Y198,'Trial Rows'!$G$2:$G$201,"A",'Trial Rows'!$K$2:$K$201,"&gt;=0",'Trial Rows'!$K$2:$K$201,"&lt;=4",'Trial Rows'!$K$2:$K$201,"&lt;&gt;")=1),SUMIFS('Trial Rows'!$K$2:$K$201,'Trial Rows'!$B$2:$B$201,'Trial Rows'!B198,'Trial Rows'!$C$2:$C$201,'Trial Rows'!C198,'Trial Rows'!$F$2:$F$201,'Trial Rows'!F198,'Trial Rows'!$I$2:$I$201,'Trial Rows'!I198,'Trial Rows'!$Y$2:$Y$201,'Trial Rows'!Y198,'Trial Rows'!$G$2:$G$201,"A"),"")</x:f>
      </x:c>
      <x:c r="F198" s="2" t="n">
        <x:f>IF(AND(B198=1,'Trial Rows'!G198="B",C198=1,D198=1,ISNUMBER(E198),ISNUMBER('Trial Rows'!M198),'Trial Rows'!M198&gt;=0,'Trial Rows'!M198&lt;=4,'Trial Rows'!Q198=0,'Trial Rows'!S198=0),1,0)</x:f>
        <x:v>0</x:v>
      </x:c>
      <x:c r="G198" s="2" t="n">
        <x:f>IF(F198=1,IF(E198='Trial Rows'!M198,1,0),0)</x:f>
        <x:v>0</x:v>
      </x:c>
      <x:c r="H198" s="2" t="n">
        <x:f>IF(AND(B198=1,'Trial Rows'!G198="B",C198=1,D198=1,ISNUMBER(E198),'Trial Rows'!R198=1,'Trial Rows'!Q198=0,'Trial Rows'!S198=0,ISNUMBER('Trial Rows'!L198),'Trial Rows'!L198&gt;=0,'Trial Rows'!L198&lt;=4),1,0)</x:f>
        <x:v>0</x:v>
      </x:c>
      <x:c r="I198" s="2" t="n">
        <x:f>IF(H198=1,IF(E198='Trial Rows'!L198,1,0),0)</x:f>
        <x:v>0</x:v>
      </x:c>
      <x:c r="J198" s="2" t="n">
        <x:f>IF(AND(B198=1,'Trial Rows'!G198="B",'Trial Rows'!P198&gt;0),1,0)</x:f>
        <x:v>0</x:v>
      </x:c>
      <x:c r="K198" s="2" t="n">
        <x:f>IF(AND(B198=1,'Trial Rows'!G198="B",'Trial Rows'!Q198=1),1,0)</x:f>
        <x:v>0</x:v>
      </x:c>
      <x:c r="L198" s="2" t="n">
        <x:f>IF(AND(B198=1,'Trial Rows'!G198="B",'Trial Rows'!R198=1,'Trial Rows'!Q198=0,'Trial Rows'!S198=0),1,0)</x:f>
        <x:v>0</x:v>
      </x:c>
      <x:c r="M198" s="2" t="n">
        <x:f>IF(AND(B198=1,'Trial Rows'!G198="B"),1,0)</x:f>
        <x:v>0</x:v>
      </x:c>
      <x:c r="N198" s="2" t="n">
        <x:f>IF(AND(B198=1,'Trial Rows'!I198=1,COUNTIFS('Trial Rows'!$B$2:$B$201,'Trial Rows'!B198,'Trial Rows'!$C$2:$C$201,'Trial Rows'!C198,'Trial Rows'!$F$2:$F$201,'Trial Rows'!F198,'Trial Rows'!$G$2:$G$201,'Trial Rows'!G198,'Trial Rows'!$Y$2:$Y$201,'Trial Rows'!Y198)=4,COUNTIFS('Trial Rows'!$B$2:$B$201,'Trial Rows'!B198,'Trial Rows'!$C$2:$C$201,'Trial Rows'!C198,'Trial Rows'!$F$2:$F$201,'Trial Rows'!F198,'Trial Rows'!$G$2:$G$201,'Trial Rows'!G198,'Trial Rows'!$Y$2:$Y$201,'Trial Rows'!Y198,'Trial Rows'!$I$2:$I$201,1)=1,COUNTIFS('Trial Rows'!$B$2:$B$201,'Trial Rows'!B198,'Trial Rows'!$C$2:$C$201,'Trial Rows'!C198,'Trial Rows'!$F$2:$F$201,'Trial Rows'!F198,'Trial Rows'!$G$2:$G$201,'Trial Rows'!G198,'Trial Rows'!$Y$2:$Y$201,'Trial Rows'!Y198,'Trial Rows'!$I$2:$I$201,2)=1,COUNTIFS('Trial Rows'!$B$2:$B$201,'Trial Rows'!B198,'Trial Rows'!$C$2:$C$201,'Trial Rows'!C198,'Trial Rows'!$F$2:$F$201,'Trial Rows'!F198,'Trial Rows'!$G$2:$G$201,'Trial Rows'!G198,'Trial Rows'!$Y$2:$Y$201,'Trial Rows'!Y198,'Trial Rows'!$I$2:$I$201,3)=1,COUNTIFS('Trial Rows'!$B$2:$B$201,'Trial Rows'!B198,'Trial Rows'!$C$2:$C$201,'Trial Rows'!C198,'Trial Rows'!$F$2:$F$201,'Trial Rows'!F198,'Trial Rows'!$G$2:$G$201,'Trial Rows'!G198,'Trial Rows'!$Y$2:$Y$201,'Trial Rows'!Y198,'Trial Rows'!$I$2:$I$201,4)=1,COUNTIFS('Trial Rows'!$B$2:$B$201,'Trial Rows'!B198,'Trial Rows'!$C$2:$C$201,'Trial Rows'!C198,'Trial Rows'!$F$2:$F$201,'Trial Rows'!F198,'Trial Rows'!$G$2:$G$201,'Trial Rows'!G198,'Trial Rows'!$Y$2:$Y$201,'Trial Rows'!Y198,'Trial Rows'!$W$2:$W$201,"&lt;&gt;")=4,ISNUMBER('Trial Rows'!U198),COUNTIFS('Trial Rows'!$B$2:$B$201,'Trial Rows'!B198,'Trial Rows'!$C$2:$C$201,'Trial Rows'!C198,'Trial Rows'!$F$2:$F$201,'Trial Rows'!F198,'Trial Rows'!$G$2:$G$201,'Trial Rows'!G198,'Trial Rows'!$Y$2:$Y$201,'Trial Rows'!Y198,'Trial Rows'!$U$2:$U$201,'Trial Rows'!U198)=4,'Trial Rows'!U198&gt;=0),1,0)</x:f>
        <x:v>0</x:v>
      </x:c>
      <x:c r="O198" s="2" t="str">
        <x:f>IF(N198=1,'Trial Rows'!U198/1000,"")</x:f>
      </x:c>
      <x:c r="P198" s="2" t="str">
        <x:f>IF(AND(N198=1,'Trial Rows'!G198="A"),O198,"")</x:f>
      </x:c>
      <x:c r="Q198" s="2" t="str">
        <x:f>IF(AND(N198=1,'Trial Rows'!G198="B"),O198,"")</x:f>
      </x:c>
      <x:c r="R198" s="2" t="str">
        <x:f>IF(AND(N198=1,COUNTIFS('Trial Rows'!$B$2:$B$201,'Trial Rows'!B198,'Trial Rows'!$C$2:$C$201,'Trial Rows'!C198,'Trial Rows'!$F$2:$F$201,'Trial Rows'!F198,'Trial Rows'!$G$2:$G$201,'Trial Rows'!G198,'Trial Rows'!$Y$2:$Y$201,'Trial Rows'!Y198,'Trial Rows'!$N$2:$N$201,"&gt;=0",'Trial Rows'!$N$2:$N$201,"&lt;=4",'Trial Rows'!$N$2:$N$201,"&lt;&gt;")=4),SUMIFS('Trial Rows'!$N$2:$N$201,'Trial Rows'!$B$2:$B$201,'Trial Rows'!B198,'Trial Rows'!$C$2:$C$201,'Trial Rows'!C198,'Trial Rows'!$F$2:$F$201,'Trial Rows'!F198,'Trial Rows'!$G$2:$G$201,'Trial Rows'!G198,'Trial Rows'!$Y$2:$Y$201,'Trial Rows'!Y198,'Trial Rows'!$I$2:$I$201,1)+4-SUMIFS('Trial Rows'!$N$2:$N$201,'Trial Rows'!$B$2:$B$201,'Trial Rows'!B198,'Trial Rows'!$C$2:$C$201,'Trial Rows'!C198,'Trial Rows'!$F$2:$F$201,'Trial Rows'!F198,'Trial Rows'!$G$2:$G$201,'Trial Rows'!G198,'Trial Rows'!$Y$2:$Y$201,'Trial Rows'!Y198,'Trial Rows'!$I$2:$I$201,2)+4-SUMIFS('Trial Rows'!$N$2:$N$201,'Trial Rows'!$B$2:$B$201,'Trial Rows'!B198,'Trial Rows'!$C$2:$C$201,'Trial Rows'!C198,'Trial Rows'!$F$2:$F$201,'Trial Rows'!F198,'Trial Rows'!$G$2:$G$201,'Trial Rows'!G198,'Trial Rows'!$Y$2:$Y$201,'Trial Rows'!Y198,'Trial Rows'!$I$2:$I$201,3)+SUMIFS('Trial Rows'!$N$2:$N$201,'Trial Rows'!$B$2:$B$201,'Trial Rows'!B198,'Trial Rows'!$C$2:$C$201,'Trial Rows'!C198,'Trial Rows'!$F$2:$F$201,'Trial Rows'!F198,'Trial Rows'!$G$2:$G$201,'Trial Rows'!G198,'Trial Rows'!$Y$2:$Y$201,'Trial Rows'!Y198,'Trial Rows'!$I$2:$I$201,4),"")</x:f>
      </x:c>
      <x:c r="S198" s="2" t="n">
        <x:f>IF(AND(B198=1,COUNTIFS('Trial Rows'!$C$2:C198,'Trial Rows'!C198,'Trial Rows'!$F$2:F198,Summary!$B$5,'Trial Rows'!$Y$2:Y198,Summary!$B$4)=1),1,0)</x:f>
        <x:v>0</x:v>
      </x:c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 t="str">
        <x:f>IF('Trial Rows'!A199="","",'Trial Rows'!F199&amp;"|"&amp;'Trial Rows'!B199&amp;"|"&amp;'Trial Rows'!C199&amp;"|"&amp;'Trial Rows'!I199)</x:f>
      </x:c>
      <x:c r="B199" s="2" t="n">
        <x:f>IF(AND('Trial Rows'!A199&lt;&gt;"",'Trial Rows'!Y199=Summary!$B$4,'Trial Rows'!F199=Summary!$B$5),1,0)</x:f>
        <x:v>0</x:v>
      </x:c>
      <x:c r="C199" s="2" t="n">
        <x:f>IF(B199=1,COUNTIFS('Trial Rows'!$B$2:$B$201,'Trial Rows'!B199,'Trial Rows'!$C$2:$C$201,'Trial Rows'!C199,'Trial Rows'!$F$2:$F$201,'Trial Rows'!F199,'Trial Rows'!$I$2:$I$201,'Trial Rows'!I199,'Trial Rows'!$Y$2:$Y$201,'Trial Rows'!Y199,'Trial Rows'!$G$2:$G$201,"A"),0)</x:f>
        <x:v>0</x:v>
      </x:c>
      <x:c r="D199" s="2" t="n">
        <x:f>IF(B199=1,COUNTIFS('Trial Rows'!$B$2:$B$201,'Trial Rows'!B199,'Trial Rows'!$C$2:$C$201,'Trial Rows'!C199,'Trial Rows'!$F$2:$F$201,'Trial Rows'!F199,'Trial Rows'!$I$2:$I$201,'Trial Rows'!I199,'Trial Rows'!$Y$2:$Y$201,'Trial Rows'!Y199,'Trial Rows'!$G$2:$G$201,"B"),0)</x:f>
        <x:v>0</x:v>
      </x:c>
      <x:c r="E199" s="2" t="str">
        <x:f>IF(AND(C199=1,COUNTIFS('Trial Rows'!$B$2:$B$201,'Trial Rows'!B199,'Trial Rows'!$C$2:$C$201,'Trial Rows'!C199,'Trial Rows'!$F$2:$F$201,'Trial Rows'!F199,'Trial Rows'!$I$2:$I$201,'Trial Rows'!I199,'Trial Rows'!$Y$2:$Y$201,'Trial Rows'!Y199,'Trial Rows'!$G$2:$G$201,"A",'Trial Rows'!$K$2:$K$201,"&gt;=0",'Trial Rows'!$K$2:$K$201,"&lt;=4",'Trial Rows'!$K$2:$K$201,"&lt;&gt;")=1),SUMIFS('Trial Rows'!$K$2:$K$201,'Trial Rows'!$B$2:$B$201,'Trial Rows'!B199,'Trial Rows'!$C$2:$C$201,'Trial Rows'!C199,'Trial Rows'!$F$2:$F$201,'Trial Rows'!F199,'Trial Rows'!$I$2:$I$201,'Trial Rows'!I199,'Trial Rows'!$Y$2:$Y$201,'Trial Rows'!Y199,'Trial Rows'!$G$2:$G$201,"A"),"")</x:f>
      </x:c>
      <x:c r="F199" s="2" t="n">
        <x:f>IF(AND(B199=1,'Trial Rows'!G199="B",C199=1,D199=1,ISNUMBER(E199),ISNUMBER('Trial Rows'!M199),'Trial Rows'!M199&gt;=0,'Trial Rows'!M199&lt;=4,'Trial Rows'!Q199=0,'Trial Rows'!S199=0),1,0)</x:f>
        <x:v>0</x:v>
      </x:c>
      <x:c r="G199" s="2" t="n">
        <x:f>IF(F199=1,IF(E199='Trial Rows'!M199,1,0),0)</x:f>
        <x:v>0</x:v>
      </x:c>
      <x:c r="H199" s="2" t="n">
        <x:f>IF(AND(B199=1,'Trial Rows'!G199="B",C199=1,D199=1,ISNUMBER(E199),'Trial Rows'!R199=1,'Trial Rows'!Q199=0,'Trial Rows'!S199=0,ISNUMBER('Trial Rows'!L199),'Trial Rows'!L199&gt;=0,'Trial Rows'!L199&lt;=4),1,0)</x:f>
        <x:v>0</x:v>
      </x:c>
      <x:c r="I199" s="2" t="n">
        <x:f>IF(H199=1,IF(E199='Trial Rows'!L199,1,0),0)</x:f>
        <x:v>0</x:v>
      </x:c>
      <x:c r="J199" s="2" t="n">
        <x:f>IF(AND(B199=1,'Trial Rows'!G199="B",'Trial Rows'!P199&gt;0),1,0)</x:f>
        <x:v>0</x:v>
      </x:c>
      <x:c r="K199" s="2" t="n">
        <x:f>IF(AND(B199=1,'Trial Rows'!G199="B",'Trial Rows'!Q199=1),1,0)</x:f>
        <x:v>0</x:v>
      </x:c>
      <x:c r="L199" s="2" t="n">
        <x:f>IF(AND(B199=1,'Trial Rows'!G199="B",'Trial Rows'!R199=1,'Trial Rows'!Q199=0,'Trial Rows'!S199=0),1,0)</x:f>
        <x:v>0</x:v>
      </x:c>
      <x:c r="M199" s="2" t="n">
        <x:f>IF(AND(B199=1,'Trial Rows'!G199="B"),1,0)</x:f>
        <x:v>0</x:v>
      </x:c>
      <x:c r="N199" s="2" t="n">
        <x:f>IF(AND(B199=1,'Trial Rows'!I199=1,COUNTIFS('Trial Rows'!$B$2:$B$201,'Trial Rows'!B199,'Trial Rows'!$C$2:$C$201,'Trial Rows'!C199,'Trial Rows'!$F$2:$F$201,'Trial Rows'!F199,'Trial Rows'!$G$2:$G$201,'Trial Rows'!G199,'Trial Rows'!$Y$2:$Y$201,'Trial Rows'!Y199)=4,COUNTIFS('Trial Rows'!$B$2:$B$201,'Trial Rows'!B199,'Trial Rows'!$C$2:$C$201,'Trial Rows'!C199,'Trial Rows'!$F$2:$F$201,'Trial Rows'!F199,'Trial Rows'!$G$2:$G$201,'Trial Rows'!G199,'Trial Rows'!$Y$2:$Y$201,'Trial Rows'!Y199,'Trial Rows'!$I$2:$I$201,1)=1,COUNTIFS('Trial Rows'!$B$2:$B$201,'Trial Rows'!B199,'Trial Rows'!$C$2:$C$201,'Trial Rows'!C199,'Trial Rows'!$F$2:$F$201,'Trial Rows'!F199,'Trial Rows'!$G$2:$G$201,'Trial Rows'!G199,'Trial Rows'!$Y$2:$Y$201,'Trial Rows'!Y199,'Trial Rows'!$I$2:$I$201,2)=1,COUNTIFS('Trial Rows'!$B$2:$B$201,'Trial Rows'!B199,'Trial Rows'!$C$2:$C$201,'Trial Rows'!C199,'Trial Rows'!$F$2:$F$201,'Trial Rows'!F199,'Trial Rows'!$G$2:$G$201,'Trial Rows'!G199,'Trial Rows'!$Y$2:$Y$201,'Trial Rows'!Y199,'Trial Rows'!$I$2:$I$201,3)=1,COUNTIFS('Trial Rows'!$B$2:$B$201,'Trial Rows'!B199,'Trial Rows'!$C$2:$C$201,'Trial Rows'!C199,'Trial Rows'!$F$2:$F$201,'Trial Rows'!F199,'Trial Rows'!$G$2:$G$201,'Trial Rows'!G199,'Trial Rows'!$Y$2:$Y$201,'Trial Rows'!Y199,'Trial Rows'!$I$2:$I$201,4)=1,COUNTIFS('Trial Rows'!$B$2:$B$201,'Trial Rows'!B199,'Trial Rows'!$C$2:$C$201,'Trial Rows'!C199,'Trial Rows'!$F$2:$F$201,'Trial Rows'!F199,'Trial Rows'!$G$2:$G$201,'Trial Rows'!G199,'Trial Rows'!$Y$2:$Y$201,'Trial Rows'!Y199,'Trial Rows'!$W$2:$W$201,"&lt;&gt;")=4,ISNUMBER('Trial Rows'!U199),COUNTIFS('Trial Rows'!$B$2:$B$201,'Trial Rows'!B199,'Trial Rows'!$C$2:$C$201,'Trial Rows'!C199,'Trial Rows'!$F$2:$F$201,'Trial Rows'!F199,'Trial Rows'!$G$2:$G$201,'Trial Rows'!G199,'Trial Rows'!$Y$2:$Y$201,'Trial Rows'!Y199,'Trial Rows'!$U$2:$U$201,'Trial Rows'!U199)=4,'Trial Rows'!U199&gt;=0),1,0)</x:f>
        <x:v>0</x:v>
      </x:c>
      <x:c r="O199" s="2" t="str">
        <x:f>IF(N199=1,'Trial Rows'!U199/1000,"")</x:f>
      </x:c>
      <x:c r="P199" s="2" t="str">
        <x:f>IF(AND(N199=1,'Trial Rows'!G199="A"),O199,"")</x:f>
      </x:c>
      <x:c r="Q199" s="2" t="str">
        <x:f>IF(AND(N199=1,'Trial Rows'!G199="B"),O199,"")</x:f>
      </x:c>
      <x:c r="R199" s="2" t="str">
        <x:f>IF(AND(N199=1,COUNTIFS('Trial Rows'!$B$2:$B$201,'Trial Rows'!B199,'Trial Rows'!$C$2:$C$201,'Trial Rows'!C199,'Trial Rows'!$F$2:$F$201,'Trial Rows'!F199,'Trial Rows'!$G$2:$G$201,'Trial Rows'!G199,'Trial Rows'!$Y$2:$Y$201,'Trial Rows'!Y199,'Trial Rows'!$N$2:$N$201,"&gt;=0",'Trial Rows'!$N$2:$N$201,"&lt;=4",'Trial Rows'!$N$2:$N$201,"&lt;&gt;")=4),SUMIFS('Trial Rows'!$N$2:$N$201,'Trial Rows'!$B$2:$B$201,'Trial Rows'!B199,'Trial Rows'!$C$2:$C$201,'Trial Rows'!C199,'Trial Rows'!$F$2:$F$201,'Trial Rows'!F199,'Trial Rows'!$G$2:$G$201,'Trial Rows'!G199,'Trial Rows'!$Y$2:$Y$201,'Trial Rows'!Y199,'Trial Rows'!$I$2:$I$201,1)+4-SUMIFS('Trial Rows'!$N$2:$N$201,'Trial Rows'!$B$2:$B$201,'Trial Rows'!B199,'Trial Rows'!$C$2:$C$201,'Trial Rows'!C199,'Trial Rows'!$F$2:$F$201,'Trial Rows'!F199,'Trial Rows'!$G$2:$G$201,'Trial Rows'!G199,'Trial Rows'!$Y$2:$Y$201,'Trial Rows'!Y199,'Trial Rows'!$I$2:$I$201,2)+4-SUMIFS('Trial Rows'!$N$2:$N$201,'Trial Rows'!$B$2:$B$201,'Trial Rows'!B199,'Trial Rows'!$C$2:$C$201,'Trial Rows'!C199,'Trial Rows'!$F$2:$F$201,'Trial Rows'!F199,'Trial Rows'!$G$2:$G$201,'Trial Rows'!G199,'Trial Rows'!$Y$2:$Y$201,'Trial Rows'!Y199,'Trial Rows'!$I$2:$I$201,3)+SUMIFS('Trial Rows'!$N$2:$N$201,'Trial Rows'!$B$2:$B$201,'Trial Rows'!B199,'Trial Rows'!$C$2:$C$201,'Trial Rows'!C199,'Trial Rows'!$F$2:$F$201,'Trial Rows'!F199,'Trial Rows'!$G$2:$G$201,'Trial Rows'!G199,'Trial Rows'!$Y$2:$Y$201,'Trial Rows'!Y199,'Trial Rows'!$I$2:$I$201,4),"")</x:f>
      </x:c>
      <x:c r="S199" s="2" t="n">
        <x:f>IF(AND(B199=1,COUNTIFS('Trial Rows'!$C$2:C199,'Trial Rows'!C199,'Trial Rows'!$F$2:F199,Summary!$B$5,'Trial Rows'!$Y$2:Y199,Summary!$B$4)=1),1,0)</x:f>
        <x:v>0</x:v>
      </x:c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 t="str">
        <x:f>IF('Trial Rows'!A200="","",'Trial Rows'!F200&amp;"|"&amp;'Trial Rows'!B200&amp;"|"&amp;'Trial Rows'!C200&amp;"|"&amp;'Trial Rows'!I200)</x:f>
      </x:c>
      <x:c r="B200" s="2" t="n">
        <x:f>IF(AND('Trial Rows'!A200&lt;&gt;"",'Trial Rows'!Y200=Summary!$B$4,'Trial Rows'!F200=Summary!$B$5),1,0)</x:f>
        <x:v>0</x:v>
      </x:c>
      <x:c r="C200" s="2" t="n">
        <x:f>IF(B200=1,COUNTIFS('Trial Rows'!$B$2:$B$201,'Trial Rows'!B200,'Trial Rows'!$C$2:$C$201,'Trial Rows'!C200,'Trial Rows'!$F$2:$F$201,'Trial Rows'!F200,'Trial Rows'!$I$2:$I$201,'Trial Rows'!I200,'Trial Rows'!$Y$2:$Y$201,'Trial Rows'!Y200,'Trial Rows'!$G$2:$G$201,"A"),0)</x:f>
        <x:v>0</x:v>
      </x:c>
      <x:c r="D200" s="2" t="n">
        <x:f>IF(B200=1,COUNTIFS('Trial Rows'!$B$2:$B$201,'Trial Rows'!B200,'Trial Rows'!$C$2:$C$201,'Trial Rows'!C200,'Trial Rows'!$F$2:$F$201,'Trial Rows'!F200,'Trial Rows'!$I$2:$I$201,'Trial Rows'!I200,'Trial Rows'!$Y$2:$Y$201,'Trial Rows'!Y200,'Trial Rows'!$G$2:$G$201,"B"),0)</x:f>
        <x:v>0</x:v>
      </x:c>
      <x:c r="E200" s="2" t="str">
        <x:f>IF(AND(C200=1,COUNTIFS('Trial Rows'!$B$2:$B$201,'Trial Rows'!B200,'Trial Rows'!$C$2:$C$201,'Trial Rows'!C200,'Trial Rows'!$F$2:$F$201,'Trial Rows'!F200,'Trial Rows'!$I$2:$I$201,'Trial Rows'!I200,'Trial Rows'!$Y$2:$Y$201,'Trial Rows'!Y200,'Trial Rows'!$G$2:$G$201,"A",'Trial Rows'!$K$2:$K$201,"&gt;=0",'Trial Rows'!$K$2:$K$201,"&lt;=4",'Trial Rows'!$K$2:$K$201,"&lt;&gt;")=1),SUMIFS('Trial Rows'!$K$2:$K$201,'Trial Rows'!$B$2:$B$201,'Trial Rows'!B200,'Trial Rows'!$C$2:$C$201,'Trial Rows'!C200,'Trial Rows'!$F$2:$F$201,'Trial Rows'!F200,'Trial Rows'!$I$2:$I$201,'Trial Rows'!I200,'Trial Rows'!$Y$2:$Y$201,'Trial Rows'!Y200,'Trial Rows'!$G$2:$G$201,"A"),"")</x:f>
      </x:c>
      <x:c r="F200" s="2" t="n">
        <x:f>IF(AND(B200=1,'Trial Rows'!G200="B",C200=1,D200=1,ISNUMBER(E200),ISNUMBER('Trial Rows'!M200),'Trial Rows'!M200&gt;=0,'Trial Rows'!M200&lt;=4,'Trial Rows'!Q200=0,'Trial Rows'!S200=0),1,0)</x:f>
        <x:v>0</x:v>
      </x:c>
      <x:c r="G200" s="2" t="n">
        <x:f>IF(F200=1,IF(E200='Trial Rows'!M200,1,0),0)</x:f>
        <x:v>0</x:v>
      </x:c>
      <x:c r="H200" s="2" t="n">
        <x:f>IF(AND(B200=1,'Trial Rows'!G200="B",C200=1,D200=1,ISNUMBER(E200),'Trial Rows'!R200=1,'Trial Rows'!Q200=0,'Trial Rows'!S200=0,ISNUMBER('Trial Rows'!L200),'Trial Rows'!L200&gt;=0,'Trial Rows'!L200&lt;=4),1,0)</x:f>
        <x:v>0</x:v>
      </x:c>
      <x:c r="I200" s="2" t="n">
        <x:f>IF(H200=1,IF(E200='Trial Rows'!L200,1,0),0)</x:f>
        <x:v>0</x:v>
      </x:c>
      <x:c r="J200" s="2" t="n">
        <x:f>IF(AND(B200=1,'Trial Rows'!G200="B",'Trial Rows'!P200&gt;0),1,0)</x:f>
        <x:v>0</x:v>
      </x:c>
      <x:c r="K200" s="2" t="n">
        <x:f>IF(AND(B200=1,'Trial Rows'!G200="B",'Trial Rows'!Q200=1),1,0)</x:f>
        <x:v>0</x:v>
      </x:c>
      <x:c r="L200" s="2" t="n">
        <x:f>IF(AND(B200=1,'Trial Rows'!G200="B",'Trial Rows'!R200=1,'Trial Rows'!Q200=0,'Trial Rows'!S200=0),1,0)</x:f>
        <x:v>0</x:v>
      </x:c>
      <x:c r="M200" s="2" t="n">
        <x:f>IF(AND(B200=1,'Trial Rows'!G200="B"),1,0)</x:f>
        <x:v>0</x:v>
      </x:c>
      <x:c r="N200" s="2" t="n">
        <x:f>IF(AND(B200=1,'Trial Rows'!I200=1,COUNTIFS('Trial Rows'!$B$2:$B$201,'Trial Rows'!B200,'Trial Rows'!$C$2:$C$201,'Trial Rows'!C200,'Trial Rows'!$F$2:$F$201,'Trial Rows'!F200,'Trial Rows'!$G$2:$G$201,'Trial Rows'!G200,'Trial Rows'!$Y$2:$Y$201,'Trial Rows'!Y200)=4,COUNTIFS('Trial Rows'!$B$2:$B$201,'Trial Rows'!B200,'Trial Rows'!$C$2:$C$201,'Trial Rows'!C200,'Trial Rows'!$F$2:$F$201,'Trial Rows'!F200,'Trial Rows'!$G$2:$G$201,'Trial Rows'!G200,'Trial Rows'!$Y$2:$Y$201,'Trial Rows'!Y200,'Trial Rows'!$I$2:$I$201,1)=1,COUNTIFS('Trial Rows'!$B$2:$B$201,'Trial Rows'!B200,'Trial Rows'!$C$2:$C$201,'Trial Rows'!C200,'Trial Rows'!$F$2:$F$201,'Trial Rows'!F200,'Trial Rows'!$G$2:$G$201,'Trial Rows'!G200,'Trial Rows'!$Y$2:$Y$201,'Trial Rows'!Y200,'Trial Rows'!$I$2:$I$201,2)=1,COUNTIFS('Trial Rows'!$B$2:$B$201,'Trial Rows'!B200,'Trial Rows'!$C$2:$C$201,'Trial Rows'!C200,'Trial Rows'!$F$2:$F$201,'Trial Rows'!F200,'Trial Rows'!$G$2:$G$201,'Trial Rows'!G200,'Trial Rows'!$Y$2:$Y$201,'Trial Rows'!Y200,'Trial Rows'!$I$2:$I$201,3)=1,COUNTIFS('Trial Rows'!$B$2:$B$201,'Trial Rows'!B200,'Trial Rows'!$C$2:$C$201,'Trial Rows'!C200,'Trial Rows'!$F$2:$F$201,'Trial Rows'!F200,'Trial Rows'!$G$2:$G$201,'Trial Rows'!G200,'Trial Rows'!$Y$2:$Y$201,'Trial Rows'!Y200,'Trial Rows'!$I$2:$I$201,4)=1,COUNTIFS('Trial Rows'!$B$2:$B$201,'Trial Rows'!B200,'Trial Rows'!$C$2:$C$201,'Trial Rows'!C200,'Trial Rows'!$F$2:$F$201,'Trial Rows'!F200,'Trial Rows'!$G$2:$G$201,'Trial Rows'!G200,'Trial Rows'!$Y$2:$Y$201,'Trial Rows'!Y200,'Trial Rows'!$W$2:$W$201,"&lt;&gt;")=4,ISNUMBER('Trial Rows'!U200),COUNTIFS('Trial Rows'!$B$2:$B$201,'Trial Rows'!B200,'Trial Rows'!$C$2:$C$201,'Trial Rows'!C200,'Trial Rows'!$F$2:$F$201,'Trial Rows'!F200,'Trial Rows'!$G$2:$G$201,'Trial Rows'!G200,'Trial Rows'!$Y$2:$Y$201,'Trial Rows'!Y200,'Trial Rows'!$U$2:$U$201,'Trial Rows'!U200)=4,'Trial Rows'!U200&gt;=0),1,0)</x:f>
        <x:v>0</x:v>
      </x:c>
      <x:c r="O200" s="2" t="str">
        <x:f>IF(N200=1,'Trial Rows'!U200/1000,"")</x:f>
      </x:c>
      <x:c r="P200" s="2" t="str">
        <x:f>IF(AND(N200=1,'Trial Rows'!G200="A"),O200,"")</x:f>
      </x:c>
      <x:c r="Q200" s="2" t="str">
        <x:f>IF(AND(N200=1,'Trial Rows'!G200="B"),O200,"")</x:f>
      </x:c>
      <x:c r="R200" s="2" t="str">
        <x:f>IF(AND(N200=1,COUNTIFS('Trial Rows'!$B$2:$B$201,'Trial Rows'!B200,'Trial Rows'!$C$2:$C$201,'Trial Rows'!C200,'Trial Rows'!$F$2:$F$201,'Trial Rows'!F200,'Trial Rows'!$G$2:$G$201,'Trial Rows'!G200,'Trial Rows'!$Y$2:$Y$201,'Trial Rows'!Y200,'Trial Rows'!$N$2:$N$201,"&gt;=0",'Trial Rows'!$N$2:$N$201,"&lt;=4",'Trial Rows'!$N$2:$N$201,"&lt;&gt;")=4),SUMIFS('Trial Rows'!$N$2:$N$201,'Trial Rows'!$B$2:$B$201,'Trial Rows'!B200,'Trial Rows'!$C$2:$C$201,'Trial Rows'!C200,'Trial Rows'!$F$2:$F$201,'Trial Rows'!F200,'Trial Rows'!$G$2:$G$201,'Trial Rows'!G200,'Trial Rows'!$Y$2:$Y$201,'Trial Rows'!Y200,'Trial Rows'!$I$2:$I$201,1)+4-SUMIFS('Trial Rows'!$N$2:$N$201,'Trial Rows'!$B$2:$B$201,'Trial Rows'!B200,'Trial Rows'!$C$2:$C$201,'Trial Rows'!C200,'Trial Rows'!$F$2:$F$201,'Trial Rows'!F200,'Trial Rows'!$G$2:$G$201,'Trial Rows'!G200,'Trial Rows'!$Y$2:$Y$201,'Trial Rows'!Y200,'Trial Rows'!$I$2:$I$201,2)+4-SUMIFS('Trial Rows'!$N$2:$N$201,'Trial Rows'!$B$2:$B$201,'Trial Rows'!B200,'Trial Rows'!$C$2:$C$201,'Trial Rows'!C200,'Trial Rows'!$F$2:$F$201,'Trial Rows'!F200,'Trial Rows'!$G$2:$G$201,'Trial Rows'!G200,'Trial Rows'!$Y$2:$Y$201,'Trial Rows'!Y200,'Trial Rows'!$I$2:$I$201,3)+SUMIFS('Trial Rows'!$N$2:$N$201,'Trial Rows'!$B$2:$B$201,'Trial Rows'!B200,'Trial Rows'!$C$2:$C$201,'Trial Rows'!C200,'Trial Rows'!$F$2:$F$201,'Trial Rows'!F200,'Trial Rows'!$G$2:$G$201,'Trial Rows'!G200,'Trial Rows'!$Y$2:$Y$201,'Trial Rows'!Y200,'Trial Rows'!$I$2:$I$201,4),"")</x:f>
      </x:c>
      <x:c r="S200" s="2" t="n">
        <x:f>IF(AND(B200=1,COUNTIFS('Trial Rows'!$C$2:C200,'Trial Rows'!C200,'Trial Rows'!$F$2:F200,Summary!$B$5,'Trial Rows'!$Y$2:Y200,Summary!$B$4)=1),1,0)</x:f>
        <x:v>0</x:v>
      </x:c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 t="str">
        <x:f>IF('Trial Rows'!A201="","",'Trial Rows'!F201&amp;"|"&amp;'Trial Rows'!B201&amp;"|"&amp;'Trial Rows'!C201&amp;"|"&amp;'Trial Rows'!I201)</x:f>
      </x:c>
      <x:c r="B201" s="2" t="n">
        <x:f>IF(AND('Trial Rows'!A201&lt;&gt;"",'Trial Rows'!Y201=Summary!$B$4,'Trial Rows'!F201=Summary!$B$5),1,0)</x:f>
        <x:v>0</x:v>
      </x:c>
      <x:c r="C201" s="2" t="n">
        <x:f>IF(B201=1,COUNTIFS('Trial Rows'!$B$2:$B$201,'Trial Rows'!B201,'Trial Rows'!$C$2:$C$201,'Trial Rows'!C201,'Trial Rows'!$F$2:$F$201,'Trial Rows'!F201,'Trial Rows'!$I$2:$I$201,'Trial Rows'!I201,'Trial Rows'!$Y$2:$Y$201,'Trial Rows'!Y201,'Trial Rows'!$G$2:$G$201,"A"),0)</x:f>
        <x:v>0</x:v>
      </x:c>
      <x:c r="D201" s="2" t="n">
        <x:f>IF(B201=1,COUNTIFS('Trial Rows'!$B$2:$B$201,'Trial Rows'!B201,'Trial Rows'!$C$2:$C$201,'Trial Rows'!C201,'Trial Rows'!$F$2:$F$201,'Trial Rows'!F201,'Trial Rows'!$I$2:$I$201,'Trial Rows'!I201,'Trial Rows'!$Y$2:$Y$201,'Trial Rows'!Y201,'Trial Rows'!$G$2:$G$201,"B"),0)</x:f>
        <x:v>0</x:v>
      </x:c>
      <x:c r="E201" s="2" t="str">
        <x:f>IF(AND(C201=1,COUNTIFS('Trial Rows'!$B$2:$B$201,'Trial Rows'!B201,'Trial Rows'!$C$2:$C$201,'Trial Rows'!C201,'Trial Rows'!$F$2:$F$201,'Trial Rows'!F201,'Trial Rows'!$I$2:$I$201,'Trial Rows'!I201,'Trial Rows'!$Y$2:$Y$201,'Trial Rows'!Y201,'Trial Rows'!$G$2:$G$201,"A",'Trial Rows'!$K$2:$K$201,"&gt;=0",'Trial Rows'!$K$2:$K$201,"&lt;=4",'Trial Rows'!$K$2:$K$201,"&lt;&gt;")=1),SUMIFS('Trial Rows'!$K$2:$K$201,'Trial Rows'!$B$2:$B$201,'Trial Rows'!B201,'Trial Rows'!$C$2:$C$201,'Trial Rows'!C201,'Trial Rows'!$F$2:$F$201,'Trial Rows'!F201,'Trial Rows'!$I$2:$I$201,'Trial Rows'!I201,'Trial Rows'!$Y$2:$Y$201,'Trial Rows'!Y201,'Trial Rows'!$G$2:$G$201,"A"),"")</x:f>
      </x:c>
      <x:c r="F201" s="2" t="n">
        <x:f>IF(AND(B201=1,'Trial Rows'!G201="B",C201=1,D201=1,ISNUMBER(E201),ISNUMBER('Trial Rows'!M201),'Trial Rows'!M201&gt;=0,'Trial Rows'!M201&lt;=4,'Trial Rows'!Q201=0,'Trial Rows'!S201=0),1,0)</x:f>
        <x:v>0</x:v>
      </x:c>
      <x:c r="G201" s="2" t="n">
        <x:f>IF(F201=1,IF(E201='Trial Rows'!M201,1,0),0)</x:f>
        <x:v>0</x:v>
      </x:c>
      <x:c r="H201" s="2" t="n">
        <x:f>IF(AND(B201=1,'Trial Rows'!G201="B",C201=1,D201=1,ISNUMBER(E201),'Trial Rows'!R201=1,'Trial Rows'!Q201=0,'Trial Rows'!S201=0,ISNUMBER('Trial Rows'!L201),'Trial Rows'!L201&gt;=0,'Trial Rows'!L201&lt;=4),1,0)</x:f>
        <x:v>0</x:v>
      </x:c>
      <x:c r="I201" s="2" t="n">
        <x:f>IF(H201=1,IF(E201='Trial Rows'!L201,1,0),0)</x:f>
        <x:v>0</x:v>
      </x:c>
      <x:c r="J201" s="2" t="n">
        <x:f>IF(AND(B201=1,'Trial Rows'!G201="B",'Trial Rows'!P201&gt;0),1,0)</x:f>
        <x:v>0</x:v>
      </x:c>
      <x:c r="K201" s="2" t="n">
        <x:f>IF(AND(B201=1,'Trial Rows'!G201="B",'Trial Rows'!Q201=1),1,0)</x:f>
        <x:v>0</x:v>
      </x:c>
      <x:c r="L201" s="2" t="n">
        <x:f>IF(AND(B201=1,'Trial Rows'!G201="B",'Trial Rows'!R201=1,'Trial Rows'!Q201=0,'Trial Rows'!S201=0),1,0)</x:f>
        <x:v>0</x:v>
      </x:c>
      <x:c r="M201" s="2" t="n">
        <x:f>IF(AND(B201=1,'Trial Rows'!G201="B"),1,0)</x:f>
        <x:v>0</x:v>
      </x:c>
      <x:c r="N201" s="2" t="n">
        <x:f>IF(AND(B201=1,'Trial Rows'!I201=1,COUNTIFS('Trial Rows'!$B$2:$B$201,'Trial Rows'!B201,'Trial Rows'!$C$2:$C$201,'Trial Rows'!C201,'Trial Rows'!$F$2:$F$201,'Trial Rows'!F201,'Trial Rows'!$G$2:$G$201,'Trial Rows'!G201,'Trial Rows'!$Y$2:$Y$201,'Trial Rows'!Y201)=4,COUNTIFS('Trial Rows'!$B$2:$B$201,'Trial Rows'!B201,'Trial Rows'!$C$2:$C$201,'Trial Rows'!C201,'Trial Rows'!$F$2:$F$201,'Trial Rows'!F201,'Trial Rows'!$G$2:$G$201,'Trial Rows'!G201,'Trial Rows'!$Y$2:$Y$201,'Trial Rows'!Y201,'Trial Rows'!$I$2:$I$201,1)=1,COUNTIFS('Trial Rows'!$B$2:$B$201,'Trial Rows'!B201,'Trial Rows'!$C$2:$C$201,'Trial Rows'!C201,'Trial Rows'!$F$2:$F$201,'Trial Rows'!F201,'Trial Rows'!$G$2:$G$201,'Trial Rows'!G201,'Trial Rows'!$Y$2:$Y$201,'Trial Rows'!Y201,'Trial Rows'!$I$2:$I$201,2)=1,COUNTIFS('Trial Rows'!$B$2:$B$201,'Trial Rows'!B201,'Trial Rows'!$C$2:$C$201,'Trial Rows'!C201,'Trial Rows'!$F$2:$F$201,'Trial Rows'!F201,'Trial Rows'!$G$2:$G$201,'Trial Rows'!G201,'Trial Rows'!$Y$2:$Y$201,'Trial Rows'!Y201,'Trial Rows'!$I$2:$I$201,3)=1,COUNTIFS('Trial Rows'!$B$2:$B$201,'Trial Rows'!B201,'Trial Rows'!$C$2:$C$201,'Trial Rows'!C201,'Trial Rows'!$F$2:$F$201,'Trial Rows'!F201,'Trial Rows'!$G$2:$G$201,'Trial Rows'!G201,'Trial Rows'!$Y$2:$Y$201,'Trial Rows'!Y201,'Trial Rows'!$I$2:$I$201,4)=1,COUNTIFS('Trial Rows'!$B$2:$B$201,'Trial Rows'!B201,'Trial Rows'!$C$2:$C$201,'Trial Rows'!C201,'Trial Rows'!$F$2:$F$201,'Trial Rows'!F201,'Trial Rows'!$G$2:$G$201,'Trial Rows'!G201,'Trial Rows'!$Y$2:$Y$201,'Trial Rows'!Y201,'Trial Rows'!$W$2:$W$201,"&lt;&gt;")=4,ISNUMBER('Trial Rows'!U201),COUNTIFS('Trial Rows'!$B$2:$B$201,'Trial Rows'!B201,'Trial Rows'!$C$2:$C$201,'Trial Rows'!C201,'Trial Rows'!$F$2:$F$201,'Trial Rows'!F201,'Trial Rows'!$G$2:$G$201,'Trial Rows'!G201,'Trial Rows'!$Y$2:$Y$201,'Trial Rows'!Y201,'Trial Rows'!$U$2:$U$201,'Trial Rows'!U201)=4,'Trial Rows'!U201&gt;=0),1,0)</x:f>
        <x:v>0</x:v>
      </x:c>
      <x:c r="O201" s="2" t="str">
        <x:f>IF(N201=1,'Trial Rows'!U201/1000,"")</x:f>
      </x:c>
      <x:c r="P201" s="2" t="str">
        <x:f>IF(AND(N201=1,'Trial Rows'!G201="A"),O201,"")</x:f>
      </x:c>
      <x:c r="Q201" s="2" t="str">
        <x:f>IF(AND(N201=1,'Trial Rows'!G201="B"),O201,"")</x:f>
      </x:c>
      <x:c r="R201" s="2" t="str">
        <x:f>IF(AND(N201=1,COUNTIFS('Trial Rows'!$B$2:$B$201,'Trial Rows'!B201,'Trial Rows'!$C$2:$C$201,'Trial Rows'!C201,'Trial Rows'!$F$2:$F$201,'Trial Rows'!F201,'Trial Rows'!$G$2:$G$201,'Trial Rows'!G201,'Trial Rows'!$Y$2:$Y$201,'Trial Rows'!Y201,'Trial Rows'!$N$2:$N$201,"&gt;=0",'Trial Rows'!$N$2:$N$201,"&lt;=4",'Trial Rows'!$N$2:$N$201,"&lt;&gt;")=4),SUMIFS('Trial Rows'!$N$2:$N$201,'Trial Rows'!$B$2:$B$201,'Trial Rows'!B201,'Trial Rows'!$C$2:$C$201,'Trial Rows'!C201,'Trial Rows'!$F$2:$F$201,'Trial Rows'!F201,'Trial Rows'!$G$2:$G$201,'Trial Rows'!G201,'Trial Rows'!$Y$2:$Y$201,'Trial Rows'!Y201,'Trial Rows'!$I$2:$I$201,1)+4-SUMIFS('Trial Rows'!$N$2:$N$201,'Trial Rows'!$B$2:$B$201,'Trial Rows'!B201,'Trial Rows'!$C$2:$C$201,'Trial Rows'!C201,'Trial Rows'!$F$2:$F$201,'Trial Rows'!F201,'Trial Rows'!$G$2:$G$201,'Trial Rows'!G201,'Trial Rows'!$Y$2:$Y$201,'Trial Rows'!Y201,'Trial Rows'!$I$2:$I$201,2)+4-SUMIFS('Trial Rows'!$N$2:$N$201,'Trial Rows'!$B$2:$B$201,'Trial Rows'!B201,'Trial Rows'!$C$2:$C$201,'Trial Rows'!C201,'Trial Rows'!$F$2:$F$201,'Trial Rows'!F201,'Trial Rows'!$G$2:$G$201,'Trial Rows'!G201,'Trial Rows'!$Y$2:$Y$201,'Trial Rows'!Y201,'Trial Rows'!$I$2:$I$201,3)+SUMIFS('Trial Rows'!$N$2:$N$201,'Trial Rows'!$B$2:$B$201,'Trial Rows'!B201,'Trial Rows'!$C$2:$C$201,'Trial Rows'!C201,'Trial Rows'!$F$2:$F$201,'Trial Rows'!F201,'Trial Rows'!$G$2:$G$201,'Trial Rows'!G201,'Trial Rows'!$Y$2:$Y$201,'Trial Rows'!Y201,'Trial Rows'!$I$2:$I$201,4),"")</x:f>
      </x:c>
      <x:c r="S201" s="2" t="n">
        <x:f>IF(AND(B201=1,COUNTIFS('Trial Rows'!$C$2:C201,'Trial Rows'!C201,'Trial Rows'!$F$2:F201,Summary!$B$5,'Trial Rows'!$Y$2:Y201,Summary!$B$4)=1),1,0)</x:f>
        <x:v>0</x:v>
      </x:c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11" t="str">
        <x:v>Participant</x:v>
      </x:c>
      <x:c r="B1" s="11" t="str">
        <x:v>Session</x:v>
      </x:c>
      <x:c r="C1" s="11" t="str">
        <x:v>Version</x:v>
      </x:c>
      <x:c r="D1" s="11" t="str">
        <x:v>Order</x:v>
      </x:c>
      <x:c r="E1" s="11" t="str">
        <x:v>First eligible</x:v>
      </x:c>
      <x:c r="F1" s="11" t="str">
        <x:v>First matches</x:v>
      </x:c>
      <x:c r="G1" s="11" t="str">
        <x:v>First agreement</x:v>
      </x:c>
      <x:c r="H1" s="11" t="str">
        <x:v>Resolved agreement</x:v>
      </x:c>
      <x:c r="I1" s="11" t="str">
        <x:v>A PSS4 score</x:v>
      </x:c>
      <x:c r="J1" s="11" t="str">
        <x:v>B PSS4 score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</x:row>
    <x:row r="2">
      <x:c r="A2" s="2" t="str">
        <x:f>IF(AND(Calculations!B2=1,'Trial Rows'!G2="B",'Trial Rows'!I2=1,Calculations!D2=1),'Trial Rows'!C2,"")</x:f>
      </x:c>
      <x:c r="B2" s="2" t="str">
        <x:f>IF(A2="","",'Trial Rows'!B2)</x:f>
      </x:c>
      <x:c r="C2" s="2" t="str">
        <x:f>IF(A2="","",'Trial Rows'!F2)</x:f>
      </x:c>
      <x:c r="D2" s="2" t="str">
        <x:f>IF(A2="","",'Trial Rows'!H2)</x:f>
      </x:c>
      <x:c r="E2" s="2" t="str">
        <x:f>IF(A2="","",SUMIFS(Calculations!$F$2:$F$201,'Trial Rows'!$B$2:$B$201,'Trial Rows'!B2,'Trial Rows'!$C$2:$C$201,'Trial Rows'!C2,'Trial Rows'!$F$2:$F$201,'Trial Rows'!F2,'Trial Rows'!$Y$2:$Y$201,'Trial Rows'!Y2))</x:f>
      </x:c>
      <x:c r="F2" s="2" t="str">
        <x:f>IF(A2="","",SUMIFS(Calculations!$G$2:$G$201,'Trial Rows'!$B$2:$B$201,'Trial Rows'!B2,'Trial Rows'!$C$2:$C$201,'Trial Rows'!C2,'Trial Rows'!$F$2:$F$201,'Trial Rows'!F2,'Trial Rows'!$Y$2:$Y$201,'Trial Rows'!Y2))</x:f>
      </x:c>
      <x:c r="G2" s="7" t="str">
        <x:f>IF(OR(A2="",E2=0),"",F2/E2)</x:f>
      </x:c>
      <x:c r="H2" s="7" t="str">
        <x:f>IF(OR(A2="",SUMIFS(Calculations!$H$2:$H$201,'Trial Rows'!$B$2:$B$201,'Trial Rows'!B2,'Trial Rows'!$C$2:$C$201,'Trial Rows'!C2,'Trial Rows'!$F$2:$F$201,'Trial Rows'!F2,'Trial Rows'!$Y$2:$Y$201,'Trial Rows'!Y2)=0),"",SUMIFS(Calculations!$I$2:$I$201,'Trial Rows'!$B$2:$B$201,'Trial Rows'!B2,'Trial Rows'!$C$2:$C$201,'Trial Rows'!C2,'Trial Rows'!$F$2:$F$201,'Trial Rows'!F2,'Trial Rows'!$Y$2:$Y$201,'Trial Rows'!Y2)/SUMIFS(Calculations!$H$2:$H$201,'Trial Rows'!$B$2:$B$201,'Trial Rows'!B2,'Trial Rows'!$C$2:$C$201,'Trial Rows'!C2,'Trial Rows'!$F$2:$F$201,'Trial Rows'!F2,'Trial Rows'!$Y$2:$Y$201,'Trial Rows'!Y2))</x:f>
      </x:c>
      <x:c r="I2" s="2" t="str">
        <x:f>IF(AND(A2&lt;&gt;"",COUNTIFS('Trial Rows'!$B$2:$B$201,'Trial Rows'!B2,'Trial Rows'!$C$2:$C$201,'Trial Rows'!C2,'Trial Rows'!$F$2:$F$201,'Trial Rows'!F2,'Trial Rows'!$Y$2:$Y$201,'Trial Rows'!Y2,'Trial Rows'!$G$2:$G$201,"A",Calculations!$R$2:$R$201,"&gt;=0",Calculations!$R$2:$R$201,"&lt;&gt;")=1),SUMIFS(Calculations!$R$2:$R$201,'Trial Rows'!$B$2:$B$201,'Trial Rows'!B2,'Trial Rows'!$C$2:$C$201,'Trial Rows'!C2,'Trial Rows'!$F$2:$F$201,'Trial Rows'!F2,'Trial Rows'!$Y$2:$Y$201,'Trial Rows'!Y2,'Trial Rows'!$G$2:$G$201,"A"),"")</x:f>
      </x:c>
      <x:c r="J2" s="2" t="str">
        <x:f>IF(AND(A2&lt;&gt;"",COUNTIFS('Trial Rows'!$B$2:$B$201,'Trial Rows'!B2,'Trial Rows'!$C$2:$C$201,'Trial Rows'!C2,'Trial Rows'!$F$2:$F$201,'Trial Rows'!F2,'Trial Rows'!$Y$2:$Y$201,'Trial Rows'!Y2,'Trial Rows'!$G$2:$G$201,"B",Calculations!$R$2:$R$201,"&gt;=0",Calculations!$R$2:$R$201,"&lt;&gt;")=1),SUMIFS(Calculations!$R$2:$R$201,'Trial Rows'!$B$2:$B$201,'Trial Rows'!B2,'Trial Rows'!$C$2:$C$201,'Trial Rows'!C2,'Trial Rows'!$F$2:$F$201,'Trial Rows'!F2,'Trial Rows'!$Y$2:$Y$201,'Trial Rows'!Y2,'Trial Rows'!$G$2:$G$201,"B"),"")</x:f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 t="str">
        <x:f>IF(AND(Calculations!B3=1,'Trial Rows'!G3="B",'Trial Rows'!I3=1,Calculations!D3=1),'Trial Rows'!C3,"")</x:f>
      </x:c>
      <x:c r="B3" s="2" t="str">
        <x:f>IF(A3="","",'Trial Rows'!B3)</x:f>
      </x:c>
      <x:c r="C3" s="2" t="str">
        <x:f>IF(A3="","",'Trial Rows'!F3)</x:f>
      </x:c>
      <x:c r="D3" s="2" t="str">
        <x:f>IF(A3="","",'Trial Rows'!H3)</x:f>
      </x:c>
      <x:c r="E3" s="2" t="str">
        <x:f>IF(A3="","",SUMIFS(Calculations!$F$2:$F$201,'Trial Rows'!$B$2:$B$201,'Trial Rows'!B3,'Trial Rows'!$C$2:$C$201,'Trial Rows'!C3,'Trial Rows'!$F$2:$F$201,'Trial Rows'!F3,'Trial Rows'!$Y$2:$Y$201,'Trial Rows'!Y3))</x:f>
      </x:c>
      <x:c r="F3" s="2" t="str">
        <x:f>IF(A3="","",SUMIFS(Calculations!$G$2:$G$201,'Trial Rows'!$B$2:$B$201,'Trial Rows'!B3,'Trial Rows'!$C$2:$C$201,'Trial Rows'!C3,'Trial Rows'!$F$2:$F$201,'Trial Rows'!F3,'Trial Rows'!$Y$2:$Y$201,'Trial Rows'!Y3))</x:f>
      </x:c>
      <x:c r="G3" s="7" t="str">
        <x:f>IF(OR(A3="",E3=0),"",F3/E3)</x:f>
      </x:c>
      <x:c r="H3" s="7" t="str">
        <x:f>IF(OR(A3="",SUMIFS(Calculations!$H$2:$H$201,'Trial Rows'!$B$2:$B$201,'Trial Rows'!B3,'Trial Rows'!$C$2:$C$201,'Trial Rows'!C3,'Trial Rows'!$F$2:$F$201,'Trial Rows'!F3,'Trial Rows'!$Y$2:$Y$201,'Trial Rows'!Y3)=0),"",SUMIFS(Calculations!$I$2:$I$201,'Trial Rows'!$B$2:$B$201,'Trial Rows'!B3,'Trial Rows'!$C$2:$C$201,'Trial Rows'!C3,'Trial Rows'!$F$2:$F$201,'Trial Rows'!F3,'Trial Rows'!$Y$2:$Y$201,'Trial Rows'!Y3)/SUMIFS(Calculations!$H$2:$H$201,'Trial Rows'!$B$2:$B$201,'Trial Rows'!B3,'Trial Rows'!$C$2:$C$201,'Trial Rows'!C3,'Trial Rows'!$F$2:$F$201,'Trial Rows'!F3,'Trial Rows'!$Y$2:$Y$201,'Trial Rows'!Y3))</x:f>
      </x:c>
      <x:c r="I3" s="2" t="str">
        <x:f>IF(AND(A3&lt;&gt;"",COUNTIFS('Trial Rows'!$B$2:$B$201,'Trial Rows'!B3,'Trial Rows'!$C$2:$C$201,'Trial Rows'!C3,'Trial Rows'!$F$2:$F$201,'Trial Rows'!F3,'Trial Rows'!$Y$2:$Y$201,'Trial Rows'!Y3,'Trial Rows'!$G$2:$G$201,"A",Calculations!$R$2:$R$201,"&gt;=0",Calculations!$R$2:$R$201,"&lt;&gt;")=1),SUMIFS(Calculations!$R$2:$R$201,'Trial Rows'!$B$2:$B$201,'Trial Rows'!B3,'Trial Rows'!$C$2:$C$201,'Trial Rows'!C3,'Trial Rows'!$F$2:$F$201,'Trial Rows'!F3,'Trial Rows'!$Y$2:$Y$201,'Trial Rows'!Y3,'Trial Rows'!$G$2:$G$201,"A"),"")</x:f>
      </x:c>
      <x:c r="J3" s="2" t="str">
        <x:f>IF(AND(A3&lt;&gt;"",COUNTIFS('Trial Rows'!$B$2:$B$201,'Trial Rows'!B3,'Trial Rows'!$C$2:$C$201,'Trial Rows'!C3,'Trial Rows'!$F$2:$F$201,'Trial Rows'!F3,'Trial Rows'!$Y$2:$Y$201,'Trial Rows'!Y3,'Trial Rows'!$G$2:$G$201,"B",Calculations!$R$2:$R$201,"&gt;=0",Calculations!$R$2:$R$201,"&lt;&gt;")=1),SUMIFS(Calculations!$R$2:$R$201,'Trial Rows'!$B$2:$B$201,'Trial Rows'!B3,'Trial Rows'!$C$2:$C$201,'Trial Rows'!C3,'Trial Rows'!$F$2:$F$201,'Trial Rows'!F3,'Trial Rows'!$Y$2:$Y$201,'Trial Rows'!Y3,'Trial Rows'!$G$2:$G$201,"B"),"")</x:f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 t="str">
        <x:f>IF(AND(Calculations!B4=1,'Trial Rows'!G4="B",'Trial Rows'!I4=1,Calculations!D4=1),'Trial Rows'!C4,"")</x:f>
      </x:c>
      <x:c r="B4" s="2" t="str">
        <x:f>IF(A4="","",'Trial Rows'!B4)</x:f>
      </x:c>
      <x:c r="C4" s="2" t="str">
        <x:f>IF(A4="","",'Trial Rows'!F4)</x:f>
      </x:c>
      <x:c r="D4" s="2" t="str">
        <x:f>IF(A4="","",'Trial Rows'!H4)</x:f>
      </x:c>
      <x:c r="E4" s="2" t="str">
        <x:f>IF(A4="","",SUMIFS(Calculations!$F$2:$F$201,'Trial Rows'!$B$2:$B$201,'Trial Rows'!B4,'Trial Rows'!$C$2:$C$201,'Trial Rows'!C4,'Trial Rows'!$F$2:$F$201,'Trial Rows'!F4,'Trial Rows'!$Y$2:$Y$201,'Trial Rows'!Y4))</x:f>
      </x:c>
      <x:c r="F4" s="2" t="str">
        <x:f>IF(A4="","",SUMIFS(Calculations!$G$2:$G$201,'Trial Rows'!$B$2:$B$201,'Trial Rows'!B4,'Trial Rows'!$C$2:$C$201,'Trial Rows'!C4,'Trial Rows'!$F$2:$F$201,'Trial Rows'!F4,'Trial Rows'!$Y$2:$Y$201,'Trial Rows'!Y4))</x:f>
      </x:c>
      <x:c r="G4" s="7" t="str">
        <x:f>IF(OR(A4="",E4=0),"",F4/E4)</x:f>
      </x:c>
      <x:c r="H4" s="7" t="str">
        <x:f>IF(OR(A4="",SUMIFS(Calculations!$H$2:$H$201,'Trial Rows'!$B$2:$B$201,'Trial Rows'!B4,'Trial Rows'!$C$2:$C$201,'Trial Rows'!C4,'Trial Rows'!$F$2:$F$201,'Trial Rows'!F4,'Trial Rows'!$Y$2:$Y$201,'Trial Rows'!Y4)=0),"",SUMIFS(Calculations!$I$2:$I$201,'Trial Rows'!$B$2:$B$201,'Trial Rows'!B4,'Trial Rows'!$C$2:$C$201,'Trial Rows'!C4,'Trial Rows'!$F$2:$F$201,'Trial Rows'!F4,'Trial Rows'!$Y$2:$Y$201,'Trial Rows'!Y4)/SUMIFS(Calculations!$H$2:$H$201,'Trial Rows'!$B$2:$B$201,'Trial Rows'!B4,'Trial Rows'!$C$2:$C$201,'Trial Rows'!C4,'Trial Rows'!$F$2:$F$201,'Trial Rows'!F4,'Trial Rows'!$Y$2:$Y$201,'Trial Rows'!Y4))</x:f>
      </x:c>
      <x:c r="I4" s="2" t="str">
        <x:f>IF(AND(A4&lt;&gt;"",COUNTIFS('Trial Rows'!$B$2:$B$201,'Trial Rows'!B4,'Trial Rows'!$C$2:$C$201,'Trial Rows'!C4,'Trial Rows'!$F$2:$F$201,'Trial Rows'!F4,'Trial Rows'!$Y$2:$Y$201,'Trial Rows'!Y4,'Trial Rows'!$G$2:$G$201,"A",Calculations!$R$2:$R$201,"&gt;=0",Calculations!$R$2:$R$201,"&lt;&gt;")=1),SUMIFS(Calculations!$R$2:$R$201,'Trial Rows'!$B$2:$B$201,'Trial Rows'!B4,'Trial Rows'!$C$2:$C$201,'Trial Rows'!C4,'Trial Rows'!$F$2:$F$201,'Trial Rows'!F4,'Trial Rows'!$Y$2:$Y$201,'Trial Rows'!Y4,'Trial Rows'!$G$2:$G$201,"A"),"")</x:f>
      </x:c>
      <x:c r="J4" s="2" t="str">
        <x:f>IF(AND(A4&lt;&gt;"",COUNTIFS('Trial Rows'!$B$2:$B$201,'Trial Rows'!B4,'Trial Rows'!$C$2:$C$201,'Trial Rows'!C4,'Trial Rows'!$F$2:$F$201,'Trial Rows'!F4,'Trial Rows'!$Y$2:$Y$201,'Trial Rows'!Y4,'Trial Rows'!$G$2:$G$201,"B",Calculations!$R$2:$R$201,"&gt;=0",Calculations!$R$2:$R$201,"&lt;&gt;")=1),SUMIFS(Calculations!$R$2:$R$201,'Trial Rows'!$B$2:$B$201,'Trial Rows'!B4,'Trial Rows'!$C$2:$C$201,'Trial Rows'!C4,'Trial Rows'!$F$2:$F$201,'Trial Rows'!F4,'Trial Rows'!$Y$2:$Y$201,'Trial Rows'!Y4,'Trial Rows'!$G$2:$G$201,"B"),"")</x:f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 t="str">
        <x:f>IF(AND(Calculations!B5=1,'Trial Rows'!G5="B",'Trial Rows'!I5=1,Calculations!D5=1),'Trial Rows'!C5,"")</x:f>
      </x:c>
      <x:c r="B5" s="2" t="str">
        <x:f>IF(A5="","",'Trial Rows'!B5)</x:f>
      </x:c>
      <x:c r="C5" s="2" t="str">
        <x:f>IF(A5="","",'Trial Rows'!F5)</x:f>
      </x:c>
      <x:c r="D5" s="2" t="str">
        <x:f>IF(A5="","",'Trial Rows'!H5)</x:f>
      </x:c>
      <x:c r="E5" s="2" t="str">
        <x:f>IF(A5="","",SUMIFS(Calculations!$F$2:$F$201,'Trial Rows'!$B$2:$B$201,'Trial Rows'!B5,'Trial Rows'!$C$2:$C$201,'Trial Rows'!C5,'Trial Rows'!$F$2:$F$201,'Trial Rows'!F5,'Trial Rows'!$Y$2:$Y$201,'Trial Rows'!Y5))</x:f>
      </x:c>
      <x:c r="F5" s="2" t="str">
        <x:f>IF(A5="","",SUMIFS(Calculations!$G$2:$G$201,'Trial Rows'!$B$2:$B$201,'Trial Rows'!B5,'Trial Rows'!$C$2:$C$201,'Trial Rows'!C5,'Trial Rows'!$F$2:$F$201,'Trial Rows'!F5,'Trial Rows'!$Y$2:$Y$201,'Trial Rows'!Y5))</x:f>
      </x:c>
      <x:c r="G5" s="7" t="str">
        <x:f>IF(OR(A5="",E5=0),"",F5/E5)</x:f>
      </x:c>
      <x:c r="H5" s="7" t="str">
        <x:f>IF(OR(A5="",SUMIFS(Calculations!$H$2:$H$201,'Trial Rows'!$B$2:$B$201,'Trial Rows'!B5,'Trial Rows'!$C$2:$C$201,'Trial Rows'!C5,'Trial Rows'!$F$2:$F$201,'Trial Rows'!F5,'Trial Rows'!$Y$2:$Y$201,'Trial Rows'!Y5)=0),"",SUMIFS(Calculations!$I$2:$I$201,'Trial Rows'!$B$2:$B$201,'Trial Rows'!B5,'Trial Rows'!$C$2:$C$201,'Trial Rows'!C5,'Trial Rows'!$F$2:$F$201,'Trial Rows'!F5,'Trial Rows'!$Y$2:$Y$201,'Trial Rows'!Y5)/SUMIFS(Calculations!$H$2:$H$201,'Trial Rows'!$B$2:$B$201,'Trial Rows'!B5,'Trial Rows'!$C$2:$C$201,'Trial Rows'!C5,'Trial Rows'!$F$2:$F$201,'Trial Rows'!F5,'Trial Rows'!$Y$2:$Y$201,'Trial Rows'!Y5))</x:f>
      </x:c>
      <x:c r="I5" s="2" t="str">
        <x:f>IF(AND(A5&lt;&gt;"",COUNTIFS('Trial Rows'!$B$2:$B$201,'Trial Rows'!B5,'Trial Rows'!$C$2:$C$201,'Trial Rows'!C5,'Trial Rows'!$F$2:$F$201,'Trial Rows'!F5,'Trial Rows'!$Y$2:$Y$201,'Trial Rows'!Y5,'Trial Rows'!$G$2:$G$201,"A",Calculations!$R$2:$R$201,"&gt;=0",Calculations!$R$2:$R$201,"&lt;&gt;")=1),SUMIFS(Calculations!$R$2:$R$201,'Trial Rows'!$B$2:$B$201,'Trial Rows'!B5,'Trial Rows'!$C$2:$C$201,'Trial Rows'!C5,'Trial Rows'!$F$2:$F$201,'Trial Rows'!F5,'Trial Rows'!$Y$2:$Y$201,'Trial Rows'!Y5,'Trial Rows'!$G$2:$G$201,"A"),"")</x:f>
      </x:c>
      <x:c r="J5" s="2" t="str">
        <x:f>IF(AND(A5&lt;&gt;"",COUNTIFS('Trial Rows'!$B$2:$B$201,'Trial Rows'!B5,'Trial Rows'!$C$2:$C$201,'Trial Rows'!C5,'Trial Rows'!$F$2:$F$201,'Trial Rows'!F5,'Trial Rows'!$Y$2:$Y$201,'Trial Rows'!Y5,'Trial Rows'!$G$2:$G$201,"B",Calculations!$R$2:$R$201,"&gt;=0",Calculations!$R$2:$R$201,"&lt;&gt;")=1),SUMIFS(Calculations!$R$2:$R$201,'Trial Rows'!$B$2:$B$201,'Trial Rows'!B5,'Trial Rows'!$C$2:$C$201,'Trial Rows'!C5,'Trial Rows'!$F$2:$F$201,'Trial Rows'!F5,'Trial Rows'!$Y$2:$Y$201,'Trial Rows'!Y5,'Trial Rows'!$G$2:$G$201,"B"),"")</x:f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2" t="str">
        <x:f>IF(AND(Calculations!B6=1,'Trial Rows'!G6="B",'Trial Rows'!I6=1,Calculations!D6=1),'Trial Rows'!C6,"")</x:f>
        <x:v>TEST01</x:v>
      </x:c>
      <x:c r="B6" s="2" t="str">
        <x:f>IF(A6="","",'Trial Rows'!B6)</x:f>
        <x:v>30cdd71e-9225-42e2-9347-833e110a08b2</x:v>
      </x:c>
      <x:c r="C6" s="2" t="str">
        <x:f>IF(A6="","",'Trial Rows'!F6)</x:f>
        <x:v>PSS4-offline-1.1.0</x:v>
      </x:c>
      <x:c r="D6" s="2" t="str">
        <x:f>IF(A6="","",'Trial Rows'!H6)</x:f>
        <x:v>AB</x:v>
      </x:c>
      <x:c r="E6" s="2" t="n">
        <x:f>IF(A6="","",SUMIFS(Calculations!$F$2:$F$201,'Trial Rows'!$B$2:$B$201,'Trial Rows'!B6,'Trial Rows'!$C$2:$C$201,'Trial Rows'!C6,'Trial Rows'!$F$2:$F$201,'Trial Rows'!F6,'Trial Rows'!$Y$2:$Y$201,'Trial Rows'!Y6))</x:f>
        <x:v>2</x:v>
      </x:c>
      <x:c r="F6" s="2" t="n">
        <x:f>IF(A6="","",SUMIFS(Calculations!$G$2:$G$201,'Trial Rows'!$B$2:$B$201,'Trial Rows'!B6,'Trial Rows'!$C$2:$C$201,'Trial Rows'!C6,'Trial Rows'!$F$2:$F$201,'Trial Rows'!F6,'Trial Rows'!$Y$2:$Y$201,'Trial Rows'!Y6))</x:f>
        <x:v>1</x:v>
      </x:c>
      <x:c r="G6" s="7" t="n">
        <x:f>IF(OR(A6="",E6=0),"",F6/E6)</x:f>
        <x:v>0.5</x:v>
      </x:c>
      <x:c r="H6" s="7" t="n">
        <x:f>IF(OR(A6="",SUMIFS(Calculations!$H$2:$H$201,'Trial Rows'!$B$2:$B$201,'Trial Rows'!B6,'Trial Rows'!$C$2:$C$201,'Trial Rows'!C6,'Trial Rows'!$F$2:$F$201,'Trial Rows'!F6,'Trial Rows'!$Y$2:$Y$201,'Trial Rows'!Y6)=0),"",SUMIFS(Calculations!$I$2:$I$201,'Trial Rows'!$B$2:$B$201,'Trial Rows'!B6,'Trial Rows'!$C$2:$C$201,'Trial Rows'!C6,'Trial Rows'!$F$2:$F$201,'Trial Rows'!F6,'Trial Rows'!$Y$2:$Y$201,'Trial Rows'!Y6)/SUMIFS(Calculations!$H$2:$H$201,'Trial Rows'!$B$2:$B$201,'Trial Rows'!B6,'Trial Rows'!$C$2:$C$201,'Trial Rows'!C6,'Trial Rows'!$F$2:$F$201,'Trial Rows'!F6,'Trial Rows'!$Y$2:$Y$201,'Trial Rows'!Y6))</x:f>
        <x:v>0.6666666666666666</x:v>
      </x:c>
      <x:c r="I6" s="2" t="str">
        <x:f>IF(AND(A6&lt;&gt;"",COUNTIFS('Trial Rows'!$B$2:$B$201,'Trial Rows'!B6,'Trial Rows'!$C$2:$C$201,'Trial Rows'!C6,'Trial Rows'!$F$2:$F$201,'Trial Rows'!F6,'Trial Rows'!$Y$2:$Y$201,'Trial Rows'!Y6,'Trial Rows'!$G$2:$G$201,"A",Calculations!$R$2:$R$201,"&gt;=0",Calculations!$R$2:$R$201,"&lt;&gt;")=1),SUMIFS(Calculations!$R$2:$R$201,'Trial Rows'!$B$2:$B$201,'Trial Rows'!B6,'Trial Rows'!$C$2:$C$201,'Trial Rows'!C6,'Trial Rows'!$F$2:$F$201,'Trial Rows'!F6,'Trial Rows'!$Y$2:$Y$201,'Trial Rows'!Y6,'Trial Rows'!$G$2:$G$201,"A"),"")</x:f>
      </x:c>
      <x:c r="J6" s="2" t="str">
        <x:f>IF(AND(A6&lt;&gt;"",COUNTIFS('Trial Rows'!$B$2:$B$201,'Trial Rows'!B6,'Trial Rows'!$C$2:$C$201,'Trial Rows'!C6,'Trial Rows'!$F$2:$F$201,'Trial Rows'!F6,'Trial Rows'!$Y$2:$Y$201,'Trial Rows'!Y6,'Trial Rows'!$G$2:$G$201,"B",Calculations!$R$2:$R$201,"&gt;=0",Calculations!$R$2:$R$201,"&lt;&gt;")=1),SUMIFS(Calculations!$R$2:$R$201,'Trial Rows'!$B$2:$B$201,'Trial Rows'!B6,'Trial Rows'!$C$2:$C$201,'Trial Rows'!C6,'Trial Rows'!$F$2:$F$201,'Trial Rows'!F6,'Trial Rows'!$Y$2:$Y$201,'Trial Rows'!Y6,'Trial Rows'!$G$2:$G$201,"B"),"")</x:f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>
      <x:c r="A7" s="2" t="str">
        <x:f>IF(AND(Calculations!B7=1,'Trial Rows'!G7="B",'Trial Rows'!I7=1,Calculations!D7=1),'Trial Rows'!C7,"")</x:f>
      </x:c>
      <x:c r="B7" s="2" t="str">
        <x:f>IF(A7="","",'Trial Rows'!B7)</x:f>
      </x:c>
      <x:c r="C7" s="2" t="str">
        <x:f>IF(A7="","",'Trial Rows'!F7)</x:f>
      </x:c>
      <x:c r="D7" s="2" t="str">
        <x:f>IF(A7="","",'Trial Rows'!H7)</x:f>
      </x:c>
      <x:c r="E7" s="2" t="str">
        <x:f>IF(A7="","",SUMIFS(Calculations!$F$2:$F$201,'Trial Rows'!$B$2:$B$201,'Trial Rows'!B7,'Trial Rows'!$C$2:$C$201,'Trial Rows'!C7,'Trial Rows'!$F$2:$F$201,'Trial Rows'!F7,'Trial Rows'!$Y$2:$Y$201,'Trial Rows'!Y7))</x:f>
      </x:c>
      <x:c r="F7" s="2" t="str">
        <x:f>IF(A7="","",SUMIFS(Calculations!$G$2:$G$201,'Trial Rows'!$B$2:$B$201,'Trial Rows'!B7,'Trial Rows'!$C$2:$C$201,'Trial Rows'!C7,'Trial Rows'!$F$2:$F$201,'Trial Rows'!F7,'Trial Rows'!$Y$2:$Y$201,'Trial Rows'!Y7))</x:f>
      </x:c>
      <x:c r="G7" s="7" t="str">
        <x:f>IF(OR(A7="",E7=0),"",F7/E7)</x:f>
      </x:c>
      <x:c r="H7" s="7" t="str">
        <x:f>IF(OR(A7="",SUMIFS(Calculations!$H$2:$H$201,'Trial Rows'!$B$2:$B$201,'Trial Rows'!B7,'Trial Rows'!$C$2:$C$201,'Trial Rows'!C7,'Trial Rows'!$F$2:$F$201,'Trial Rows'!F7,'Trial Rows'!$Y$2:$Y$201,'Trial Rows'!Y7)=0),"",SUMIFS(Calculations!$I$2:$I$201,'Trial Rows'!$B$2:$B$201,'Trial Rows'!B7,'Trial Rows'!$C$2:$C$201,'Trial Rows'!C7,'Trial Rows'!$F$2:$F$201,'Trial Rows'!F7,'Trial Rows'!$Y$2:$Y$201,'Trial Rows'!Y7)/SUMIFS(Calculations!$H$2:$H$201,'Trial Rows'!$B$2:$B$201,'Trial Rows'!B7,'Trial Rows'!$C$2:$C$201,'Trial Rows'!C7,'Trial Rows'!$F$2:$F$201,'Trial Rows'!F7,'Trial Rows'!$Y$2:$Y$201,'Trial Rows'!Y7))</x:f>
      </x:c>
      <x:c r="I7" s="2" t="str">
        <x:f>IF(AND(A7&lt;&gt;"",COUNTIFS('Trial Rows'!$B$2:$B$201,'Trial Rows'!B7,'Trial Rows'!$C$2:$C$201,'Trial Rows'!C7,'Trial Rows'!$F$2:$F$201,'Trial Rows'!F7,'Trial Rows'!$Y$2:$Y$201,'Trial Rows'!Y7,'Trial Rows'!$G$2:$G$201,"A",Calculations!$R$2:$R$201,"&gt;=0",Calculations!$R$2:$R$201,"&lt;&gt;")=1),SUMIFS(Calculations!$R$2:$R$201,'Trial Rows'!$B$2:$B$201,'Trial Rows'!B7,'Trial Rows'!$C$2:$C$201,'Trial Rows'!C7,'Trial Rows'!$F$2:$F$201,'Trial Rows'!F7,'Trial Rows'!$Y$2:$Y$201,'Trial Rows'!Y7,'Trial Rows'!$G$2:$G$201,"A"),"")</x:f>
      </x:c>
      <x:c r="J7" s="2" t="str">
        <x:f>IF(AND(A7&lt;&gt;"",COUNTIFS('Trial Rows'!$B$2:$B$201,'Trial Rows'!B7,'Trial Rows'!$C$2:$C$201,'Trial Rows'!C7,'Trial Rows'!$F$2:$F$201,'Trial Rows'!F7,'Trial Rows'!$Y$2:$Y$201,'Trial Rows'!Y7,'Trial Rows'!$G$2:$G$201,"B",Calculations!$R$2:$R$201,"&gt;=0",Calculations!$R$2:$R$201,"&lt;&gt;")=1),SUMIFS(Calculations!$R$2:$R$201,'Trial Rows'!$B$2:$B$201,'Trial Rows'!B7,'Trial Rows'!$C$2:$C$201,'Trial Rows'!C7,'Trial Rows'!$F$2:$F$201,'Trial Rows'!F7,'Trial Rows'!$Y$2:$Y$201,'Trial Rows'!Y7,'Trial Rows'!$G$2:$G$201,"B"),"")</x:f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>
      <x:c r="A8" s="2" t="str">
        <x:f>IF(AND(Calculations!B8=1,'Trial Rows'!G8="B",'Trial Rows'!I8=1,Calculations!D8=1),'Trial Rows'!C8,"")</x:f>
      </x:c>
      <x:c r="B8" s="2" t="str">
        <x:f>IF(A8="","",'Trial Rows'!B8)</x:f>
      </x:c>
      <x:c r="C8" s="2" t="str">
        <x:f>IF(A8="","",'Trial Rows'!F8)</x:f>
      </x:c>
      <x:c r="D8" s="2" t="str">
        <x:f>IF(A8="","",'Trial Rows'!H8)</x:f>
      </x:c>
      <x:c r="E8" s="2" t="str">
        <x:f>IF(A8="","",SUMIFS(Calculations!$F$2:$F$201,'Trial Rows'!$B$2:$B$201,'Trial Rows'!B8,'Trial Rows'!$C$2:$C$201,'Trial Rows'!C8,'Trial Rows'!$F$2:$F$201,'Trial Rows'!F8,'Trial Rows'!$Y$2:$Y$201,'Trial Rows'!Y8))</x:f>
      </x:c>
      <x:c r="F8" s="2" t="str">
        <x:f>IF(A8="","",SUMIFS(Calculations!$G$2:$G$201,'Trial Rows'!$B$2:$B$201,'Trial Rows'!B8,'Trial Rows'!$C$2:$C$201,'Trial Rows'!C8,'Trial Rows'!$F$2:$F$201,'Trial Rows'!F8,'Trial Rows'!$Y$2:$Y$201,'Trial Rows'!Y8))</x:f>
      </x:c>
      <x:c r="G8" s="7" t="str">
        <x:f>IF(OR(A8="",E8=0),"",F8/E8)</x:f>
      </x:c>
      <x:c r="H8" s="7" t="str">
        <x:f>IF(OR(A8="",SUMIFS(Calculations!$H$2:$H$201,'Trial Rows'!$B$2:$B$201,'Trial Rows'!B8,'Trial Rows'!$C$2:$C$201,'Trial Rows'!C8,'Trial Rows'!$F$2:$F$201,'Trial Rows'!F8,'Trial Rows'!$Y$2:$Y$201,'Trial Rows'!Y8)=0),"",SUMIFS(Calculations!$I$2:$I$201,'Trial Rows'!$B$2:$B$201,'Trial Rows'!B8,'Trial Rows'!$C$2:$C$201,'Trial Rows'!C8,'Trial Rows'!$F$2:$F$201,'Trial Rows'!F8,'Trial Rows'!$Y$2:$Y$201,'Trial Rows'!Y8)/SUMIFS(Calculations!$H$2:$H$201,'Trial Rows'!$B$2:$B$201,'Trial Rows'!B8,'Trial Rows'!$C$2:$C$201,'Trial Rows'!C8,'Trial Rows'!$F$2:$F$201,'Trial Rows'!F8,'Trial Rows'!$Y$2:$Y$201,'Trial Rows'!Y8))</x:f>
      </x:c>
      <x:c r="I8" s="2" t="str">
        <x:f>IF(AND(A8&lt;&gt;"",COUNTIFS('Trial Rows'!$B$2:$B$201,'Trial Rows'!B8,'Trial Rows'!$C$2:$C$201,'Trial Rows'!C8,'Trial Rows'!$F$2:$F$201,'Trial Rows'!F8,'Trial Rows'!$Y$2:$Y$201,'Trial Rows'!Y8,'Trial Rows'!$G$2:$G$201,"A",Calculations!$R$2:$R$201,"&gt;=0",Calculations!$R$2:$R$201,"&lt;&gt;")=1),SUMIFS(Calculations!$R$2:$R$201,'Trial Rows'!$B$2:$B$201,'Trial Rows'!B8,'Trial Rows'!$C$2:$C$201,'Trial Rows'!C8,'Trial Rows'!$F$2:$F$201,'Trial Rows'!F8,'Trial Rows'!$Y$2:$Y$201,'Trial Rows'!Y8,'Trial Rows'!$G$2:$G$201,"A"),"")</x:f>
      </x:c>
      <x:c r="J8" s="2" t="str">
        <x:f>IF(AND(A8&lt;&gt;"",COUNTIFS('Trial Rows'!$B$2:$B$201,'Trial Rows'!B8,'Trial Rows'!$C$2:$C$201,'Trial Rows'!C8,'Trial Rows'!$F$2:$F$201,'Trial Rows'!F8,'Trial Rows'!$Y$2:$Y$201,'Trial Rows'!Y8,'Trial Rows'!$G$2:$G$201,"B",Calculations!$R$2:$R$201,"&gt;=0",Calculations!$R$2:$R$201,"&lt;&gt;")=1),SUMIFS(Calculations!$R$2:$R$201,'Trial Rows'!$B$2:$B$201,'Trial Rows'!B8,'Trial Rows'!$C$2:$C$201,'Trial Rows'!C8,'Trial Rows'!$F$2:$F$201,'Trial Rows'!F8,'Trial Rows'!$Y$2:$Y$201,'Trial Rows'!Y8,'Trial Rows'!$G$2:$G$201,"B"),"")</x:f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>
      <x:c r="A9" s="2" t="str">
        <x:f>IF(AND(Calculations!B9=1,'Trial Rows'!G9="B",'Trial Rows'!I9=1,Calculations!D9=1),'Trial Rows'!C9,"")</x:f>
      </x:c>
      <x:c r="B9" s="2" t="str">
        <x:f>IF(A9="","",'Trial Rows'!B9)</x:f>
      </x:c>
      <x:c r="C9" s="2" t="str">
        <x:f>IF(A9="","",'Trial Rows'!F9)</x:f>
      </x:c>
      <x:c r="D9" s="2" t="str">
        <x:f>IF(A9="","",'Trial Rows'!H9)</x:f>
      </x:c>
      <x:c r="E9" s="2" t="str">
        <x:f>IF(A9="","",SUMIFS(Calculations!$F$2:$F$201,'Trial Rows'!$B$2:$B$201,'Trial Rows'!B9,'Trial Rows'!$C$2:$C$201,'Trial Rows'!C9,'Trial Rows'!$F$2:$F$201,'Trial Rows'!F9,'Trial Rows'!$Y$2:$Y$201,'Trial Rows'!Y9))</x:f>
      </x:c>
      <x:c r="F9" s="2" t="str">
        <x:f>IF(A9="","",SUMIFS(Calculations!$G$2:$G$201,'Trial Rows'!$B$2:$B$201,'Trial Rows'!B9,'Trial Rows'!$C$2:$C$201,'Trial Rows'!C9,'Trial Rows'!$F$2:$F$201,'Trial Rows'!F9,'Trial Rows'!$Y$2:$Y$201,'Trial Rows'!Y9))</x:f>
      </x:c>
      <x:c r="G9" s="7" t="str">
        <x:f>IF(OR(A9="",E9=0),"",F9/E9)</x:f>
      </x:c>
      <x:c r="H9" s="7" t="str">
        <x:f>IF(OR(A9="",SUMIFS(Calculations!$H$2:$H$201,'Trial Rows'!$B$2:$B$201,'Trial Rows'!B9,'Trial Rows'!$C$2:$C$201,'Trial Rows'!C9,'Trial Rows'!$F$2:$F$201,'Trial Rows'!F9,'Trial Rows'!$Y$2:$Y$201,'Trial Rows'!Y9)=0),"",SUMIFS(Calculations!$I$2:$I$201,'Trial Rows'!$B$2:$B$201,'Trial Rows'!B9,'Trial Rows'!$C$2:$C$201,'Trial Rows'!C9,'Trial Rows'!$F$2:$F$201,'Trial Rows'!F9,'Trial Rows'!$Y$2:$Y$201,'Trial Rows'!Y9)/SUMIFS(Calculations!$H$2:$H$201,'Trial Rows'!$B$2:$B$201,'Trial Rows'!B9,'Trial Rows'!$C$2:$C$201,'Trial Rows'!C9,'Trial Rows'!$F$2:$F$201,'Trial Rows'!F9,'Trial Rows'!$Y$2:$Y$201,'Trial Rows'!Y9))</x:f>
      </x:c>
      <x:c r="I9" s="2" t="str">
        <x:f>IF(AND(A9&lt;&gt;"",COUNTIFS('Trial Rows'!$B$2:$B$201,'Trial Rows'!B9,'Trial Rows'!$C$2:$C$201,'Trial Rows'!C9,'Trial Rows'!$F$2:$F$201,'Trial Rows'!F9,'Trial Rows'!$Y$2:$Y$201,'Trial Rows'!Y9,'Trial Rows'!$G$2:$G$201,"A",Calculations!$R$2:$R$201,"&gt;=0",Calculations!$R$2:$R$201,"&lt;&gt;")=1),SUMIFS(Calculations!$R$2:$R$201,'Trial Rows'!$B$2:$B$201,'Trial Rows'!B9,'Trial Rows'!$C$2:$C$201,'Trial Rows'!C9,'Trial Rows'!$F$2:$F$201,'Trial Rows'!F9,'Trial Rows'!$Y$2:$Y$201,'Trial Rows'!Y9,'Trial Rows'!$G$2:$G$201,"A"),"")</x:f>
      </x:c>
      <x:c r="J9" s="2" t="str">
        <x:f>IF(AND(A9&lt;&gt;"",COUNTIFS('Trial Rows'!$B$2:$B$201,'Trial Rows'!B9,'Trial Rows'!$C$2:$C$201,'Trial Rows'!C9,'Trial Rows'!$F$2:$F$201,'Trial Rows'!F9,'Trial Rows'!$Y$2:$Y$201,'Trial Rows'!Y9,'Trial Rows'!$G$2:$G$201,"B",Calculations!$R$2:$R$201,"&gt;=0",Calculations!$R$2:$R$201,"&lt;&gt;")=1),SUMIFS(Calculations!$R$2:$R$201,'Trial Rows'!$B$2:$B$201,'Trial Rows'!B9,'Trial Rows'!$C$2:$C$201,'Trial Rows'!C9,'Trial Rows'!$F$2:$F$201,'Trial Rows'!F9,'Trial Rows'!$Y$2:$Y$201,'Trial Rows'!Y9,'Trial Rows'!$G$2:$G$201,"B"),"")</x:f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>
      <x:c r="A10" s="2" t="str">
        <x:f>IF(AND(Calculations!B10=1,'Trial Rows'!G10="B",'Trial Rows'!I10=1,Calculations!D10=1),'Trial Rows'!C10,"")</x:f>
      </x:c>
      <x:c r="B10" s="2" t="str">
        <x:f>IF(A10="","",'Trial Rows'!B10)</x:f>
      </x:c>
      <x:c r="C10" s="2" t="str">
        <x:f>IF(A10="","",'Trial Rows'!F10)</x:f>
      </x:c>
      <x:c r="D10" s="2" t="str">
        <x:f>IF(A10="","",'Trial Rows'!H10)</x:f>
      </x:c>
      <x:c r="E10" s="2" t="str">
        <x:f>IF(A10="","",SUMIFS(Calculations!$F$2:$F$201,'Trial Rows'!$B$2:$B$201,'Trial Rows'!B10,'Trial Rows'!$C$2:$C$201,'Trial Rows'!C10,'Trial Rows'!$F$2:$F$201,'Trial Rows'!F10,'Trial Rows'!$Y$2:$Y$201,'Trial Rows'!Y10))</x:f>
      </x:c>
      <x:c r="F10" s="2" t="str">
        <x:f>IF(A10="","",SUMIFS(Calculations!$G$2:$G$201,'Trial Rows'!$B$2:$B$201,'Trial Rows'!B10,'Trial Rows'!$C$2:$C$201,'Trial Rows'!C10,'Trial Rows'!$F$2:$F$201,'Trial Rows'!F10,'Trial Rows'!$Y$2:$Y$201,'Trial Rows'!Y10))</x:f>
      </x:c>
      <x:c r="G10" s="7" t="str">
        <x:f>IF(OR(A10="",E10=0),"",F10/E10)</x:f>
      </x:c>
      <x:c r="H10" s="7" t="str">
        <x:f>IF(OR(A10="",SUMIFS(Calculations!$H$2:$H$201,'Trial Rows'!$B$2:$B$201,'Trial Rows'!B10,'Trial Rows'!$C$2:$C$201,'Trial Rows'!C10,'Trial Rows'!$F$2:$F$201,'Trial Rows'!F10,'Trial Rows'!$Y$2:$Y$201,'Trial Rows'!Y10)=0),"",SUMIFS(Calculations!$I$2:$I$201,'Trial Rows'!$B$2:$B$201,'Trial Rows'!B10,'Trial Rows'!$C$2:$C$201,'Trial Rows'!C10,'Trial Rows'!$F$2:$F$201,'Trial Rows'!F10,'Trial Rows'!$Y$2:$Y$201,'Trial Rows'!Y10)/SUMIFS(Calculations!$H$2:$H$201,'Trial Rows'!$B$2:$B$201,'Trial Rows'!B10,'Trial Rows'!$C$2:$C$201,'Trial Rows'!C10,'Trial Rows'!$F$2:$F$201,'Trial Rows'!F10,'Trial Rows'!$Y$2:$Y$201,'Trial Rows'!Y10))</x:f>
      </x:c>
      <x:c r="I10" s="2" t="str">
        <x:f>IF(AND(A10&lt;&gt;"",COUNTIFS('Trial Rows'!$B$2:$B$201,'Trial Rows'!B10,'Trial Rows'!$C$2:$C$201,'Trial Rows'!C10,'Trial Rows'!$F$2:$F$201,'Trial Rows'!F10,'Trial Rows'!$Y$2:$Y$201,'Trial Rows'!Y10,'Trial Rows'!$G$2:$G$201,"A",Calculations!$R$2:$R$201,"&gt;=0",Calculations!$R$2:$R$201,"&lt;&gt;")=1),SUMIFS(Calculations!$R$2:$R$201,'Trial Rows'!$B$2:$B$201,'Trial Rows'!B10,'Trial Rows'!$C$2:$C$201,'Trial Rows'!C10,'Trial Rows'!$F$2:$F$201,'Trial Rows'!F10,'Trial Rows'!$Y$2:$Y$201,'Trial Rows'!Y10,'Trial Rows'!$G$2:$G$201,"A"),"")</x:f>
      </x:c>
      <x:c r="J10" s="2" t="str">
        <x:f>IF(AND(A10&lt;&gt;"",COUNTIFS('Trial Rows'!$B$2:$B$201,'Trial Rows'!B10,'Trial Rows'!$C$2:$C$201,'Trial Rows'!C10,'Trial Rows'!$F$2:$F$201,'Trial Rows'!F10,'Trial Rows'!$Y$2:$Y$201,'Trial Rows'!Y10,'Trial Rows'!$G$2:$G$201,"B",Calculations!$R$2:$R$201,"&gt;=0",Calculations!$R$2:$R$201,"&lt;&gt;")=1),SUMIFS(Calculations!$R$2:$R$201,'Trial Rows'!$B$2:$B$201,'Trial Rows'!B10,'Trial Rows'!$C$2:$C$201,'Trial Rows'!C10,'Trial Rows'!$F$2:$F$201,'Trial Rows'!F10,'Trial Rows'!$Y$2:$Y$201,'Trial Rows'!Y10,'Trial Rows'!$G$2:$G$201,"B"),"")</x:f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>
      <x:c r="A11" s="2" t="str">
        <x:f>IF(AND(Calculations!B11=1,'Trial Rows'!G11="B",'Trial Rows'!I11=1,Calculations!D11=1),'Trial Rows'!C11,"")</x:f>
      </x:c>
      <x:c r="B11" s="2" t="str">
        <x:f>IF(A11="","",'Trial Rows'!B11)</x:f>
      </x:c>
      <x:c r="C11" s="2" t="str">
        <x:f>IF(A11="","",'Trial Rows'!F11)</x:f>
      </x:c>
      <x:c r="D11" s="2" t="str">
        <x:f>IF(A11="","",'Trial Rows'!H11)</x:f>
      </x:c>
      <x:c r="E11" s="2" t="str">
        <x:f>IF(A11="","",SUMIFS(Calculations!$F$2:$F$201,'Trial Rows'!$B$2:$B$201,'Trial Rows'!B11,'Trial Rows'!$C$2:$C$201,'Trial Rows'!C11,'Trial Rows'!$F$2:$F$201,'Trial Rows'!F11,'Trial Rows'!$Y$2:$Y$201,'Trial Rows'!Y11))</x:f>
      </x:c>
      <x:c r="F11" s="2" t="str">
        <x:f>IF(A11="","",SUMIFS(Calculations!$G$2:$G$201,'Trial Rows'!$B$2:$B$201,'Trial Rows'!B11,'Trial Rows'!$C$2:$C$201,'Trial Rows'!C11,'Trial Rows'!$F$2:$F$201,'Trial Rows'!F11,'Trial Rows'!$Y$2:$Y$201,'Trial Rows'!Y11))</x:f>
      </x:c>
      <x:c r="G11" s="7" t="str">
        <x:f>IF(OR(A11="",E11=0),"",F11/E11)</x:f>
      </x:c>
      <x:c r="H11" s="7" t="str">
        <x:f>IF(OR(A11="",SUMIFS(Calculations!$H$2:$H$201,'Trial Rows'!$B$2:$B$201,'Trial Rows'!B11,'Trial Rows'!$C$2:$C$201,'Trial Rows'!C11,'Trial Rows'!$F$2:$F$201,'Trial Rows'!F11,'Trial Rows'!$Y$2:$Y$201,'Trial Rows'!Y11)=0),"",SUMIFS(Calculations!$I$2:$I$201,'Trial Rows'!$B$2:$B$201,'Trial Rows'!B11,'Trial Rows'!$C$2:$C$201,'Trial Rows'!C11,'Trial Rows'!$F$2:$F$201,'Trial Rows'!F11,'Trial Rows'!$Y$2:$Y$201,'Trial Rows'!Y11)/SUMIFS(Calculations!$H$2:$H$201,'Trial Rows'!$B$2:$B$201,'Trial Rows'!B11,'Trial Rows'!$C$2:$C$201,'Trial Rows'!C11,'Trial Rows'!$F$2:$F$201,'Trial Rows'!F11,'Trial Rows'!$Y$2:$Y$201,'Trial Rows'!Y11))</x:f>
      </x:c>
      <x:c r="I11" s="2" t="str">
        <x:f>IF(AND(A11&lt;&gt;"",COUNTIFS('Trial Rows'!$B$2:$B$201,'Trial Rows'!B11,'Trial Rows'!$C$2:$C$201,'Trial Rows'!C11,'Trial Rows'!$F$2:$F$201,'Trial Rows'!F11,'Trial Rows'!$Y$2:$Y$201,'Trial Rows'!Y11,'Trial Rows'!$G$2:$G$201,"A",Calculations!$R$2:$R$201,"&gt;=0",Calculations!$R$2:$R$201,"&lt;&gt;")=1),SUMIFS(Calculations!$R$2:$R$201,'Trial Rows'!$B$2:$B$201,'Trial Rows'!B11,'Trial Rows'!$C$2:$C$201,'Trial Rows'!C11,'Trial Rows'!$F$2:$F$201,'Trial Rows'!F11,'Trial Rows'!$Y$2:$Y$201,'Trial Rows'!Y11,'Trial Rows'!$G$2:$G$201,"A"),"")</x:f>
      </x:c>
      <x:c r="J11" s="2" t="str">
        <x:f>IF(AND(A11&lt;&gt;"",COUNTIFS('Trial Rows'!$B$2:$B$201,'Trial Rows'!B11,'Trial Rows'!$C$2:$C$201,'Trial Rows'!C11,'Trial Rows'!$F$2:$F$201,'Trial Rows'!F11,'Trial Rows'!$Y$2:$Y$201,'Trial Rows'!Y11,'Trial Rows'!$G$2:$G$201,"B",Calculations!$R$2:$R$201,"&gt;=0",Calculations!$R$2:$R$201,"&lt;&gt;")=1),SUMIFS(Calculations!$R$2:$R$201,'Trial Rows'!$B$2:$B$201,'Trial Rows'!B11,'Trial Rows'!$C$2:$C$201,'Trial Rows'!C11,'Trial Rows'!$F$2:$F$201,'Trial Rows'!F11,'Trial Rows'!$Y$2:$Y$201,'Trial Rows'!Y11,'Trial Rows'!$G$2:$G$201,"B"),"")</x:f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>
      <x:c r="A12" s="2" t="str">
        <x:f>IF(AND(Calculations!B12=1,'Trial Rows'!G12="B",'Trial Rows'!I12=1,Calculations!D12=1),'Trial Rows'!C12,"")</x:f>
      </x:c>
      <x:c r="B12" s="2" t="str">
        <x:f>IF(A12="","",'Trial Rows'!B12)</x:f>
      </x:c>
      <x:c r="C12" s="2" t="str">
        <x:f>IF(A12="","",'Trial Rows'!F12)</x:f>
      </x:c>
      <x:c r="D12" s="2" t="str">
        <x:f>IF(A12="","",'Trial Rows'!H12)</x:f>
      </x:c>
      <x:c r="E12" s="2" t="str">
        <x:f>IF(A12="","",SUMIFS(Calculations!$F$2:$F$201,'Trial Rows'!$B$2:$B$201,'Trial Rows'!B12,'Trial Rows'!$C$2:$C$201,'Trial Rows'!C12,'Trial Rows'!$F$2:$F$201,'Trial Rows'!F12,'Trial Rows'!$Y$2:$Y$201,'Trial Rows'!Y12))</x:f>
      </x:c>
      <x:c r="F12" s="2" t="str">
        <x:f>IF(A12="","",SUMIFS(Calculations!$G$2:$G$201,'Trial Rows'!$B$2:$B$201,'Trial Rows'!B12,'Trial Rows'!$C$2:$C$201,'Trial Rows'!C12,'Trial Rows'!$F$2:$F$201,'Trial Rows'!F12,'Trial Rows'!$Y$2:$Y$201,'Trial Rows'!Y12))</x:f>
      </x:c>
      <x:c r="G12" s="7" t="str">
        <x:f>IF(OR(A12="",E12=0),"",F12/E12)</x:f>
      </x:c>
      <x:c r="H12" s="7" t="str">
        <x:f>IF(OR(A12="",SUMIFS(Calculations!$H$2:$H$201,'Trial Rows'!$B$2:$B$201,'Trial Rows'!B12,'Trial Rows'!$C$2:$C$201,'Trial Rows'!C12,'Trial Rows'!$F$2:$F$201,'Trial Rows'!F12,'Trial Rows'!$Y$2:$Y$201,'Trial Rows'!Y12)=0),"",SUMIFS(Calculations!$I$2:$I$201,'Trial Rows'!$B$2:$B$201,'Trial Rows'!B12,'Trial Rows'!$C$2:$C$201,'Trial Rows'!C12,'Trial Rows'!$F$2:$F$201,'Trial Rows'!F12,'Trial Rows'!$Y$2:$Y$201,'Trial Rows'!Y12)/SUMIFS(Calculations!$H$2:$H$201,'Trial Rows'!$B$2:$B$201,'Trial Rows'!B12,'Trial Rows'!$C$2:$C$201,'Trial Rows'!C12,'Trial Rows'!$F$2:$F$201,'Trial Rows'!F12,'Trial Rows'!$Y$2:$Y$201,'Trial Rows'!Y12))</x:f>
      </x:c>
      <x:c r="I12" s="2" t="str">
        <x:f>IF(AND(A12&lt;&gt;"",COUNTIFS('Trial Rows'!$B$2:$B$201,'Trial Rows'!B12,'Trial Rows'!$C$2:$C$201,'Trial Rows'!C12,'Trial Rows'!$F$2:$F$201,'Trial Rows'!F12,'Trial Rows'!$Y$2:$Y$201,'Trial Rows'!Y12,'Trial Rows'!$G$2:$G$201,"A",Calculations!$R$2:$R$201,"&gt;=0",Calculations!$R$2:$R$201,"&lt;&gt;")=1),SUMIFS(Calculations!$R$2:$R$201,'Trial Rows'!$B$2:$B$201,'Trial Rows'!B12,'Trial Rows'!$C$2:$C$201,'Trial Rows'!C12,'Trial Rows'!$F$2:$F$201,'Trial Rows'!F12,'Trial Rows'!$Y$2:$Y$201,'Trial Rows'!Y12,'Trial Rows'!$G$2:$G$201,"A"),"")</x:f>
      </x:c>
      <x:c r="J12" s="2" t="str">
        <x:f>IF(AND(A12&lt;&gt;"",COUNTIFS('Trial Rows'!$B$2:$B$201,'Trial Rows'!B12,'Trial Rows'!$C$2:$C$201,'Trial Rows'!C12,'Trial Rows'!$F$2:$F$201,'Trial Rows'!F12,'Trial Rows'!$Y$2:$Y$201,'Trial Rows'!Y12,'Trial Rows'!$G$2:$G$201,"B",Calculations!$R$2:$R$201,"&gt;=0",Calculations!$R$2:$R$201,"&lt;&gt;")=1),SUMIFS(Calculations!$R$2:$R$201,'Trial Rows'!$B$2:$B$201,'Trial Rows'!B12,'Trial Rows'!$C$2:$C$201,'Trial Rows'!C12,'Trial Rows'!$F$2:$F$201,'Trial Rows'!F12,'Trial Rows'!$Y$2:$Y$201,'Trial Rows'!Y12,'Trial Rows'!$G$2:$G$201,"B"),"")</x:f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A13" s="2" t="str">
        <x:f>IF(AND(Calculations!B13=1,'Trial Rows'!G13="B",'Trial Rows'!I13=1,Calculations!D13=1),'Trial Rows'!C13,"")</x:f>
      </x:c>
      <x:c r="B13" s="2" t="str">
        <x:f>IF(A13="","",'Trial Rows'!B13)</x:f>
      </x:c>
      <x:c r="C13" s="2" t="str">
        <x:f>IF(A13="","",'Trial Rows'!F13)</x:f>
      </x:c>
      <x:c r="D13" s="2" t="str">
        <x:f>IF(A13="","",'Trial Rows'!H13)</x:f>
      </x:c>
      <x:c r="E13" s="2" t="str">
        <x:f>IF(A13="","",SUMIFS(Calculations!$F$2:$F$201,'Trial Rows'!$B$2:$B$201,'Trial Rows'!B13,'Trial Rows'!$C$2:$C$201,'Trial Rows'!C13,'Trial Rows'!$F$2:$F$201,'Trial Rows'!F13,'Trial Rows'!$Y$2:$Y$201,'Trial Rows'!Y13))</x:f>
      </x:c>
      <x:c r="F13" s="2" t="str">
        <x:f>IF(A13="","",SUMIFS(Calculations!$G$2:$G$201,'Trial Rows'!$B$2:$B$201,'Trial Rows'!B13,'Trial Rows'!$C$2:$C$201,'Trial Rows'!C13,'Trial Rows'!$F$2:$F$201,'Trial Rows'!F13,'Trial Rows'!$Y$2:$Y$201,'Trial Rows'!Y13))</x:f>
      </x:c>
      <x:c r="G13" s="7" t="str">
        <x:f>IF(OR(A13="",E13=0),"",F13/E13)</x:f>
      </x:c>
      <x:c r="H13" s="7" t="str">
        <x:f>IF(OR(A13="",SUMIFS(Calculations!$H$2:$H$201,'Trial Rows'!$B$2:$B$201,'Trial Rows'!B13,'Trial Rows'!$C$2:$C$201,'Trial Rows'!C13,'Trial Rows'!$F$2:$F$201,'Trial Rows'!F13,'Trial Rows'!$Y$2:$Y$201,'Trial Rows'!Y13)=0),"",SUMIFS(Calculations!$I$2:$I$201,'Trial Rows'!$B$2:$B$201,'Trial Rows'!B13,'Trial Rows'!$C$2:$C$201,'Trial Rows'!C13,'Trial Rows'!$F$2:$F$201,'Trial Rows'!F13,'Trial Rows'!$Y$2:$Y$201,'Trial Rows'!Y13)/SUMIFS(Calculations!$H$2:$H$201,'Trial Rows'!$B$2:$B$201,'Trial Rows'!B13,'Trial Rows'!$C$2:$C$201,'Trial Rows'!C13,'Trial Rows'!$F$2:$F$201,'Trial Rows'!F13,'Trial Rows'!$Y$2:$Y$201,'Trial Rows'!Y13))</x:f>
      </x:c>
      <x:c r="I13" s="2" t="str">
        <x:f>IF(AND(A13&lt;&gt;"",COUNTIFS('Trial Rows'!$B$2:$B$201,'Trial Rows'!B13,'Trial Rows'!$C$2:$C$201,'Trial Rows'!C13,'Trial Rows'!$F$2:$F$201,'Trial Rows'!F13,'Trial Rows'!$Y$2:$Y$201,'Trial Rows'!Y13,'Trial Rows'!$G$2:$G$201,"A",Calculations!$R$2:$R$201,"&gt;=0",Calculations!$R$2:$R$201,"&lt;&gt;")=1),SUMIFS(Calculations!$R$2:$R$201,'Trial Rows'!$B$2:$B$201,'Trial Rows'!B13,'Trial Rows'!$C$2:$C$201,'Trial Rows'!C13,'Trial Rows'!$F$2:$F$201,'Trial Rows'!F13,'Trial Rows'!$Y$2:$Y$201,'Trial Rows'!Y13,'Trial Rows'!$G$2:$G$201,"A"),"")</x:f>
      </x:c>
      <x:c r="J13" s="2" t="str">
        <x:f>IF(AND(A13&lt;&gt;"",COUNTIFS('Trial Rows'!$B$2:$B$201,'Trial Rows'!B13,'Trial Rows'!$C$2:$C$201,'Trial Rows'!C13,'Trial Rows'!$F$2:$F$201,'Trial Rows'!F13,'Trial Rows'!$Y$2:$Y$201,'Trial Rows'!Y13,'Trial Rows'!$G$2:$G$201,"B",Calculations!$R$2:$R$201,"&gt;=0",Calculations!$R$2:$R$201,"&lt;&gt;")=1),SUMIFS(Calculations!$R$2:$R$201,'Trial Rows'!$B$2:$B$201,'Trial Rows'!B13,'Trial Rows'!$C$2:$C$201,'Trial Rows'!C13,'Trial Rows'!$F$2:$F$201,'Trial Rows'!F13,'Trial Rows'!$Y$2:$Y$201,'Trial Rows'!Y13,'Trial Rows'!$G$2:$G$201,"B"),"")</x:f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>
      <x:c r="A14" s="2" t="str">
        <x:f>IF(AND(Calculations!B14=1,'Trial Rows'!G14="B",'Trial Rows'!I14=1,Calculations!D14=1),'Trial Rows'!C14,"")</x:f>
      </x:c>
      <x:c r="B14" s="2" t="str">
        <x:f>IF(A14="","",'Trial Rows'!B14)</x:f>
      </x:c>
      <x:c r="C14" s="2" t="str">
        <x:f>IF(A14="","",'Trial Rows'!F14)</x:f>
      </x:c>
      <x:c r="D14" s="2" t="str">
        <x:f>IF(A14="","",'Trial Rows'!H14)</x:f>
      </x:c>
      <x:c r="E14" s="2" t="str">
        <x:f>IF(A14="","",SUMIFS(Calculations!$F$2:$F$201,'Trial Rows'!$B$2:$B$201,'Trial Rows'!B14,'Trial Rows'!$C$2:$C$201,'Trial Rows'!C14,'Trial Rows'!$F$2:$F$201,'Trial Rows'!F14,'Trial Rows'!$Y$2:$Y$201,'Trial Rows'!Y14))</x:f>
      </x:c>
      <x:c r="F14" s="2" t="str">
        <x:f>IF(A14="","",SUMIFS(Calculations!$G$2:$G$201,'Trial Rows'!$B$2:$B$201,'Trial Rows'!B14,'Trial Rows'!$C$2:$C$201,'Trial Rows'!C14,'Trial Rows'!$F$2:$F$201,'Trial Rows'!F14,'Trial Rows'!$Y$2:$Y$201,'Trial Rows'!Y14))</x:f>
      </x:c>
      <x:c r="G14" s="7" t="str">
        <x:f>IF(OR(A14="",E14=0),"",F14/E14)</x:f>
      </x:c>
      <x:c r="H14" s="7" t="str">
        <x:f>IF(OR(A14="",SUMIFS(Calculations!$H$2:$H$201,'Trial Rows'!$B$2:$B$201,'Trial Rows'!B14,'Trial Rows'!$C$2:$C$201,'Trial Rows'!C14,'Trial Rows'!$F$2:$F$201,'Trial Rows'!F14,'Trial Rows'!$Y$2:$Y$201,'Trial Rows'!Y14)=0),"",SUMIFS(Calculations!$I$2:$I$201,'Trial Rows'!$B$2:$B$201,'Trial Rows'!B14,'Trial Rows'!$C$2:$C$201,'Trial Rows'!C14,'Trial Rows'!$F$2:$F$201,'Trial Rows'!F14,'Trial Rows'!$Y$2:$Y$201,'Trial Rows'!Y14)/SUMIFS(Calculations!$H$2:$H$201,'Trial Rows'!$B$2:$B$201,'Trial Rows'!B14,'Trial Rows'!$C$2:$C$201,'Trial Rows'!C14,'Trial Rows'!$F$2:$F$201,'Trial Rows'!F14,'Trial Rows'!$Y$2:$Y$201,'Trial Rows'!Y14))</x:f>
      </x:c>
      <x:c r="I14" s="2" t="str">
        <x:f>IF(AND(A14&lt;&gt;"",COUNTIFS('Trial Rows'!$B$2:$B$201,'Trial Rows'!B14,'Trial Rows'!$C$2:$C$201,'Trial Rows'!C14,'Trial Rows'!$F$2:$F$201,'Trial Rows'!F14,'Trial Rows'!$Y$2:$Y$201,'Trial Rows'!Y14,'Trial Rows'!$G$2:$G$201,"A",Calculations!$R$2:$R$201,"&gt;=0",Calculations!$R$2:$R$201,"&lt;&gt;")=1),SUMIFS(Calculations!$R$2:$R$201,'Trial Rows'!$B$2:$B$201,'Trial Rows'!B14,'Trial Rows'!$C$2:$C$201,'Trial Rows'!C14,'Trial Rows'!$F$2:$F$201,'Trial Rows'!F14,'Trial Rows'!$Y$2:$Y$201,'Trial Rows'!Y14,'Trial Rows'!$G$2:$G$201,"A"),"")</x:f>
      </x:c>
      <x:c r="J14" s="2" t="str">
        <x:f>IF(AND(A14&lt;&gt;"",COUNTIFS('Trial Rows'!$B$2:$B$201,'Trial Rows'!B14,'Trial Rows'!$C$2:$C$201,'Trial Rows'!C14,'Trial Rows'!$F$2:$F$201,'Trial Rows'!F14,'Trial Rows'!$Y$2:$Y$201,'Trial Rows'!Y14,'Trial Rows'!$G$2:$G$201,"B",Calculations!$R$2:$R$201,"&gt;=0",Calculations!$R$2:$R$201,"&lt;&gt;")=1),SUMIFS(Calculations!$R$2:$R$201,'Trial Rows'!$B$2:$B$201,'Trial Rows'!B14,'Trial Rows'!$C$2:$C$201,'Trial Rows'!C14,'Trial Rows'!$F$2:$F$201,'Trial Rows'!F14,'Trial Rows'!$Y$2:$Y$201,'Trial Rows'!Y14,'Trial Rows'!$G$2:$G$201,"B"),"")</x:f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>
      <x:c r="A15" s="2" t="str">
        <x:f>IF(AND(Calculations!B15=1,'Trial Rows'!G15="B",'Trial Rows'!I15=1,Calculations!D15=1),'Trial Rows'!C15,"")</x:f>
      </x:c>
      <x:c r="B15" s="2" t="str">
        <x:f>IF(A15="","",'Trial Rows'!B15)</x:f>
      </x:c>
      <x:c r="C15" s="2" t="str">
        <x:f>IF(A15="","",'Trial Rows'!F15)</x:f>
      </x:c>
      <x:c r="D15" s="2" t="str">
        <x:f>IF(A15="","",'Trial Rows'!H15)</x:f>
      </x:c>
      <x:c r="E15" s="2" t="str">
        <x:f>IF(A15="","",SUMIFS(Calculations!$F$2:$F$201,'Trial Rows'!$B$2:$B$201,'Trial Rows'!B15,'Trial Rows'!$C$2:$C$201,'Trial Rows'!C15,'Trial Rows'!$F$2:$F$201,'Trial Rows'!F15,'Trial Rows'!$Y$2:$Y$201,'Trial Rows'!Y15))</x:f>
      </x:c>
      <x:c r="F15" s="2" t="str">
        <x:f>IF(A15="","",SUMIFS(Calculations!$G$2:$G$201,'Trial Rows'!$B$2:$B$201,'Trial Rows'!B15,'Trial Rows'!$C$2:$C$201,'Trial Rows'!C15,'Trial Rows'!$F$2:$F$201,'Trial Rows'!F15,'Trial Rows'!$Y$2:$Y$201,'Trial Rows'!Y15))</x:f>
      </x:c>
      <x:c r="G15" s="7" t="str">
        <x:f>IF(OR(A15="",E15=0),"",F15/E15)</x:f>
      </x:c>
      <x:c r="H15" s="7" t="str">
        <x:f>IF(OR(A15="",SUMIFS(Calculations!$H$2:$H$201,'Trial Rows'!$B$2:$B$201,'Trial Rows'!B15,'Trial Rows'!$C$2:$C$201,'Trial Rows'!C15,'Trial Rows'!$F$2:$F$201,'Trial Rows'!F15,'Trial Rows'!$Y$2:$Y$201,'Trial Rows'!Y15)=0),"",SUMIFS(Calculations!$I$2:$I$201,'Trial Rows'!$B$2:$B$201,'Trial Rows'!B15,'Trial Rows'!$C$2:$C$201,'Trial Rows'!C15,'Trial Rows'!$F$2:$F$201,'Trial Rows'!F15,'Trial Rows'!$Y$2:$Y$201,'Trial Rows'!Y15)/SUMIFS(Calculations!$H$2:$H$201,'Trial Rows'!$B$2:$B$201,'Trial Rows'!B15,'Trial Rows'!$C$2:$C$201,'Trial Rows'!C15,'Trial Rows'!$F$2:$F$201,'Trial Rows'!F15,'Trial Rows'!$Y$2:$Y$201,'Trial Rows'!Y15))</x:f>
      </x:c>
      <x:c r="I15" s="2" t="str">
        <x:f>IF(AND(A15&lt;&gt;"",COUNTIFS('Trial Rows'!$B$2:$B$201,'Trial Rows'!B15,'Trial Rows'!$C$2:$C$201,'Trial Rows'!C15,'Trial Rows'!$F$2:$F$201,'Trial Rows'!F15,'Trial Rows'!$Y$2:$Y$201,'Trial Rows'!Y15,'Trial Rows'!$G$2:$G$201,"A",Calculations!$R$2:$R$201,"&gt;=0",Calculations!$R$2:$R$201,"&lt;&gt;")=1),SUMIFS(Calculations!$R$2:$R$201,'Trial Rows'!$B$2:$B$201,'Trial Rows'!B15,'Trial Rows'!$C$2:$C$201,'Trial Rows'!C15,'Trial Rows'!$F$2:$F$201,'Trial Rows'!F15,'Trial Rows'!$Y$2:$Y$201,'Trial Rows'!Y15,'Trial Rows'!$G$2:$G$201,"A"),"")</x:f>
      </x:c>
      <x:c r="J15" s="2" t="str">
        <x:f>IF(AND(A15&lt;&gt;"",COUNTIFS('Trial Rows'!$B$2:$B$201,'Trial Rows'!B15,'Trial Rows'!$C$2:$C$201,'Trial Rows'!C15,'Trial Rows'!$F$2:$F$201,'Trial Rows'!F15,'Trial Rows'!$Y$2:$Y$201,'Trial Rows'!Y15,'Trial Rows'!$G$2:$G$201,"B",Calculations!$R$2:$R$201,"&gt;=0",Calculations!$R$2:$R$201,"&lt;&gt;")=1),SUMIFS(Calculations!$R$2:$R$201,'Trial Rows'!$B$2:$B$201,'Trial Rows'!B15,'Trial Rows'!$C$2:$C$201,'Trial Rows'!C15,'Trial Rows'!$F$2:$F$201,'Trial Rows'!F15,'Trial Rows'!$Y$2:$Y$201,'Trial Rows'!Y15,'Trial Rows'!$G$2:$G$201,"B"),"")</x:f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>
      <x:c r="A16" s="2" t="str">
        <x:f>IF(AND(Calculations!B16=1,'Trial Rows'!G16="B",'Trial Rows'!I16=1,Calculations!D16=1),'Trial Rows'!C16,"")</x:f>
      </x:c>
      <x:c r="B16" s="2" t="str">
        <x:f>IF(A16="","",'Trial Rows'!B16)</x:f>
      </x:c>
      <x:c r="C16" s="2" t="str">
        <x:f>IF(A16="","",'Trial Rows'!F16)</x:f>
      </x:c>
      <x:c r="D16" s="2" t="str">
        <x:f>IF(A16="","",'Trial Rows'!H16)</x:f>
      </x:c>
      <x:c r="E16" s="2" t="str">
        <x:f>IF(A16="","",SUMIFS(Calculations!$F$2:$F$201,'Trial Rows'!$B$2:$B$201,'Trial Rows'!B16,'Trial Rows'!$C$2:$C$201,'Trial Rows'!C16,'Trial Rows'!$F$2:$F$201,'Trial Rows'!F16,'Trial Rows'!$Y$2:$Y$201,'Trial Rows'!Y16))</x:f>
      </x:c>
      <x:c r="F16" s="2" t="str">
        <x:f>IF(A16="","",SUMIFS(Calculations!$G$2:$G$201,'Trial Rows'!$B$2:$B$201,'Trial Rows'!B16,'Trial Rows'!$C$2:$C$201,'Trial Rows'!C16,'Trial Rows'!$F$2:$F$201,'Trial Rows'!F16,'Trial Rows'!$Y$2:$Y$201,'Trial Rows'!Y16))</x:f>
      </x:c>
      <x:c r="G16" s="7" t="str">
        <x:f>IF(OR(A16="",E16=0),"",F16/E16)</x:f>
      </x:c>
      <x:c r="H16" s="7" t="str">
        <x:f>IF(OR(A16="",SUMIFS(Calculations!$H$2:$H$201,'Trial Rows'!$B$2:$B$201,'Trial Rows'!B16,'Trial Rows'!$C$2:$C$201,'Trial Rows'!C16,'Trial Rows'!$F$2:$F$201,'Trial Rows'!F16,'Trial Rows'!$Y$2:$Y$201,'Trial Rows'!Y16)=0),"",SUMIFS(Calculations!$I$2:$I$201,'Trial Rows'!$B$2:$B$201,'Trial Rows'!B16,'Trial Rows'!$C$2:$C$201,'Trial Rows'!C16,'Trial Rows'!$F$2:$F$201,'Trial Rows'!F16,'Trial Rows'!$Y$2:$Y$201,'Trial Rows'!Y16)/SUMIFS(Calculations!$H$2:$H$201,'Trial Rows'!$B$2:$B$201,'Trial Rows'!B16,'Trial Rows'!$C$2:$C$201,'Trial Rows'!C16,'Trial Rows'!$F$2:$F$201,'Trial Rows'!F16,'Trial Rows'!$Y$2:$Y$201,'Trial Rows'!Y16))</x:f>
      </x:c>
      <x:c r="I16" s="2" t="str">
        <x:f>IF(AND(A16&lt;&gt;"",COUNTIFS('Trial Rows'!$B$2:$B$201,'Trial Rows'!B16,'Trial Rows'!$C$2:$C$201,'Trial Rows'!C16,'Trial Rows'!$F$2:$F$201,'Trial Rows'!F16,'Trial Rows'!$Y$2:$Y$201,'Trial Rows'!Y16,'Trial Rows'!$G$2:$G$201,"A",Calculations!$R$2:$R$201,"&gt;=0",Calculations!$R$2:$R$201,"&lt;&gt;")=1),SUMIFS(Calculations!$R$2:$R$201,'Trial Rows'!$B$2:$B$201,'Trial Rows'!B16,'Trial Rows'!$C$2:$C$201,'Trial Rows'!C16,'Trial Rows'!$F$2:$F$201,'Trial Rows'!F16,'Trial Rows'!$Y$2:$Y$201,'Trial Rows'!Y16,'Trial Rows'!$G$2:$G$201,"A"),"")</x:f>
      </x:c>
      <x:c r="J16" s="2" t="str">
        <x:f>IF(AND(A16&lt;&gt;"",COUNTIFS('Trial Rows'!$B$2:$B$201,'Trial Rows'!B16,'Trial Rows'!$C$2:$C$201,'Trial Rows'!C16,'Trial Rows'!$F$2:$F$201,'Trial Rows'!F16,'Trial Rows'!$Y$2:$Y$201,'Trial Rows'!Y16,'Trial Rows'!$G$2:$G$201,"B",Calculations!$R$2:$R$201,"&gt;=0",Calculations!$R$2:$R$201,"&lt;&gt;")=1),SUMIFS(Calculations!$R$2:$R$201,'Trial Rows'!$B$2:$B$201,'Trial Rows'!B16,'Trial Rows'!$C$2:$C$201,'Trial Rows'!C16,'Trial Rows'!$F$2:$F$201,'Trial Rows'!F16,'Trial Rows'!$Y$2:$Y$201,'Trial Rows'!Y16,'Trial Rows'!$G$2:$G$201,"B"),"")</x:f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>
      <x:c r="A17" s="2" t="str">
        <x:f>IF(AND(Calculations!B17=1,'Trial Rows'!G17="B",'Trial Rows'!I17=1,Calculations!D17=1),'Trial Rows'!C17,"")</x:f>
      </x:c>
      <x:c r="B17" s="2" t="str">
        <x:f>IF(A17="","",'Trial Rows'!B17)</x:f>
      </x:c>
      <x:c r="C17" s="2" t="str">
        <x:f>IF(A17="","",'Trial Rows'!F17)</x:f>
      </x:c>
      <x:c r="D17" s="2" t="str">
        <x:f>IF(A17="","",'Trial Rows'!H17)</x:f>
      </x:c>
      <x:c r="E17" s="2" t="str">
        <x:f>IF(A17="","",SUMIFS(Calculations!$F$2:$F$201,'Trial Rows'!$B$2:$B$201,'Trial Rows'!B17,'Trial Rows'!$C$2:$C$201,'Trial Rows'!C17,'Trial Rows'!$F$2:$F$201,'Trial Rows'!F17,'Trial Rows'!$Y$2:$Y$201,'Trial Rows'!Y17))</x:f>
      </x:c>
      <x:c r="F17" s="2" t="str">
        <x:f>IF(A17="","",SUMIFS(Calculations!$G$2:$G$201,'Trial Rows'!$B$2:$B$201,'Trial Rows'!B17,'Trial Rows'!$C$2:$C$201,'Trial Rows'!C17,'Trial Rows'!$F$2:$F$201,'Trial Rows'!F17,'Trial Rows'!$Y$2:$Y$201,'Trial Rows'!Y17))</x:f>
      </x:c>
      <x:c r="G17" s="7" t="str">
        <x:f>IF(OR(A17="",E17=0),"",F17/E17)</x:f>
      </x:c>
      <x:c r="H17" s="7" t="str">
        <x:f>IF(OR(A17="",SUMIFS(Calculations!$H$2:$H$201,'Trial Rows'!$B$2:$B$201,'Trial Rows'!B17,'Trial Rows'!$C$2:$C$201,'Trial Rows'!C17,'Trial Rows'!$F$2:$F$201,'Trial Rows'!F17,'Trial Rows'!$Y$2:$Y$201,'Trial Rows'!Y17)=0),"",SUMIFS(Calculations!$I$2:$I$201,'Trial Rows'!$B$2:$B$201,'Trial Rows'!B17,'Trial Rows'!$C$2:$C$201,'Trial Rows'!C17,'Trial Rows'!$F$2:$F$201,'Trial Rows'!F17,'Trial Rows'!$Y$2:$Y$201,'Trial Rows'!Y17)/SUMIFS(Calculations!$H$2:$H$201,'Trial Rows'!$B$2:$B$201,'Trial Rows'!B17,'Trial Rows'!$C$2:$C$201,'Trial Rows'!C17,'Trial Rows'!$F$2:$F$201,'Trial Rows'!F17,'Trial Rows'!$Y$2:$Y$201,'Trial Rows'!Y17))</x:f>
      </x:c>
      <x:c r="I17" s="2" t="str">
        <x:f>IF(AND(A17&lt;&gt;"",COUNTIFS('Trial Rows'!$B$2:$B$201,'Trial Rows'!B17,'Trial Rows'!$C$2:$C$201,'Trial Rows'!C17,'Trial Rows'!$F$2:$F$201,'Trial Rows'!F17,'Trial Rows'!$Y$2:$Y$201,'Trial Rows'!Y17,'Trial Rows'!$G$2:$G$201,"A",Calculations!$R$2:$R$201,"&gt;=0",Calculations!$R$2:$R$201,"&lt;&gt;")=1),SUMIFS(Calculations!$R$2:$R$201,'Trial Rows'!$B$2:$B$201,'Trial Rows'!B17,'Trial Rows'!$C$2:$C$201,'Trial Rows'!C17,'Trial Rows'!$F$2:$F$201,'Trial Rows'!F17,'Trial Rows'!$Y$2:$Y$201,'Trial Rows'!Y17,'Trial Rows'!$G$2:$G$201,"A"),"")</x:f>
      </x:c>
      <x:c r="J17" s="2" t="str">
        <x:f>IF(AND(A17&lt;&gt;"",COUNTIFS('Trial Rows'!$B$2:$B$201,'Trial Rows'!B17,'Trial Rows'!$C$2:$C$201,'Trial Rows'!C17,'Trial Rows'!$F$2:$F$201,'Trial Rows'!F17,'Trial Rows'!$Y$2:$Y$201,'Trial Rows'!Y17,'Trial Rows'!$G$2:$G$201,"B",Calculations!$R$2:$R$201,"&gt;=0",Calculations!$R$2:$R$201,"&lt;&gt;")=1),SUMIFS(Calculations!$R$2:$R$201,'Trial Rows'!$B$2:$B$201,'Trial Rows'!B17,'Trial Rows'!$C$2:$C$201,'Trial Rows'!C17,'Trial Rows'!$F$2:$F$201,'Trial Rows'!F17,'Trial Rows'!$Y$2:$Y$201,'Trial Rows'!Y17,'Trial Rows'!$G$2:$G$201,"B"),"")</x:f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>
      <x:c r="A18" s="2" t="str">
        <x:f>IF(AND(Calculations!B18=1,'Trial Rows'!G18="B",'Trial Rows'!I18=1,Calculations!D18=1),'Trial Rows'!C18,"")</x:f>
      </x:c>
      <x:c r="B18" s="2" t="str">
        <x:f>IF(A18="","",'Trial Rows'!B18)</x:f>
      </x:c>
      <x:c r="C18" s="2" t="str">
        <x:f>IF(A18="","",'Trial Rows'!F18)</x:f>
      </x:c>
      <x:c r="D18" s="2" t="str">
        <x:f>IF(A18="","",'Trial Rows'!H18)</x:f>
      </x:c>
      <x:c r="E18" s="2" t="str">
        <x:f>IF(A18="","",SUMIFS(Calculations!$F$2:$F$201,'Trial Rows'!$B$2:$B$201,'Trial Rows'!B18,'Trial Rows'!$C$2:$C$201,'Trial Rows'!C18,'Trial Rows'!$F$2:$F$201,'Trial Rows'!F18,'Trial Rows'!$Y$2:$Y$201,'Trial Rows'!Y18))</x:f>
      </x:c>
      <x:c r="F18" s="2" t="str">
        <x:f>IF(A18="","",SUMIFS(Calculations!$G$2:$G$201,'Trial Rows'!$B$2:$B$201,'Trial Rows'!B18,'Trial Rows'!$C$2:$C$201,'Trial Rows'!C18,'Trial Rows'!$F$2:$F$201,'Trial Rows'!F18,'Trial Rows'!$Y$2:$Y$201,'Trial Rows'!Y18))</x:f>
      </x:c>
      <x:c r="G18" s="7" t="str">
        <x:f>IF(OR(A18="",E18=0),"",F18/E18)</x:f>
      </x:c>
      <x:c r="H18" s="7" t="str">
        <x:f>IF(OR(A18="",SUMIFS(Calculations!$H$2:$H$201,'Trial Rows'!$B$2:$B$201,'Trial Rows'!B18,'Trial Rows'!$C$2:$C$201,'Trial Rows'!C18,'Trial Rows'!$F$2:$F$201,'Trial Rows'!F18,'Trial Rows'!$Y$2:$Y$201,'Trial Rows'!Y18)=0),"",SUMIFS(Calculations!$I$2:$I$201,'Trial Rows'!$B$2:$B$201,'Trial Rows'!B18,'Trial Rows'!$C$2:$C$201,'Trial Rows'!C18,'Trial Rows'!$F$2:$F$201,'Trial Rows'!F18,'Trial Rows'!$Y$2:$Y$201,'Trial Rows'!Y18)/SUMIFS(Calculations!$H$2:$H$201,'Trial Rows'!$B$2:$B$201,'Trial Rows'!B18,'Trial Rows'!$C$2:$C$201,'Trial Rows'!C18,'Trial Rows'!$F$2:$F$201,'Trial Rows'!F18,'Trial Rows'!$Y$2:$Y$201,'Trial Rows'!Y18))</x:f>
      </x:c>
      <x:c r="I18" s="2" t="str">
        <x:f>IF(AND(A18&lt;&gt;"",COUNTIFS('Trial Rows'!$B$2:$B$201,'Trial Rows'!B18,'Trial Rows'!$C$2:$C$201,'Trial Rows'!C18,'Trial Rows'!$F$2:$F$201,'Trial Rows'!F18,'Trial Rows'!$Y$2:$Y$201,'Trial Rows'!Y18,'Trial Rows'!$G$2:$G$201,"A",Calculations!$R$2:$R$201,"&gt;=0",Calculations!$R$2:$R$201,"&lt;&gt;")=1),SUMIFS(Calculations!$R$2:$R$201,'Trial Rows'!$B$2:$B$201,'Trial Rows'!B18,'Trial Rows'!$C$2:$C$201,'Trial Rows'!C18,'Trial Rows'!$F$2:$F$201,'Trial Rows'!F18,'Trial Rows'!$Y$2:$Y$201,'Trial Rows'!Y18,'Trial Rows'!$G$2:$G$201,"A"),"")</x:f>
      </x:c>
      <x:c r="J18" s="2" t="str">
        <x:f>IF(AND(A18&lt;&gt;"",COUNTIFS('Trial Rows'!$B$2:$B$201,'Trial Rows'!B18,'Trial Rows'!$C$2:$C$201,'Trial Rows'!C18,'Trial Rows'!$F$2:$F$201,'Trial Rows'!F18,'Trial Rows'!$Y$2:$Y$201,'Trial Rows'!Y18,'Trial Rows'!$G$2:$G$201,"B",Calculations!$R$2:$R$201,"&gt;=0",Calculations!$R$2:$R$201,"&lt;&gt;")=1),SUMIFS(Calculations!$R$2:$R$201,'Trial Rows'!$B$2:$B$201,'Trial Rows'!B18,'Trial Rows'!$C$2:$C$201,'Trial Rows'!C18,'Trial Rows'!$F$2:$F$201,'Trial Rows'!F18,'Trial Rows'!$Y$2:$Y$201,'Trial Rows'!Y18,'Trial Rows'!$G$2:$G$201,"B"),"")</x:f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>
      <x:c r="A19" s="2" t="str">
        <x:f>IF(AND(Calculations!B19=1,'Trial Rows'!G19="B",'Trial Rows'!I19=1,Calculations!D19=1),'Trial Rows'!C19,"")</x:f>
      </x:c>
      <x:c r="B19" s="2" t="str">
        <x:f>IF(A19="","",'Trial Rows'!B19)</x:f>
      </x:c>
      <x:c r="C19" s="2" t="str">
        <x:f>IF(A19="","",'Trial Rows'!F19)</x:f>
      </x:c>
      <x:c r="D19" s="2" t="str">
        <x:f>IF(A19="","",'Trial Rows'!H19)</x:f>
      </x:c>
      <x:c r="E19" s="2" t="str">
        <x:f>IF(A19="","",SUMIFS(Calculations!$F$2:$F$201,'Trial Rows'!$B$2:$B$201,'Trial Rows'!B19,'Trial Rows'!$C$2:$C$201,'Trial Rows'!C19,'Trial Rows'!$F$2:$F$201,'Trial Rows'!F19,'Trial Rows'!$Y$2:$Y$201,'Trial Rows'!Y19))</x:f>
      </x:c>
      <x:c r="F19" s="2" t="str">
        <x:f>IF(A19="","",SUMIFS(Calculations!$G$2:$G$201,'Trial Rows'!$B$2:$B$201,'Trial Rows'!B19,'Trial Rows'!$C$2:$C$201,'Trial Rows'!C19,'Trial Rows'!$F$2:$F$201,'Trial Rows'!F19,'Trial Rows'!$Y$2:$Y$201,'Trial Rows'!Y19))</x:f>
      </x:c>
      <x:c r="G19" s="7" t="str">
        <x:f>IF(OR(A19="",E19=0),"",F19/E19)</x:f>
      </x:c>
      <x:c r="H19" s="7" t="str">
        <x:f>IF(OR(A19="",SUMIFS(Calculations!$H$2:$H$201,'Trial Rows'!$B$2:$B$201,'Trial Rows'!B19,'Trial Rows'!$C$2:$C$201,'Trial Rows'!C19,'Trial Rows'!$F$2:$F$201,'Trial Rows'!F19,'Trial Rows'!$Y$2:$Y$201,'Trial Rows'!Y19)=0),"",SUMIFS(Calculations!$I$2:$I$201,'Trial Rows'!$B$2:$B$201,'Trial Rows'!B19,'Trial Rows'!$C$2:$C$201,'Trial Rows'!C19,'Trial Rows'!$F$2:$F$201,'Trial Rows'!F19,'Trial Rows'!$Y$2:$Y$201,'Trial Rows'!Y19)/SUMIFS(Calculations!$H$2:$H$201,'Trial Rows'!$B$2:$B$201,'Trial Rows'!B19,'Trial Rows'!$C$2:$C$201,'Trial Rows'!C19,'Trial Rows'!$F$2:$F$201,'Trial Rows'!F19,'Trial Rows'!$Y$2:$Y$201,'Trial Rows'!Y19))</x:f>
      </x:c>
      <x:c r="I19" s="2" t="str">
        <x:f>IF(AND(A19&lt;&gt;"",COUNTIFS('Trial Rows'!$B$2:$B$201,'Trial Rows'!B19,'Trial Rows'!$C$2:$C$201,'Trial Rows'!C19,'Trial Rows'!$F$2:$F$201,'Trial Rows'!F19,'Trial Rows'!$Y$2:$Y$201,'Trial Rows'!Y19,'Trial Rows'!$G$2:$G$201,"A",Calculations!$R$2:$R$201,"&gt;=0",Calculations!$R$2:$R$201,"&lt;&gt;")=1),SUMIFS(Calculations!$R$2:$R$201,'Trial Rows'!$B$2:$B$201,'Trial Rows'!B19,'Trial Rows'!$C$2:$C$201,'Trial Rows'!C19,'Trial Rows'!$F$2:$F$201,'Trial Rows'!F19,'Trial Rows'!$Y$2:$Y$201,'Trial Rows'!Y19,'Trial Rows'!$G$2:$G$201,"A"),"")</x:f>
      </x:c>
      <x:c r="J19" s="2" t="str">
        <x:f>IF(AND(A19&lt;&gt;"",COUNTIFS('Trial Rows'!$B$2:$B$201,'Trial Rows'!B19,'Trial Rows'!$C$2:$C$201,'Trial Rows'!C19,'Trial Rows'!$F$2:$F$201,'Trial Rows'!F19,'Trial Rows'!$Y$2:$Y$201,'Trial Rows'!Y19,'Trial Rows'!$G$2:$G$201,"B",Calculations!$R$2:$R$201,"&gt;=0",Calculations!$R$2:$R$201,"&lt;&gt;")=1),SUMIFS(Calculations!$R$2:$R$201,'Trial Rows'!$B$2:$B$201,'Trial Rows'!B19,'Trial Rows'!$C$2:$C$201,'Trial Rows'!C19,'Trial Rows'!$F$2:$F$201,'Trial Rows'!F19,'Trial Rows'!$Y$2:$Y$201,'Trial Rows'!Y19,'Trial Rows'!$G$2:$G$201,"B"),"")</x:f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A20" s="2" t="str">
        <x:f>IF(AND(Calculations!B20=1,'Trial Rows'!G20="B",'Trial Rows'!I20=1,Calculations!D20=1),'Trial Rows'!C20,"")</x:f>
      </x:c>
      <x:c r="B20" s="2" t="str">
        <x:f>IF(A20="","",'Trial Rows'!B20)</x:f>
      </x:c>
      <x:c r="C20" s="2" t="str">
        <x:f>IF(A20="","",'Trial Rows'!F20)</x:f>
      </x:c>
      <x:c r="D20" s="2" t="str">
        <x:f>IF(A20="","",'Trial Rows'!H20)</x:f>
      </x:c>
      <x:c r="E20" s="2" t="str">
        <x:f>IF(A20="","",SUMIFS(Calculations!$F$2:$F$201,'Trial Rows'!$B$2:$B$201,'Trial Rows'!B20,'Trial Rows'!$C$2:$C$201,'Trial Rows'!C20,'Trial Rows'!$F$2:$F$201,'Trial Rows'!F20,'Trial Rows'!$Y$2:$Y$201,'Trial Rows'!Y20))</x:f>
      </x:c>
      <x:c r="F20" s="2" t="str">
        <x:f>IF(A20="","",SUMIFS(Calculations!$G$2:$G$201,'Trial Rows'!$B$2:$B$201,'Trial Rows'!B20,'Trial Rows'!$C$2:$C$201,'Trial Rows'!C20,'Trial Rows'!$F$2:$F$201,'Trial Rows'!F20,'Trial Rows'!$Y$2:$Y$201,'Trial Rows'!Y20))</x:f>
      </x:c>
      <x:c r="G20" s="7" t="str">
        <x:f>IF(OR(A20="",E20=0),"",F20/E20)</x:f>
      </x:c>
      <x:c r="H20" s="7" t="str">
        <x:f>IF(OR(A20="",SUMIFS(Calculations!$H$2:$H$201,'Trial Rows'!$B$2:$B$201,'Trial Rows'!B20,'Trial Rows'!$C$2:$C$201,'Trial Rows'!C20,'Trial Rows'!$F$2:$F$201,'Trial Rows'!F20,'Trial Rows'!$Y$2:$Y$201,'Trial Rows'!Y20)=0),"",SUMIFS(Calculations!$I$2:$I$201,'Trial Rows'!$B$2:$B$201,'Trial Rows'!B20,'Trial Rows'!$C$2:$C$201,'Trial Rows'!C20,'Trial Rows'!$F$2:$F$201,'Trial Rows'!F20,'Trial Rows'!$Y$2:$Y$201,'Trial Rows'!Y20)/SUMIFS(Calculations!$H$2:$H$201,'Trial Rows'!$B$2:$B$201,'Trial Rows'!B20,'Trial Rows'!$C$2:$C$201,'Trial Rows'!C20,'Trial Rows'!$F$2:$F$201,'Trial Rows'!F20,'Trial Rows'!$Y$2:$Y$201,'Trial Rows'!Y20))</x:f>
      </x:c>
      <x:c r="I20" s="2" t="str">
        <x:f>IF(AND(A20&lt;&gt;"",COUNTIFS('Trial Rows'!$B$2:$B$201,'Trial Rows'!B20,'Trial Rows'!$C$2:$C$201,'Trial Rows'!C20,'Trial Rows'!$F$2:$F$201,'Trial Rows'!F20,'Trial Rows'!$Y$2:$Y$201,'Trial Rows'!Y20,'Trial Rows'!$G$2:$G$201,"A",Calculations!$R$2:$R$201,"&gt;=0",Calculations!$R$2:$R$201,"&lt;&gt;")=1),SUMIFS(Calculations!$R$2:$R$201,'Trial Rows'!$B$2:$B$201,'Trial Rows'!B20,'Trial Rows'!$C$2:$C$201,'Trial Rows'!C20,'Trial Rows'!$F$2:$F$201,'Trial Rows'!F20,'Trial Rows'!$Y$2:$Y$201,'Trial Rows'!Y20,'Trial Rows'!$G$2:$G$201,"A"),"")</x:f>
      </x:c>
      <x:c r="J20" s="2" t="str">
        <x:f>IF(AND(A20&lt;&gt;"",COUNTIFS('Trial Rows'!$B$2:$B$201,'Trial Rows'!B20,'Trial Rows'!$C$2:$C$201,'Trial Rows'!C20,'Trial Rows'!$F$2:$F$201,'Trial Rows'!F20,'Trial Rows'!$Y$2:$Y$201,'Trial Rows'!Y20,'Trial Rows'!$G$2:$G$201,"B",Calculations!$R$2:$R$201,"&gt;=0",Calculations!$R$2:$R$201,"&lt;&gt;")=1),SUMIFS(Calculations!$R$2:$R$201,'Trial Rows'!$B$2:$B$201,'Trial Rows'!B20,'Trial Rows'!$C$2:$C$201,'Trial Rows'!C20,'Trial Rows'!$F$2:$F$201,'Trial Rows'!F20,'Trial Rows'!$Y$2:$Y$201,'Trial Rows'!Y20,'Trial Rows'!$G$2:$G$201,"B"),"")</x:f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 t="str">
        <x:f>IF(AND(Calculations!B21=1,'Trial Rows'!G21="B",'Trial Rows'!I21=1,Calculations!D21=1),'Trial Rows'!C21,"")</x:f>
      </x:c>
      <x:c r="B21" s="2" t="str">
        <x:f>IF(A21="","",'Trial Rows'!B21)</x:f>
      </x:c>
      <x:c r="C21" s="2" t="str">
        <x:f>IF(A21="","",'Trial Rows'!F21)</x:f>
      </x:c>
      <x:c r="D21" s="2" t="str">
        <x:f>IF(A21="","",'Trial Rows'!H21)</x:f>
      </x:c>
      <x:c r="E21" s="2" t="str">
        <x:f>IF(A21="","",SUMIFS(Calculations!$F$2:$F$201,'Trial Rows'!$B$2:$B$201,'Trial Rows'!B21,'Trial Rows'!$C$2:$C$201,'Trial Rows'!C21,'Trial Rows'!$F$2:$F$201,'Trial Rows'!F21,'Trial Rows'!$Y$2:$Y$201,'Trial Rows'!Y21))</x:f>
      </x:c>
      <x:c r="F21" s="2" t="str">
        <x:f>IF(A21="","",SUMIFS(Calculations!$G$2:$G$201,'Trial Rows'!$B$2:$B$201,'Trial Rows'!B21,'Trial Rows'!$C$2:$C$201,'Trial Rows'!C21,'Trial Rows'!$F$2:$F$201,'Trial Rows'!F21,'Trial Rows'!$Y$2:$Y$201,'Trial Rows'!Y21))</x:f>
      </x:c>
      <x:c r="G21" s="7" t="str">
        <x:f>IF(OR(A21="",E21=0),"",F21/E21)</x:f>
      </x:c>
      <x:c r="H21" s="7" t="str">
        <x:f>IF(OR(A21="",SUMIFS(Calculations!$H$2:$H$201,'Trial Rows'!$B$2:$B$201,'Trial Rows'!B21,'Trial Rows'!$C$2:$C$201,'Trial Rows'!C21,'Trial Rows'!$F$2:$F$201,'Trial Rows'!F21,'Trial Rows'!$Y$2:$Y$201,'Trial Rows'!Y21)=0),"",SUMIFS(Calculations!$I$2:$I$201,'Trial Rows'!$B$2:$B$201,'Trial Rows'!B21,'Trial Rows'!$C$2:$C$201,'Trial Rows'!C21,'Trial Rows'!$F$2:$F$201,'Trial Rows'!F21,'Trial Rows'!$Y$2:$Y$201,'Trial Rows'!Y21)/SUMIFS(Calculations!$H$2:$H$201,'Trial Rows'!$B$2:$B$201,'Trial Rows'!B21,'Trial Rows'!$C$2:$C$201,'Trial Rows'!C21,'Trial Rows'!$F$2:$F$201,'Trial Rows'!F21,'Trial Rows'!$Y$2:$Y$201,'Trial Rows'!Y21))</x:f>
      </x:c>
      <x:c r="I21" s="2" t="str">
        <x:f>IF(AND(A21&lt;&gt;"",COUNTIFS('Trial Rows'!$B$2:$B$201,'Trial Rows'!B21,'Trial Rows'!$C$2:$C$201,'Trial Rows'!C21,'Trial Rows'!$F$2:$F$201,'Trial Rows'!F21,'Trial Rows'!$Y$2:$Y$201,'Trial Rows'!Y21,'Trial Rows'!$G$2:$G$201,"A",Calculations!$R$2:$R$201,"&gt;=0",Calculations!$R$2:$R$201,"&lt;&gt;")=1),SUMIFS(Calculations!$R$2:$R$201,'Trial Rows'!$B$2:$B$201,'Trial Rows'!B21,'Trial Rows'!$C$2:$C$201,'Trial Rows'!C21,'Trial Rows'!$F$2:$F$201,'Trial Rows'!F21,'Trial Rows'!$Y$2:$Y$201,'Trial Rows'!Y21,'Trial Rows'!$G$2:$G$201,"A"),"")</x:f>
      </x:c>
      <x:c r="J21" s="2" t="str">
        <x:f>IF(AND(A21&lt;&gt;"",COUNTIFS('Trial Rows'!$B$2:$B$201,'Trial Rows'!B21,'Trial Rows'!$C$2:$C$201,'Trial Rows'!C21,'Trial Rows'!$F$2:$F$201,'Trial Rows'!F21,'Trial Rows'!$Y$2:$Y$201,'Trial Rows'!Y21,'Trial Rows'!$G$2:$G$201,"B",Calculations!$R$2:$R$201,"&gt;=0",Calculations!$R$2:$R$201,"&lt;&gt;")=1),SUMIFS(Calculations!$R$2:$R$201,'Trial Rows'!$B$2:$B$201,'Trial Rows'!B21,'Trial Rows'!$C$2:$C$201,'Trial Rows'!C21,'Trial Rows'!$F$2:$F$201,'Trial Rows'!F21,'Trial Rows'!$Y$2:$Y$201,'Trial Rows'!Y21,'Trial Rows'!$G$2:$G$201,"B"),"")</x:f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 t="str">
        <x:f>IF(AND(Calculations!B22=1,'Trial Rows'!G22="B",'Trial Rows'!I22=1,Calculations!D22=1),'Trial Rows'!C22,"")</x:f>
      </x:c>
      <x:c r="B22" s="2" t="str">
        <x:f>IF(A22="","",'Trial Rows'!B22)</x:f>
      </x:c>
      <x:c r="C22" s="2" t="str">
        <x:f>IF(A22="","",'Trial Rows'!F22)</x:f>
      </x:c>
      <x:c r="D22" s="2" t="str">
        <x:f>IF(A22="","",'Trial Rows'!H22)</x:f>
      </x:c>
      <x:c r="E22" s="2" t="str">
        <x:f>IF(A22="","",SUMIFS(Calculations!$F$2:$F$201,'Trial Rows'!$B$2:$B$201,'Trial Rows'!B22,'Trial Rows'!$C$2:$C$201,'Trial Rows'!C22,'Trial Rows'!$F$2:$F$201,'Trial Rows'!F22,'Trial Rows'!$Y$2:$Y$201,'Trial Rows'!Y22))</x:f>
      </x:c>
      <x:c r="F22" s="2" t="str">
        <x:f>IF(A22="","",SUMIFS(Calculations!$G$2:$G$201,'Trial Rows'!$B$2:$B$201,'Trial Rows'!B22,'Trial Rows'!$C$2:$C$201,'Trial Rows'!C22,'Trial Rows'!$F$2:$F$201,'Trial Rows'!F22,'Trial Rows'!$Y$2:$Y$201,'Trial Rows'!Y22))</x:f>
      </x:c>
      <x:c r="G22" s="7" t="str">
        <x:f>IF(OR(A22="",E22=0),"",F22/E22)</x:f>
      </x:c>
      <x:c r="H22" s="7" t="str">
        <x:f>IF(OR(A22="",SUMIFS(Calculations!$H$2:$H$201,'Trial Rows'!$B$2:$B$201,'Trial Rows'!B22,'Trial Rows'!$C$2:$C$201,'Trial Rows'!C22,'Trial Rows'!$F$2:$F$201,'Trial Rows'!F22,'Trial Rows'!$Y$2:$Y$201,'Trial Rows'!Y22)=0),"",SUMIFS(Calculations!$I$2:$I$201,'Trial Rows'!$B$2:$B$201,'Trial Rows'!B22,'Trial Rows'!$C$2:$C$201,'Trial Rows'!C22,'Trial Rows'!$F$2:$F$201,'Trial Rows'!F22,'Trial Rows'!$Y$2:$Y$201,'Trial Rows'!Y22)/SUMIFS(Calculations!$H$2:$H$201,'Trial Rows'!$B$2:$B$201,'Trial Rows'!B22,'Trial Rows'!$C$2:$C$201,'Trial Rows'!C22,'Trial Rows'!$F$2:$F$201,'Trial Rows'!F22,'Trial Rows'!$Y$2:$Y$201,'Trial Rows'!Y22))</x:f>
      </x:c>
      <x:c r="I22" s="2" t="str">
        <x:f>IF(AND(A22&lt;&gt;"",COUNTIFS('Trial Rows'!$B$2:$B$201,'Trial Rows'!B22,'Trial Rows'!$C$2:$C$201,'Trial Rows'!C22,'Trial Rows'!$F$2:$F$201,'Trial Rows'!F22,'Trial Rows'!$Y$2:$Y$201,'Trial Rows'!Y22,'Trial Rows'!$G$2:$G$201,"A",Calculations!$R$2:$R$201,"&gt;=0",Calculations!$R$2:$R$201,"&lt;&gt;")=1),SUMIFS(Calculations!$R$2:$R$201,'Trial Rows'!$B$2:$B$201,'Trial Rows'!B22,'Trial Rows'!$C$2:$C$201,'Trial Rows'!C22,'Trial Rows'!$F$2:$F$201,'Trial Rows'!F22,'Trial Rows'!$Y$2:$Y$201,'Trial Rows'!Y22,'Trial Rows'!$G$2:$G$201,"A"),"")</x:f>
      </x:c>
      <x:c r="J22" s="2" t="str">
        <x:f>IF(AND(A22&lt;&gt;"",COUNTIFS('Trial Rows'!$B$2:$B$201,'Trial Rows'!B22,'Trial Rows'!$C$2:$C$201,'Trial Rows'!C22,'Trial Rows'!$F$2:$F$201,'Trial Rows'!F22,'Trial Rows'!$Y$2:$Y$201,'Trial Rows'!Y22,'Trial Rows'!$G$2:$G$201,"B",Calculations!$R$2:$R$201,"&gt;=0",Calculations!$R$2:$R$201,"&lt;&gt;")=1),SUMIFS(Calculations!$R$2:$R$201,'Trial Rows'!$B$2:$B$201,'Trial Rows'!B22,'Trial Rows'!$C$2:$C$201,'Trial Rows'!C22,'Trial Rows'!$F$2:$F$201,'Trial Rows'!F22,'Trial Rows'!$Y$2:$Y$201,'Trial Rows'!Y22,'Trial Rows'!$G$2:$G$201,"B"),"")</x:f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2" t="str">
        <x:f>IF(AND(Calculations!B23=1,'Trial Rows'!G23="B",'Trial Rows'!I23=1,Calculations!D23=1),'Trial Rows'!C23,"")</x:f>
      </x:c>
      <x:c r="B23" s="2" t="str">
        <x:f>IF(A23="","",'Trial Rows'!B23)</x:f>
      </x:c>
      <x:c r="C23" s="2" t="str">
        <x:f>IF(A23="","",'Trial Rows'!F23)</x:f>
      </x:c>
      <x:c r="D23" s="2" t="str">
        <x:f>IF(A23="","",'Trial Rows'!H23)</x:f>
      </x:c>
      <x:c r="E23" s="2" t="str">
        <x:f>IF(A23="","",SUMIFS(Calculations!$F$2:$F$201,'Trial Rows'!$B$2:$B$201,'Trial Rows'!B23,'Trial Rows'!$C$2:$C$201,'Trial Rows'!C23,'Trial Rows'!$F$2:$F$201,'Trial Rows'!F23,'Trial Rows'!$Y$2:$Y$201,'Trial Rows'!Y23))</x:f>
      </x:c>
      <x:c r="F23" s="2" t="str">
        <x:f>IF(A23="","",SUMIFS(Calculations!$G$2:$G$201,'Trial Rows'!$B$2:$B$201,'Trial Rows'!B23,'Trial Rows'!$C$2:$C$201,'Trial Rows'!C23,'Trial Rows'!$F$2:$F$201,'Trial Rows'!F23,'Trial Rows'!$Y$2:$Y$201,'Trial Rows'!Y23))</x:f>
      </x:c>
      <x:c r="G23" s="7" t="str">
        <x:f>IF(OR(A23="",E23=0),"",F23/E23)</x:f>
      </x:c>
      <x:c r="H23" s="7" t="str">
        <x:f>IF(OR(A23="",SUMIFS(Calculations!$H$2:$H$201,'Trial Rows'!$B$2:$B$201,'Trial Rows'!B23,'Trial Rows'!$C$2:$C$201,'Trial Rows'!C23,'Trial Rows'!$F$2:$F$201,'Trial Rows'!F23,'Trial Rows'!$Y$2:$Y$201,'Trial Rows'!Y23)=0),"",SUMIFS(Calculations!$I$2:$I$201,'Trial Rows'!$B$2:$B$201,'Trial Rows'!B23,'Trial Rows'!$C$2:$C$201,'Trial Rows'!C23,'Trial Rows'!$F$2:$F$201,'Trial Rows'!F23,'Trial Rows'!$Y$2:$Y$201,'Trial Rows'!Y23)/SUMIFS(Calculations!$H$2:$H$201,'Trial Rows'!$B$2:$B$201,'Trial Rows'!B23,'Trial Rows'!$C$2:$C$201,'Trial Rows'!C23,'Trial Rows'!$F$2:$F$201,'Trial Rows'!F23,'Trial Rows'!$Y$2:$Y$201,'Trial Rows'!Y23))</x:f>
      </x:c>
      <x:c r="I23" s="2" t="str">
        <x:f>IF(AND(A23&lt;&gt;"",COUNTIFS('Trial Rows'!$B$2:$B$201,'Trial Rows'!B23,'Trial Rows'!$C$2:$C$201,'Trial Rows'!C23,'Trial Rows'!$F$2:$F$201,'Trial Rows'!F23,'Trial Rows'!$Y$2:$Y$201,'Trial Rows'!Y23,'Trial Rows'!$G$2:$G$201,"A",Calculations!$R$2:$R$201,"&gt;=0",Calculations!$R$2:$R$201,"&lt;&gt;")=1),SUMIFS(Calculations!$R$2:$R$201,'Trial Rows'!$B$2:$B$201,'Trial Rows'!B23,'Trial Rows'!$C$2:$C$201,'Trial Rows'!C23,'Trial Rows'!$F$2:$F$201,'Trial Rows'!F23,'Trial Rows'!$Y$2:$Y$201,'Trial Rows'!Y23,'Trial Rows'!$G$2:$G$201,"A"),"")</x:f>
      </x:c>
      <x:c r="J23" s="2" t="str">
        <x:f>IF(AND(A23&lt;&gt;"",COUNTIFS('Trial Rows'!$B$2:$B$201,'Trial Rows'!B23,'Trial Rows'!$C$2:$C$201,'Trial Rows'!C23,'Trial Rows'!$F$2:$F$201,'Trial Rows'!F23,'Trial Rows'!$Y$2:$Y$201,'Trial Rows'!Y23,'Trial Rows'!$G$2:$G$201,"B",Calculations!$R$2:$R$201,"&gt;=0",Calculations!$R$2:$R$201,"&lt;&gt;")=1),SUMIFS(Calculations!$R$2:$R$201,'Trial Rows'!$B$2:$B$201,'Trial Rows'!B23,'Trial Rows'!$C$2:$C$201,'Trial Rows'!C23,'Trial Rows'!$F$2:$F$201,'Trial Rows'!F23,'Trial Rows'!$Y$2:$Y$201,'Trial Rows'!Y23,'Trial Rows'!$G$2:$G$201,"B"),"")</x:f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A24" s="2" t="str">
        <x:f>IF(AND(Calculations!B24=1,'Trial Rows'!G24="B",'Trial Rows'!I24=1,Calculations!D24=1),'Trial Rows'!C24,"")</x:f>
      </x:c>
      <x:c r="B24" s="2" t="str">
        <x:f>IF(A24="","",'Trial Rows'!B24)</x:f>
      </x:c>
      <x:c r="C24" s="2" t="str">
        <x:f>IF(A24="","",'Trial Rows'!F24)</x:f>
      </x:c>
      <x:c r="D24" s="2" t="str">
        <x:f>IF(A24="","",'Trial Rows'!H24)</x:f>
      </x:c>
      <x:c r="E24" s="2" t="str">
        <x:f>IF(A24="","",SUMIFS(Calculations!$F$2:$F$201,'Trial Rows'!$B$2:$B$201,'Trial Rows'!B24,'Trial Rows'!$C$2:$C$201,'Trial Rows'!C24,'Trial Rows'!$F$2:$F$201,'Trial Rows'!F24,'Trial Rows'!$Y$2:$Y$201,'Trial Rows'!Y24))</x:f>
      </x:c>
      <x:c r="F24" s="2" t="str">
        <x:f>IF(A24="","",SUMIFS(Calculations!$G$2:$G$201,'Trial Rows'!$B$2:$B$201,'Trial Rows'!B24,'Trial Rows'!$C$2:$C$201,'Trial Rows'!C24,'Trial Rows'!$F$2:$F$201,'Trial Rows'!F24,'Trial Rows'!$Y$2:$Y$201,'Trial Rows'!Y24))</x:f>
      </x:c>
      <x:c r="G24" s="7" t="str">
        <x:f>IF(OR(A24="",E24=0),"",F24/E24)</x:f>
      </x:c>
      <x:c r="H24" s="7" t="str">
        <x:f>IF(OR(A24="",SUMIFS(Calculations!$H$2:$H$201,'Trial Rows'!$B$2:$B$201,'Trial Rows'!B24,'Trial Rows'!$C$2:$C$201,'Trial Rows'!C24,'Trial Rows'!$F$2:$F$201,'Trial Rows'!F24,'Trial Rows'!$Y$2:$Y$201,'Trial Rows'!Y24)=0),"",SUMIFS(Calculations!$I$2:$I$201,'Trial Rows'!$B$2:$B$201,'Trial Rows'!B24,'Trial Rows'!$C$2:$C$201,'Trial Rows'!C24,'Trial Rows'!$F$2:$F$201,'Trial Rows'!F24,'Trial Rows'!$Y$2:$Y$201,'Trial Rows'!Y24)/SUMIFS(Calculations!$H$2:$H$201,'Trial Rows'!$B$2:$B$201,'Trial Rows'!B24,'Trial Rows'!$C$2:$C$201,'Trial Rows'!C24,'Trial Rows'!$F$2:$F$201,'Trial Rows'!F24,'Trial Rows'!$Y$2:$Y$201,'Trial Rows'!Y24))</x:f>
      </x:c>
      <x:c r="I24" s="2" t="str">
        <x:f>IF(AND(A24&lt;&gt;"",COUNTIFS('Trial Rows'!$B$2:$B$201,'Trial Rows'!B24,'Trial Rows'!$C$2:$C$201,'Trial Rows'!C24,'Trial Rows'!$F$2:$F$201,'Trial Rows'!F24,'Trial Rows'!$Y$2:$Y$201,'Trial Rows'!Y24,'Trial Rows'!$G$2:$G$201,"A",Calculations!$R$2:$R$201,"&gt;=0",Calculations!$R$2:$R$201,"&lt;&gt;")=1),SUMIFS(Calculations!$R$2:$R$201,'Trial Rows'!$B$2:$B$201,'Trial Rows'!B24,'Trial Rows'!$C$2:$C$201,'Trial Rows'!C24,'Trial Rows'!$F$2:$F$201,'Trial Rows'!F24,'Trial Rows'!$Y$2:$Y$201,'Trial Rows'!Y24,'Trial Rows'!$G$2:$G$201,"A"),"")</x:f>
      </x:c>
      <x:c r="J24" s="2" t="str">
        <x:f>IF(AND(A24&lt;&gt;"",COUNTIFS('Trial Rows'!$B$2:$B$201,'Trial Rows'!B24,'Trial Rows'!$C$2:$C$201,'Trial Rows'!C24,'Trial Rows'!$F$2:$F$201,'Trial Rows'!F24,'Trial Rows'!$Y$2:$Y$201,'Trial Rows'!Y24,'Trial Rows'!$G$2:$G$201,"B",Calculations!$R$2:$R$201,"&gt;=0",Calculations!$R$2:$R$201,"&lt;&gt;")=1),SUMIFS(Calculations!$R$2:$R$201,'Trial Rows'!$B$2:$B$201,'Trial Rows'!B24,'Trial Rows'!$C$2:$C$201,'Trial Rows'!C24,'Trial Rows'!$F$2:$F$201,'Trial Rows'!F24,'Trial Rows'!$Y$2:$Y$201,'Trial Rows'!Y24,'Trial Rows'!$G$2:$G$201,"B"),"")</x:f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A25" s="2" t="str">
        <x:f>IF(AND(Calculations!B25=1,'Trial Rows'!G25="B",'Trial Rows'!I25=1,Calculations!D25=1),'Trial Rows'!C25,"")</x:f>
      </x:c>
      <x:c r="B25" s="2" t="str">
        <x:f>IF(A25="","",'Trial Rows'!B25)</x:f>
      </x:c>
      <x:c r="C25" s="2" t="str">
        <x:f>IF(A25="","",'Trial Rows'!F25)</x:f>
      </x:c>
      <x:c r="D25" s="2" t="str">
        <x:f>IF(A25="","",'Trial Rows'!H25)</x:f>
      </x:c>
      <x:c r="E25" s="2" t="str">
        <x:f>IF(A25="","",SUMIFS(Calculations!$F$2:$F$201,'Trial Rows'!$B$2:$B$201,'Trial Rows'!B25,'Trial Rows'!$C$2:$C$201,'Trial Rows'!C25,'Trial Rows'!$F$2:$F$201,'Trial Rows'!F25,'Trial Rows'!$Y$2:$Y$201,'Trial Rows'!Y25))</x:f>
      </x:c>
      <x:c r="F25" s="2" t="str">
        <x:f>IF(A25="","",SUMIFS(Calculations!$G$2:$G$201,'Trial Rows'!$B$2:$B$201,'Trial Rows'!B25,'Trial Rows'!$C$2:$C$201,'Trial Rows'!C25,'Trial Rows'!$F$2:$F$201,'Trial Rows'!F25,'Trial Rows'!$Y$2:$Y$201,'Trial Rows'!Y25))</x:f>
      </x:c>
      <x:c r="G25" s="7" t="str">
        <x:f>IF(OR(A25="",E25=0),"",F25/E25)</x:f>
      </x:c>
      <x:c r="H25" s="7" t="str">
        <x:f>IF(OR(A25="",SUMIFS(Calculations!$H$2:$H$201,'Trial Rows'!$B$2:$B$201,'Trial Rows'!B25,'Trial Rows'!$C$2:$C$201,'Trial Rows'!C25,'Trial Rows'!$F$2:$F$201,'Trial Rows'!F25,'Trial Rows'!$Y$2:$Y$201,'Trial Rows'!Y25)=0),"",SUMIFS(Calculations!$I$2:$I$201,'Trial Rows'!$B$2:$B$201,'Trial Rows'!B25,'Trial Rows'!$C$2:$C$201,'Trial Rows'!C25,'Trial Rows'!$F$2:$F$201,'Trial Rows'!F25,'Trial Rows'!$Y$2:$Y$201,'Trial Rows'!Y25)/SUMIFS(Calculations!$H$2:$H$201,'Trial Rows'!$B$2:$B$201,'Trial Rows'!B25,'Trial Rows'!$C$2:$C$201,'Trial Rows'!C25,'Trial Rows'!$F$2:$F$201,'Trial Rows'!F25,'Trial Rows'!$Y$2:$Y$201,'Trial Rows'!Y25))</x:f>
      </x:c>
      <x:c r="I25" s="2" t="str">
        <x:f>IF(AND(A25&lt;&gt;"",COUNTIFS('Trial Rows'!$B$2:$B$201,'Trial Rows'!B25,'Trial Rows'!$C$2:$C$201,'Trial Rows'!C25,'Trial Rows'!$F$2:$F$201,'Trial Rows'!F25,'Trial Rows'!$Y$2:$Y$201,'Trial Rows'!Y25,'Trial Rows'!$G$2:$G$201,"A",Calculations!$R$2:$R$201,"&gt;=0",Calculations!$R$2:$R$201,"&lt;&gt;")=1),SUMIFS(Calculations!$R$2:$R$201,'Trial Rows'!$B$2:$B$201,'Trial Rows'!B25,'Trial Rows'!$C$2:$C$201,'Trial Rows'!C25,'Trial Rows'!$F$2:$F$201,'Trial Rows'!F25,'Trial Rows'!$Y$2:$Y$201,'Trial Rows'!Y25,'Trial Rows'!$G$2:$G$201,"A"),"")</x:f>
      </x:c>
      <x:c r="J25" s="2" t="str">
        <x:f>IF(AND(A25&lt;&gt;"",COUNTIFS('Trial Rows'!$B$2:$B$201,'Trial Rows'!B25,'Trial Rows'!$C$2:$C$201,'Trial Rows'!C25,'Trial Rows'!$F$2:$F$201,'Trial Rows'!F25,'Trial Rows'!$Y$2:$Y$201,'Trial Rows'!Y25,'Trial Rows'!$G$2:$G$201,"B",Calculations!$R$2:$R$201,"&gt;=0",Calculations!$R$2:$R$201,"&lt;&gt;")=1),SUMIFS(Calculations!$R$2:$R$201,'Trial Rows'!$B$2:$B$201,'Trial Rows'!B25,'Trial Rows'!$C$2:$C$201,'Trial Rows'!C25,'Trial Rows'!$F$2:$F$201,'Trial Rows'!F25,'Trial Rows'!$Y$2:$Y$201,'Trial Rows'!Y25,'Trial Rows'!$G$2:$G$201,"B"),"")</x:f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A26" s="2" t="str">
        <x:f>IF(AND(Calculations!B26=1,'Trial Rows'!G26="B",'Trial Rows'!I26=1,Calculations!D26=1),'Trial Rows'!C26,"")</x:f>
      </x:c>
      <x:c r="B26" s="2" t="str">
        <x:f>IF(A26="","",'Trial Rows'!B26)</x:f>
      </x:c>
      <x:c r="C26" s="2" t="str">
        <x:f>IF(A26="","",'Trial Rows'!F26)</x:f>
      </x:c>
      <x:c r="D26" s="2" t="str">
        <x:f>IF(A26="","",'Trial Rows'!H26)</x:f>
      </x:c>
      <x:c r="E26" s="2" t="str">
        <x:f>IF(A26="","",SUMIFS(Calculations!$F$2:$F$201,'Trial Rows'!$B$2:$B$201,'Trial Rows'!B26,'Trial Rows'!$C$2:$C$201,'Trial Rows'!C26,'Trial Rows'!$F$2:$F$201,'Trial Rows'!F26,'Trial Rows'!$Y$2:$Y$201,'Trial Rows'!Y26))</x:f>
      </x:c>
      <x:c r="F26" s="2" t="str">
        <x:f>IF(A26="","",SUMIFS(Calculations!$G$2:$G$201,'Trial Rows'!$B$2:$B$201,'Trial Rows'!B26,'Trial Rows'!$C$2:$C$201,'Trial Rows'!C26,'Trial Rows'!$F$2:$F$201,'Trial Rows'!F26,'Trial Rows'!$Y$2:$Y$201,'Trial Rows'!Y26))</x:f>
      </x:c>
      <x:c r="G26" s="7" t="str">
        <x:f>IF(OR(A26="",E26=0),"",F26/E26)</x:f>
      </x:c>
      <x:c r="H26" s="7" t="str">
        <x:f>IF(OR(A26="",SUMIFS(Calculations!$H$2:$H$201,'Trial Rows'!$B$2:$B$201,'Trial Rows'!B26,'Trial Rows'!$C$2:$C$201,'Trial Rows'!C26,'Trial Rows'!$F$2:$F$201,'Trial Rows'!F26,'Trial Rows'!$Y$2:$Y$201,'Trial Rows'!Y26)=0),"",SUMIFS(Calculations!$I$2:$I$201,'Trial Rows'!$B$2:$B$201,'Trial Rows'!B26,'Trial Rows'!$C$2:$C$201,'Trial Rows'!C26,'Trial Rows'!$F$2:$F$201,'Trial Rows'!F26,'Trial Rows'!$Y$2:$Y$201,'Trial Rows'!Y26)/SUMIFS(Calculations!$H$2:$H$201,'Trial Rows'!$B$2:$B$201,'Trial Rows'!B26,'Trial Rows'!$C$2:$C$201,'Trial Rows'!C26,'Trial Rows'!$F$2:$F$201,'Trial Rows'!F26,'Trial Rows'!$Y$2:$Y$201,'Trial Rows'!Y26))</x:f>
      </x:c>
      <x:c r="I26" s="2" t="str">
        <x:f>IF(AND(A26&lt;&gt;"",COUNTIFS('Trial Rows'!$B$2:$B$201,'Trial Rows'!B26,'Trial Rows'!$C$2:$C$201,'Trial Rows'!C26,'Trial Rows'!$F$2:$F$201,'Trial Rows'!F26,'Trial Rows'!$Y$2:$Y$201,'Trial Rows'!Y26,'Trial Rows'!$G$2:$G$201,"A",Calculations!$R$2:$R$201,"&gt;=0",Calculations!$R$2:$R$201,"&lt;&gt;")=1),SUMIFS(Calculations!$R$2:$R$201,'Trial Rows'!$B$2:$B$201,'Trial Rows'!B26,'Trial Rows'!$C$2:$C$201,'Trial Rows'!C26,'Trial Rows'!$F$2:$F$201,'Trial Rows'!F26,'Trial Rows'!$Y$2:$Y$201,'Trial Rows'!Y26,'Trial Rows'!$G$2:$G$201,"A"),"")</x:f>
      </x:c>
      <x:c r="J26" s="2" t="str">
        <x:f>IF(AND(A26&lt;&gt;"",COUNTIFS('Trial Rows'!$B$2:$B$201,'Trial Rows'!B26,'Trial Rows'!$C$2:$C$201,'Trial Rows'!C26,'Trial Rows'!$F$2:$F$201,'Trial Rows'!F26,'Trial Rows'!$Y$2:$Y$201,'Trial Rows'!Y26,'Trial Rows'!$G$2:$G$201,"B",Calculations!$R$2:$R$201,"&gt;=0",Calculations!$R$2:$R$201,"&lt;&gt;")=1),SUMIFS(Calculations!$R$2:$R$201,'Trial Rows'!$B$2:$B$201,'Trial Rows'!B26,'Trial Rows'!$C$2:$C$201,'Trial Rows'!C26,'Trial Rows'!$F$2:$F$201,'Trial Rows'!F26,'Trial Rows'!$Y$2:$Y$201,'Trial Rows'!Y26,'Trial Rows'!$G$2:$G$201,"B"),"")</x:f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>
      <x:c r="A27" s="2" t="str">
        <x:f>IF(AND(Calculations!B27=1,'Trial Rows'!G27="B",'Trial Rows'!I27=1,Calculations!D27=1),'Trial Rows'!C27,"")</x:f>
      </x:c>
      <x:c r="B27" s="2" t="str">
        <x:f>IF(A27="","",'Trial Rows'!B27)</x:f>
      </x:c>
      <x:c r="C27" s="2" t="str">
        <x:f>IF(A27="","",'Trial Rows'!F27)</x:f>
      </x:c>
      <x:c r="D27" s="2" t="str">
        <x:f>IF(A27="","",'Trial Rows'!H27)</x:f>
      </x:c>
      <x:c r="E27" s="2" t="str">
        <x:f>IF(A27="","",SUMIFS(Calculations!$F$2:$F$201,'Trial Rows'!$B$2:$B$201,'Trial Rows'!B27,'Trial Rows'!$C$2:$C$201,'Trial Rows'!C27,'Trial Rows'!$F$2:$F$201,'Trial Rows'!F27,'Trial Rows'!$Y$2:$Y$201,'Trial Rows'!Y27))</x:f>
      </x:c>
      <x:c r="F27" s="2" t="str">
        <x:f>IF(A27="","",SUMIFS(Calculations!$G$2:$G$201,'Trial Rows'!$B$2:$B$201,'Trial Rows'!B27,'Trial Rows'!$C$2:$C$201,'Trial Rows'!C27,'Trial Rows'!$F$2:$F$201,'Trial Rows'!F27,'Trial Rows'!$Y$2:$Y$201,'Trial Rows'!Y27))</x:f>
      </x:c>
      <x:c r="G27" s="7" t="str">
        <x:f>IF(OR(A27="",E27=0),"",F27/E27)</x:f>
      </x:c>
      <x:c r="H27" s="7" t="str">
        <x:f>IF(OR(A27="",SUMIFS(Calculations!$H$2:$H$201,'Trial Rows'!$B$2:$B$201,'Trial Rows'!B27,'Trial Rows'!$C$2:$C$201,'Trial Rows'!C27,'Trial Rows'!$F$2:$F$201,'Trial Rows'!F27,'Trial Rows'!$Y$2:$Y$201,'Trial Rows'!Y27)=0),"",SUMIFS(Calculations!$I$2:$I$201,'Trial Rows'!$B$2:$B$201,'Trial Rows'!B27,'Trial Rows'!$C$2:$C$201,'Trial Rows'!C27,'Trial Rows'!$F$2:$F$201,'Trial Rows'!F27,'Trial Rows'!$Y$2:$Y$201,'Trial Rows'!Y27)/SUMIFS(Calculations!$H$2:$H$201,'Trial Rows'!$B$2:$B$201,'Trial Rows'!B27,'Trial Rows'!$C$2:$C$201,'Trial Rows'!C27,'Trial Rows'!$F$2:$F$201,'Trial Rows'!F27,'Trial Rows'!$Y$2:$Y$201,'Trial Rows'!Y27))</x:f>
      </x:c>
      <x:c r="I27" s="2" t="str">
        <x:f>IF(AND(A27&lt;&gt;"",COUNTIFS('Trial Rows'!$B$2:$B$201,'Trial Rows'!B27,'Trial Rows'!$C$2:$C$201,'Trial Rows'!C27,'Trial Rows'!$F$2:$F$201,'Trial Rows'!F27,'Trial Rows'!$Y$2:$Y$201,'Trial Rows'!Y27,'Trial Rows'!$G$2:$G$201,"A",Calculations!$R$2:$R$201,"&gt;=0",Calculations!$R$2:$R$201,"&lt;&gt;")=1),SUMIFS(Calculations!$R$2:$R$201,'Trial Rows'!$B$2:$B$201,'Trial Rows'!B27,'Trial Rows'!$C$2:$C$201,'Trial Rows'!C27,'Trial Rows'!$F$2:$F$201,'Trial Rows'!F27,'Trial Rows'!$Y$2:$Y$201,'Trial Rows'!Y27,'Trial Rows'!$G$2:$G$201,"A"),"")</x:f>
      </x:c>
      <x:c r="J27" s="2" t="str">
        <x:f>IF(AND(A27&lt;&gt;"",COUNTIFS('Trial Rows'!$B$2:$B$201,'Trial Rows'!B27,'Trial Rows'!$C$2:$C$201,'Trial Rows'!C27,'Trial Rows'!$F$2:$F$201,'Trial Rows'!F27,'Trial Rows'!$Y$2:$Y$201,'Trial Rows'!Y27,'Trial Rows'!$G$2:$G$201,"B",Calculations!$R$2:$R$201,"&gt;=0",Calculations!$R$2:$R$201,"&lt;&gt;")=1),SUMIFS(Calculations!$R$2:$R$201,'Trial Rows'!$B$2:$B$201,'Trial Rows'!B27,'Trial Rows'!$C$2:$C$201,'Trial Rows'!C27,'Trial Rows'!$F$2:$F$201,'Trial Rows'!F27,'Trial Rows'!$Y$2:$Y$201,'Trial Rows'!Y27,'Trial Rows'!$G$2:$G$201,"B"),"")</x:f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>
      <x:c r="A28" s="2" t="str">
        <x:f>IF(AND(Calculations!B28=1,'Trial Rows'!G28="B",'Trial Rows'!I28=1,Calculations!D28=1),'Trial Rows'!C28,"")</x:f>
      </x:c>
      <x:c r="B28" s="2" t="str">
        <x:f>IF(A28="","",'Trial Rows'!B28)</x:f>
      </x:c>
      <x:c r="C28" s="2" t="str">
        <x:f>IF(A28="","",'Trial Rows'!F28)</x:f>
      </x:c>
      <x:c r="D28" s="2" t="str">
        <x:f>IF(A28="","",'Trial Rows'!H28)</x:f>
      </x:c>
      <x:c r="E28" s="2" t="str">
        <x:f>IF(A28="","",SUMIFS(Calculations!$F$2:$F$201,'Trial Rows'!$B$2:$B$201,'Trial Rows'!B28,'Trial Rows'!$C$2:$C$201,'Trial Rows'!C28,'Trial Rows'!$F$2:$F$201,'Trial Rows'!F28,'Trial Rows'!$Y$2:$Y$201,'Trial Rows'!Y28))</x:f>
      </x:c>
      <x:c r="F28" s="2" t="str">
        <x:f>IF(A28="","",SUMIFS(Calculations!$G$2:$G$201,'Trial Rows'!$B$2:$B$201,'Trial Rows'!B28,'Trial Rows'!$C$2:$C$201,'Trial Rows'!C28,'Trial Rows'!$F$2:$F$201,'Trial Rows'!F28,'Trial Rows'!$Y$2:$Y$201,'Trial Rows'!Y28))</x:f>
      </x:c>
      <x:c r="G28" s="7" t="str">
        <x:f>IF(OR(A28="",E28=0),"",F28/E28)</x:f>
      </x:c>
      <x:c r="H28" s="7" t="str">
        <x:f>IF(OR(A28="",SUMIFS(Calculations!$H$2:$H$201,'Trial Rows'!$B$2:$B$201,'Trial Rows'!B28,'Trial Rows'!$C$2:$C$201,'Trial Rows'!C28,'Trial Rows'!$F$2:$F$201,'Trial Rows'!F28,'Trial Rows'!$Y$2:$Y$201,'Trial Rows'!Y28)=0),"",SUMIFS(Calculations!$I$2:$I$201,'Trial Rows'!$B$2:$B$201,'Trial Rows'!B28,'Trial Rows'!$C$2:$C$201,'Trial Rows'!C28,'Trial Rows'!$F$2:$F$201,'Trial Rows'!F28,'Trial Rows'!$Y$2:$Y$201,'Trial Rows'!Y28)/SUMIFS(Calculations!$H$2:$H$201,'Trial Rows'!$B$2:$B$201,'Trial Rows'!B28,'Trial Rows'!$C$2:$C$201,'Trial Rows'!C28,'Trial Rows'!$F$2:$F$201,'Trial Rows'!F28,'Trial Rows'!$Y$2:$Y$201,'Trial Rows'!Y28))</x:f>
      </x:c>
      <x:c r="I28" s="2" t="str">
        <x:f>IF(AND(A28&lt;&gt;"",COUNTIFS('Trial Rows'!$B$2:$B$201,'Trial Rows'!B28,'Trial Rows'!$C$2:$C$201,'Trial Rows'!C28,'Trial Rows'!$F$2:$F$201,'Trial Rows'!F28,'Trial Rows'!$Y$2:$Y$201,'Trial Rows'!Y28,'Trial Rows'!$G$2:$G$201,"A",Calculations!$R$2:$R$201,"&gt;=0",Calculations!$R$2:$R$201,"&lt;&gt;")=1),SUMIFS(Calculations!$R$2:$R$201,'Trial Rows'!$B$2:$B$201,'Trial Rows'!B28,'Trial Rows'!$C$2:$C$201,'Trial Rows'!C28,'Trial Rows'!$F$2:$F$201,'Trial Rows'!F28,'Trial Rows'!$Y$2:$Y$201,'Trial Rows'!Y28,'Trial Rows'!$G$2:$G$201,"A"),"")</x:f>
      </x:c>
      <x:c r="J28" s="2" t="str">
        <x:f>IF(AND(A28&lt;&gt;"",COUNTIFS('Trial Rows'!$B$2:$B$201,'Trial Rows'!B28,'Trial Rows'!$C$2:$C$201,'Trial Rows'!C28,'Trial Rows'!$F$2:$F$201,'Trial Rows'!F28,'Trial Rows'!$Y$2:$Y$201,'Trial Rows'!Y28,'Trial Rows'!$G$2:$G$201,"B",Calculations!$R$2:$R$201,"&gt;=0",Calculations!$R$2:$R$201,"&lt;&gt;")=1),SUMIFS(Calculations!$R$2:$R$201,'Trial Rows'!$B$2:$B$201,'Trial Rows'!B28,'Trial Rows'!$C$2:$C$201,'Trial Rows'!C28,'Trial Rows'!$F$2:$F$201,'Trial Rows'!F28,'Trial Rows'!$Y$2:$Y$201,'Trial Rows'!Y28,'Trial Rows'!$G$2:$G$201,"B"),"")</x:f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>
      <x:c r="A29" s="2" t="str">
        <x:f>IF(AND(Calculations!B29=1,'Trial Rows'!G29="B",'Trial Rows'!I29=1,Calculations!D29=1),'Trial Rows'!C29,"")</x:f>
      </x:c>
      <x:c r="B29" s="2" t="str">
        <x:f>IF(A29="","",'Trial Rows'!B29)</x:f>
      </x:c>
      <x:c r="C29" s="2" t="str">
        <x:f>IF(A29="","",'Trial Rows'!F29)</x:f>
      </x:c>
      <x:c r="D29" s="2" t="str">
        <x:f>IF(A29="","",'Trial Rows'!H29)</x:f>
      </x:c>
      <x:c r="E29" s="2" t="str">
        <x:f>IF(A29="","",SUMIFS(Calculations!$F$2:$F$201,'Trial Rows'!$B$2:$B$201,'Trial Rows'!B29,'Trial Rows'!$C$2:$C$201,'Trial Rows'!C29,'Trial Rows'!$F$2:$F$201,'Trial Rows'!F29,'Trial Rows'!$Y$2:$Y$201,'Trial Rows'!Y29))</x:f>
      </x:c>
      <x:c r="F29" s="2" t="str">
        <x:f>IF(A29="","",SUMIFS(Calculations!$G$2:$G$201,'Trial Rows'!$B$2:$B$201,'Trial Rows'!B29,'Trial Rows'!$C$2:$C$201,'Trial Rows'!C29,'Trial Rows'!$F$2:$F$201,'Trial Rows'!F29,'Trial Rows'!$Y$2:$Y$201,'Trial Rows'!Y29))</x:f>
      </x:c>
      <x:c r="G29" s="7" t="str">
        <x:f>IF(OR(A29="",E29=0),"",F29/E29)</x:f>
      </x:c>
      <x:c r="H29" s="7" t="str">
        <x:f>IF(OR(A29="",SUMIFS(Calculations!$H$2:$H$201,'Trial Rows'!$B$2:$B$201,'Trial Rows'!B29,'Trial Rows'!$C$2:$C$201,'Trial Rows'!C29,'Trial Rows'!$F$2:$F$201,'Trial Rows'!F29,'Trial Rows'!$Y$2:$Y$201,'Trial Rows'!Y29)=0),"",SUMIFS(Calculations!$I$2:$I$201,'Trial Rows'!$B$2:$B$201,'Trial Rows'!B29,'Trial Rows'!$C$2:$C$201,'Trial Rows'!C29,'Trial Rows'!$F$2:$F$201,'Trial Rows'!F29,'Trial Rows'!$Y$2:$Y$201,'Trial Rows'!Y29)/SUMIFS(Calculations!$H$2:$H$201,'Trial Rows'!$B$2:$B$201,'Trial Rows'!B29,'Trial Rows'!$C$2:$C$201,'Trial Rows'!C29,'Trial Rows'!$F$2:$F$201,'Trial Rows'!F29,'Trial Rows'!$Y$2:$Y$201,'Trial Rows'!Y29))</x:f>
      </x:c>
      <x:c r="I29" s="2" t="str">
        <x:f>IF(AND(A29&lt;&gt;"",COUNTIFS('Trial Rows'!$B$2:$B$201,'Trial Rows'!B29,'Trial Rows'!$C$2:$C$201,'Trial Rows'!C29,'Trial Rows'!$F$2:$F$201,'Trial Rows'!F29,'Trial Rows'!$Y$2:$Y$201,'Trial Rows'!Y29,'Trial Rows'!$G$2:$G$201,"A",Calculations!$R$2:$R$201,"&gt;=0",Calculations!$R$2:$R$201,"&lt;&gt;")=1),SUMIFS(Calculations!$R$2:$R$201,'Trial Rows'!$B$2:$B$201,'Trial Rows'!B29,'Trial Rows'!$C$2:$C$201,'Trial Rows'!C29,'Trial Rows'!$F$2:$F$201,'Trial Rows'!F29,'Trial Rows'!$Y$2:$Y$201,'Trial Rows'!Y29,'Trial Rows'!$G$2:$G$201,"A"),"")</x:f>
      </x:c>
      <x:c r="J29" s="2" t="str">
        <x:f>IF(AND(A29&lt;&gt;"",COUNTIFS('Trial Rows'!$B$2:$B$201,'Trial Rows'!B29,'Trial Rows'!$C$2:$C$201,'Trial Rows'!C29,'Trial Rows'!$F$2:$F$201,'Trial Rows'!F29,'Trial Rows'!$Y$2:$Y$201,'Trial Rows'!Y29,'Trial Rows'!$G$2:$G$201,"B",Calculations!$R$2:$R$201,"&gt;=0",Calculations!$R$2:$R$201,"&lt;&gt;")=1),SUMIFS(Calculations!$R$2:$R$201,'Trial Rows'!$B$2:$B$201,'Trial Rows'!B29,'Trial Rows'!$C$2:$C$201,'Trial Rows'!C29,'Trial Rows'!$F$2:$F$201,'Trial Rows'!F29,'Trial Rows'!$Y$2:$Y$201,'Trial Rows'!Y29,'Trial Rows'!$G$2:$G$201,"B"),"")</x:f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 t="str">
        <x:f>IF(AND(Calculations!B30=1,'Trial Rows'!G30="B",'Trial Rows'!I30=1,Calculations!D30=1),'Trial Rows'!C30,"")</x:f>
      </x:c>
      <x:c r="B30" s="2" t="str">
        <x:f>IF(A30="","",'Trial Rows'!B30)</x:f>
      </x:c>
      <x:c r="C30" s="2" t="str">
        <x:f>IF(A30="","",'Trial Rows'!F30)</x:f>
      </x:c>
      <x:c r="D30" s="2" t="str">
        <x:f>IF(A30="","",'Trial Rows'!H30)</x:f>
      </x:c>
      <x:c r="E30" s="2" t="str">
        <x:f>IF(A30="","",SUMIFS(Calculations!$F$2:$F$201,'Trial Rows'!$B$2:$B$201,'Trial Rows'!B30,'Trial Rows'!$C$2:$C$201,'Trial Rows'!C30,'Trial Rows'!$F$2:$F$201,'Trial Rows'!F30,'Trial Rows'!$Y$2:$Y$201,'Trial Rows'!Y30))</x:f>
      </x:c>
      <x:c r="F30" s="2" t="str">
        <x:f>IF(A30="","",SUMIFS(Calculations!$G$2:$G$201,'Trial Rows'!$B$2:$B$201,'Trial Rows'!B30,'Trial Rows'!$C$2:$C$201,'Trial Rows'!C30,'Trial Rows'!$F$2:$F$201,'Trial Rows'!F30,'Trial Rows'!$Y$2:$Y$201,'Trial Rows'!Y30))</x:f>
      </x:c>
      <x:c r="G30" s="7" t="str">
        <x:f>IF(OR(A30="",E30=0),"",F30/E30)</x:f>
      </x:c>
      <x:c r="H30" s="7" t="str">
        <x:f>IF(OR(A30="",SUMIFS(Calculations!$H$2:$H$201,'Trial Rows'!$B$2:$B$201,'Trial Rows'!B30,'Trial Rows'!$C$2:$C$201,'Trial Rows'!C30,'Trial Rows'!$F$2:$F$201,'Trial Rows'!F30,'Trial Rows'!$Y$2:$Y$201,'Trial Rows'!Y30)=0),"",SUMIFS(Calculations!$I$2:$I$201,'Trial Rows'!$B$2:$B$201,'Trial Rows'!B30,'Trial Rows'!$C$2:$C$201,'Trial Rows'!C30,'Trial Rows'!$F$2:$F$201,'Trial Rows'!F30,'Trial Rows'!$Y$2:$Y$201,'Trial Rows'!Y30)/SUMIFS(Calculations!$H$2:$H$201,'Trial Rows'!$B$2:$B$201,'Trial Rows'!B30,'Trial Rows'!$C$2:$C$201,'Trial Rows'!C30,'Trial Rows'!$F$2:$F$201,'Trial Rows'!F30,'Trial Rows'!$Y$2:$Y$201,'Trial Rows'!Y30))</x:f>
      </x:c>
      <x:c r="I30" s="2" t="str">
        <x:f>IF(AND(A30&lt;&gt;"",COUNTIFS('Trial Rows'!$B$2:$B$201,'Trial Rows'!B30,'Trial Rows'!$C$2:$C$201,'Trial Rows'!C30,'Trial Rows'!$F$2:$F$201,'Trial Rows'!F30,'Trial Rows'!$Y$2:$Y$201,'Trial Rows'!Y30,'Trial Rows'!$G$2:$G$201,"A",Calculations!$R$2:$R$201,"&gt;=0",Calculations!$R$2:$R$201,"&lt;&gt;")=1),SUMIFS(Calculations!$R$2:$R$201,'Trial Rows'!$B$2:$B$201,'Trial Rows'!B30,'Trial Rows'!$C$2:$C$201,'Trial Rows'!C30,'Trial Rows'!$F$2:$F$201,'Trial Rows'!F30,'Trial Rows'!$Y$2:$Y$201,'Trial Rows'!Y30,'Trial Rows'!$G$2:$G$201,"A"),"")</x:f>
      </x:c>
      <x:c r="J30" s="2" t="str">
        <x:f>IF(AND(A30&lt;&gt;"",COUNTIFS('Trial Rows'!$B$2:$B$201,'Trial Rows'!B30,'Trial Rows'!$C$2:$C$201,'Trial Rows'!C30,'Trial Rows'!$F$2:$F$201,'Trial Rows'!F30,'Trial Rows'!$Y$2:$Y$201,'Trial Rows'!Y30,'Trial Rows'!$G$2:$G$201,"B",Calculations!$R$2:$R$201,"&gt;=0",Calculations!$R$2:$R$201,"&lt;&gt;")=1),SUMIFS(Calculations!$R$2:$R$201,'Trial Rows'!$B$2:$B$201,'Trial Rows'!B30,'Trial Rows'!$C$2:$C$201,'Trial Rows'!C30,'Trial Rows'!$F$2:$F$201,'Trial Rows'!F30,'Trial Rows'!$Y$2:$Y$201,'Trial Rows'!Y30,'Trial Rows'!$G$2:$G$201,"B"),"")</x:f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2" t="str">
        <x:f>IF(AND(Calculations!B31=1,'Trial Rows'!G31="B",'Trial Rows'!I31=1,Calculations!D31=1),'Trial Rows'!C31,"")</x:f>
      </x:c>
      <x:c r="B31" s="2" t="str">
        <x:f>IF(A31="","",'Trial Rows'!B31)</x:f>
      </x:c>
      <x:c r="C31" s="2" t="str">
        <x:f>IF(A31="","",'Trial Rows'!F31)</x:f>
      </x:c>
      <x:c r="D31" s="2" t="str">
        <x:f>IF(A31="","",'Trial Rows'!H31)</x:f>
      </x:c>
      <x:c r="E31" s="2" t="str">
        <x:f>IF(A31="","",SUMIFS(Calculations!$F$2:$F$201,'Trial Rows'!$B$2:$B$201,'Trial Rows'!B31,'Trial Rows'!$C$2:$C$201,'Trial Rows'!C31,'Trial Rows'!$F$2:$F$201,'Trial Rows'!F31,'Trial Rows'!$Y$2:$Y$201,'Trial Rows'!Y31))</x:f>
      </x:c>
      <x:c r="F31" s="2" t="str">
        <x:f>IF(A31="","",SUMIFS(Calculations!$G$2:$G$201,'Trial Rows'!$B$2:$B$201,'Trial Rows'!B31,'Trial Rows'!$C$2:$C$201,'Trial Rows'!C31,'Trial Rows'!$F$2:$F$201,'Trial Rows'!F31,'Trial Rows'!$Y$2:$Y$201,'Trial Rows'!Y31))</x:f>
      </x:c>
      <x:c r="G31" s="7" t="str">
        <x:f>IF(OR(A31="",E31=0),"",F31/E31)</x:f>
      </x:c>
      <x:c r="H31" s="7" t="str">
        <x:f>IF(OR(A31="",SUMIFS(Calculations!$H$2:$H$201,'Trial Rows'!$B$2:$B$201,'Trial Rows'!B31,'Trial Rows'!$C$2:$C$201,'Trial Rows'!C31,'Trial Rows'!$F$2:$F$201,'Trial Rows'!F31,'Trial Rows'!$Y$2:$Y$201,'Trial Rows'!Y31)=0),"",SUMIFS(Calculations!$I$2:$I$201,'Trial Rows'!$B$2:$B$201,'Trial Rows'!B31,'Trial Rows'!$C$2:$C$201,'Trial Rows'!C31,'Trial Rows'!$F$2:$F$201,'Trial Rows'!F31,'Trial Rows'!$Y$2:$Y$201,'Trial Rows'!Y31)/SUMIFS(Calculations!$H$2:$H$201,'Trial Rows'!$B$2:$B$201,'Trial Rows'!B31,'Trial Rows'!$C$2:$C$201,'Trial Rows'!C31,'Trial Rows'!$F$2:$F$201,'Trial Rows'!F31,'Trial Rows'!$Y$2:$Y$201,'Trial Rows'!Y31))</x:f>
      </x:c>
      <x:c r="I31" s="2" t="str">
        <x:f>IF(AND(A31&lt;&gt;"",COUNTIFS('Trial Rows'!$B$2:$B$201,'Trial Rows'!B31,'Trial Rows'!$C$2:$C$201,'Trial Rows'!C31,'Trial Rows'!$F$2:$F$201,'Trial Rows'!F31,'Trial Rows'!$Y$2:$Y$201,'Trial Rows'!Y31,'Trial Rows'!$G$2:$G$201,"A",Calculations!$R$2:$R$201,"&gt;=0",Calculations!$R$2:$R$201,"&lt;&gt;")=1),SUMIFS(Calculations!$R$2:$R$201,'Trial Rows'!$B$2:$B$201,'Trial Rows'!B31,'Trial Rows'!$C$2:$C$201,'Trial Rows'!C31,'Trial Rows'!$F$2:$F$201,'Trial Rows'!F31,'Trial Rows'!$Y$2:$Y$201,'Trial Rows'!Y31,'Trial Rows'!$G$2:$G$201,"A"),"")</x:f>
      </x:c>
      <x:c r="J31" s="2" t="str">
        <x:f>IF(AND(A31&lt;&gt;"",COUNTIFS('Trial Rows'!$B$2:$B$201,'Trial Rows'!B31,'Trial Rows'!$C$2:$C$201,'Trial Rows'!C31,'Trial Rows'!$F$2:$F$201,'Trial Rows'!F31,'Trial Rows'!$Y$2:$Y$201,'Trial Rows'!Y31,'Trial Rows'!$G$2:$G$201,"B",Calculations!$R$2:$R$201,"&gt;=0",Calculations!$R$2:$R$201,"&lt;&gt;")=1),SUMIFS(Calculations!$R$2:$R$201,'Trial Rows'!$B$2:$B$201,'Trial Rows'!B31,'Trial Rows'!$C$2:$C$201,'Trial Rows'!C31,'Trial Rows'!$F$2:$F$201,'Trial Rows'!F31,'Trial Rows'!$Y$2:$Y$201,'Trial Rows'!Y31,'Trial Rows'!$G$2:$G$201,"B"),"")</x:f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>
      <x:c r="A32" s="2" t="str">
        <x:f>IF(AND(Calculations!B32=1,'Trial Rows'!G32="B",'Trial Rows'!I32=1,Calculations!D32=1),'Trial Rows'!C32,"")</x:f>
      </x:c>
      <x:c r="B32" s="2" t="str">
        <x:f>IF(A32="","",'Trial Rows'!B32)</x:f>
      </x:c>
      <x:c r="C32" s="2" t="str">
        <x:f>IF(A32="","",'Trial Rows'!F32)</x:f>
      </x:c>
      <x:c r="D32" s="2" t="str">
        <x:f>IF(A32="","",'Trial Rows'!H32)</x:f>
      </x:c>
      <x:c r="E32" s="2" t="str">
        <x:f>IF(A32="","",SUMIFS(Calculations!$F$2:$F$201,'Trial Rows'!$B$2:$B$201,'Trial Rows'!B32,'Trial Rows'!$C$2:$C$201,'Trial Rows'!C32,'Trial Rows'!$F$2:$F$201,'Trial Rows'!F32,'Trial Rows'!$Y$2:$Y$201,'Trial Rows'!Y32))</x:f>
      </x:c>
      <x:c r="F32" s="2" t="str">
        <x:f>IF(A32="","",SUMIFS(Calculations!$G$2:$G$201,'Trial Rows'!$B$2:$B$201,'Trial Rows'!B32,'Trial Rows'!$C$2:$C$201,'Trial Rows'!C32,'Trial Rows'!$F$2:$F$201,'Trial Rows'!F32,'Trial Rows'!$Y$2:$Y$201,'Trial Rows'!Y32))</x:f>
      </x:c>
      <x:c r="G32" s="7" t="str">
        <x:f>IF(OR(A32="",E32=0),"",F32/E32)</x:f>
      </x:c>
      <x:c r="H32" s="7" t="str">
        <x:f>IF(OR(A32="",SUMIFS(Calculations!$H$2:$H$201,'Trial Rows'!$B$2:$B$201,'Trial Rows'!B32,'Trial Rows'!$C$2:$C$201,'Trial Rows'!C32,'Trial Rows'!$F$2:$F$201,'Trial Rows'!F32,'Trial Rows'!$Y$2:$Y$201,'Trial Rows'!Y32)=0),"",SUMIFS(Calculations!$I$2:$I$201,'Trial Rows'!$B$2:$B$201,'Trial Rows'!B32,'Trial Rows'!$C$2:$C$201,'Trial Rows'!C32,'Trial Rows'!$F$2:$F$201,'Trial Rows'!F32,'Trial Rows'!$Y$2:$Y$201,'Trial Rows'!Y32)/SUMIFS(Calculations!$H$2:$H$201,'Trial Rows'!$B$2:$B$201,'Trial Rows'!B32,'Trial Rows'!$C$2:$C$201,'Trial Rows'!C32,'Trial Rows'!$F$2:$F$201,'Trial Rows'!F32,'Trial Rows'!$Y$2:$Y$201,'Trial Rows'!Y32))</x:f>
      </x:c>
      <x:c r="I32" s="2" t="str">
        <x:f>IF(AND(A32&lt;&gt;"",COUNTIFS('Trial Rows'!$B$2:$B$201,'Trial Rows'!B32,'Trial Rows'!$C$2:$C$201,'Trial Rows'!C32,'Trial Rows'!$F$2:$F$201,'Trial Rows'!F32,'Trial Rows'!$Y$2:$Y$201,'Trial Rows'!Y32,'Trial Rows'!$G$2:$G$201,"A",Calculations!$R$2:$R$201,"&gt;=0",Calculations!$R$2:$R$201,"&lt;&gt;")=1),SUMIFS(Calculations!$R$2:$R$201,'Trial Rows'!$B$2:$B$201,'Trial Rows'!B32,'Trial Rows'!$C$2:$C$201,'Trial Rows'!C32,'Trial Rows'!$F$2:$F$201,'Trial Rows'!F32,'Trial Rows'!$Y$2:$Y$201,'Trial Rows'!Y32,'Trial Rows'!$G$2:$G$201,"A"),"")</x:f>
      </x:c>
      <x:c r="J32" s="2" t="str">
        <x:f>IF(AND(A32&lt;&gt;"",COUNTIFS('Trial Rows'!$B$2:$B$201,'Trial Rows'!B32,'Trial Rows'!$C$2:$C$201,'Trial Rows'!C32,'Trial Rows'!$F$2:$F$201,'Trial Rows'!F32,'Trial Rows'!$Y$2:$Y$201,'Trial Rows'!Y32,'Trial Rows'!$G$2:$G$201,"B",Calculations!$R$2:$R$201,"&gt;=0",Calculations!$R$2:$R$201,"&lt;&gt;")=1),SUMIFS(Calculations!$R$2:$R$201,'Trial Rows'!$B$2:$B$201,'Trial Rows'!B32,'Trial Rows'!$C$2:$C$201,'Trial Rows'!C32,'Trial Rows'!$F$2:$F$201,'Trial Rows'!F32,'Trial Rows'!$Y$2:$Y$201,'Trial Rows'!Y32,'Trial Rows'!$G$2:$G$201,"B"),"")</x:f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 t="str">
        <x:f>IF(AND(Calculations!B33=1,'Trial Rows'!G33="B",'Trial Rows'!I33=1,Calculations!D33=1),'Trial Rows'!C33,"")</x:f>
      </x:c>
      <x:c r="B33" s="2" t="str">
        <x:f>IF(A33="","",'Trial Rows'!B33)</x:f>
      </x:c>
      <x:c r="C33" s="2" t="str">
        <x:f>IF(A33="","",'Trial Rows'!F33)</x:f>
      </x:c>
      <x:c r="D33" s="2" t="str">
        <x:f>IF(A33="","",'Trial Rows'!H33)</x:f>
      </x:c>
      <x:c r="E33" s="2" t="str">
        <x:f>IF(A33="","",SUMIFS(Calculations!$F$2:$F$201,'Trial Rows'!$B$2:$B$201,'Trial Rows'!B33,'Trial Rows'!$C$2:$C$201,'Trial Rows'!C33,'Trial Rows'!$F$2:$F$201,'Trial Rows'!F33,'Trial Rows'!$Y$2:$Y$201,'Trial Rows'!Y33))</x:f>
      </x:c>
      <x:c r="F33" s="2" t="str">
        <x:f>IF(A33="","",SUMIFS(Calculations!$G$2:$G$201,'Trial Rows'!$B$2:$B$201,'Trial Rows'!B33,'Trial Rows'!$C$2:$C$201,'Trial Rows'!C33,'Trial Rows'!$F$2:$F$201,'Trial Rows'!F33,'Trial Rows'!$Y$2:$Y$201,'Trial Rows'!Y33))</x:f>
      </x:c>
      <x:c r="G33" s="7" t="str">
        <x:f>IF(OR(A33="",E33=0),"",F33/E33)</x:f>
      </x:c>
      <x:c r="H33" s="7" t="str">
        <x:f>IF(OR(A33="",SUMIFS(Calculations!$H$2:$H$201,'Trial Rows'!$B$2:$B$201,'Trial Rows'!B33,'Trial Rows'!$C$2:$C$201,'Trial Rows'!C33,'Trial Rows'!$F$2:$F$201,'Trial Rows'!F33,'Trial Rows'!$Y$2:$Y$201,'Trial Rows'!Y33)=0),"",SUMIFS(Calculations!$I$2:$I$201,'Trial Rows'!$B$2:$B$201,'Trial Rows'!B33,'Trial Rows'!$C$2:$C$201,'Trial Rows'!C33,'Trial Rows'!$F$2:$F$201,'Trial Rows'!F33,'Trial Rows'!$Y$2:$Y$201,'Trial Rows'!Y33)/SUMIFS(Calculations!$H$2:$H$201,'Trial Rows'!$B$2:$B$201,'Trial Rows'!B33,'Trial Rows'!$C$2:$C$201,'Trial Rows'!C33,'Trial Rows'!$F$2:$F$201,'Trial Rows'!F33,'Trial Rows'!$Y$2:$Y$201,'Trial Rows'!Y33))</x:f>
      </x:c>
      <x:c r="I33" s="2" t="str">
        <x:f>IF(AND(A33&lt;&gt;"",COUNTIFS('Trial Rows'!$B$2:$B$201,'Trial Rows'!B33,'Trial Rows'!$C$2:$C$201,'Trial Rows'!C33,'Trial Rows'!$F$2:$F$201,'Trial Rows'!F33,'Trial Rows'!$Y$2:$Y$201,'Trial Rows'!Y33,'Trial Rows'!$G$2:$G$201,"A",Calculations!$R$2:$R$201,"&gt;=0",Calculations!$R$2:$R$201,"&lt;&gt;")=1),SUMIFS(Calculations!$R$2:$R$201,'Trial Rows'!$B$2:$B$201,'Trial Rows'!B33,'Trial Rows'!$C$2:$C$201,'Trial Rows'!C33,'Trial Rows'!$F$2:$F$201,'Trial Rows'!F33,'Trial Rows'!$Y$2:$Y$201,'Trial Rows'!Y33,'Trial Rows'!$G$2:$G$201,"A"),"")</x:f>
      </x:c>
      <x:c r="J33" s="2" t="str">
        <x:f>IF(AND(A33&lt;&gt;"",COUNTIFS('Trial Rows'!$B$2:$B$201,'Trial Rows'!B33,'Trial Rows'!$C$2:$C$201,'Trial Rows'!C33,'Trial Rows'!$F$2:$F$201,'Trial Rows'!F33,'Trial Rows'!$Y$2:$Y$201,'Trial Rows'!Y33,'Trial Rows'!$G$2:$G$201,"B",Calculations!$R$2:$R$201,"&gt;=0",Calculations!$R$2:$R$201,"&lt;&gt;")=1),SUMIFS(Calculations!$R$2:$R$201,'Trial Rows'!$B$2:$B$201,'Trial Rows'!B33,'Trial Rows'!$C$2:$C$201,'Trial Rows'!C33,'Trial Rows'!$F$2:$F$201,'Trial Rows'!F33,'Trial Rows'!$Y$2:$Y$201,'Trial Rows'!Y33,'Trial Rows'!$G$2:$G$201,"B"),"")</x:f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 t="str">
        <x:f>IF(AND(Calculations!B34=1,'Trial Rows'!G34="B",'Trial Rows'!I34=1,Calculations!D34=1),'Trial Rows'!C34,"")</x:f>
      </x:c>
      <x:c r="B34" s="2" t="str">
        <x:f>IF(A34="","",'Trial Rows'!B34)</x:f>
      </x:c>
      <x:c r="C34" s="2" t="str">
        <x:f>IF(A34="","",'Trial Rows'!F34)</x:f>
      </x:c>
      <x:c r="D34" s="2" t="str">
        <x:f>IF(A34="","",'Trial Rows'!H34)</x:f>
      </x:c>
      <x:c r="E34" s="2" t="str">
        <x:f>IF(A34="","",SUMIFS(Calculations!$F$2:$F$201,'Trial Rows'!$B$2:$B$201,'Trial Rows'!B34,'Trial Rows'!$C$2:$C$201,'Trial Rows'!C34,'Trial Rows'!$F$2:$F$201,'Trial Rows'!F34,'Trial Rows'!$Y$2:$Y$201,'Trial Rows'!Y34))</x:f>
      </x:c>
      <x:c r="F34" s="2" t="str">
        <x:f>IF(A34="","",SUMIFS(Calculations!$G$2:$G$201,'Trial Rows'!$B$2:$B$201,'Trial Rows'!B34,'Trial Rows'!$C$2:$C$201,'Trial Rows'!C34,'Trial Rows'!$F$2:$F$201,'Trial Rows'!F34,'Trial Rows'!$Y$2:$Y$201,'Trial Rows'!Y34))</x:f>
      </x:c>
      <x:c r="G34" s="7" t="str">
        <x:f>IF(OR(A34="",E34=0),"",F34/E34)</x:f>
      </x:c>
      <x:c r="H34" s="7" t="str">
        <x:f>IF(OR(A34="",SUMIFS(Calculations!$H$2:$H$201,'Trial Rows'!$B$2:$B$201,'Trial Rows'!B34,'Trial Rows'!$C$2:$C$201,'Trial Rows'!C34,'Trial Rows'!$F$2:$F$201,'Trial Rows'!F34,'Trial Rows'!$Y$2:$Y$201,'Trial Rows'!Y34)=0),"",SUMIFS(Calculations!$I$2:$I$201,'Trial Rows'!$B$2:$B$201,'Trial Rows'!B34,'Trial Rows'!$C$2:$C$201,'Trial Rows'!C34,'Trial Rows'!$F$2:$F$201,'Trial Rows'!F34,'Trial Rows'!$Y$2:$Y$201,'Trial Rows'!Y34)/SUMIFS(Calculations!$H$2:$H$201,'Trial Rows'!$B$2:$B$201,'Trial Rows'!B34,'Trial Rows'!$C$2:$C$201,'Trial Rows'!C34,'Trial Rows'!$F$2:$F$201,'Trial Rows'!F34,'Trial Rows'!$Y$2:$Y$201,'Trial Rows'!Y34))</x:f>
      </x:c>
      <x:c r="I34" s="2" t="str">
        <x:f>IF(AND(A34&lt;&gt;"",COUNTIFS('Trial Rows'!$B$2:$B$201,'Trial Rows'!B34,'Trial Rows'!$C$2:$C$201,'Trial Rows'!C34,'Trial Rows'!$F$2:$F$201,'Trial Rows'!F34,'Trial Rows'!$Y$2:$Y$201,'Trial Rows'!Y34,'Trial Rows'!$G$2:$G$201,"A",Calculations!$R$2:$R$201,"&gt;=0",Calculations!$R$2:$R$201,"&lt;&gt;")=1),SUMIFS(Calculations!$R$2:$R$201,'Trial Rows'!$B$2:$B$201,'Trial Rows'!B34,'Trial Rows'!$C$2:$C$201,'Trial Rows'!C34,'Trial Rows'!$F$2:$F$201,'Trial Rows'!F34,'Trial Rows'!$Y$2:$Y$201,'Trial Rows'!Y34,'Trial Rows'!$G$2:$G$201,"A"),"")</x:f>
      </x:c>
      <x:c r="J34" s="2" t="str">
        <x:f>IF(AND(A34&lt;&gt;"",COUNTIFS('Trial Rows'!$B$2:$B$201,'Trial Rows'!B34,'Trial Rows'!$C$2:$C$201,'Trial Rows'!C34,'Trial Rows'!$F$2:$F$201,'Trial Rows'!F34,'Trial Rows'!$Y$2:$Y$201,'Trial Rows'!Y34,'Trial Rows'!$G$2:$G$201,"B",Calculations!$R$2:$R$201,"&gt;=0",Calculations!$R$2:$R$201,"&lt;&gt;")=1),SUMIFS(Calculations!$R$2:$R$201,'Trial Rows'!$B$2:$B$201,'Trial Rows'!B34,'Trial Rows'!$C$2:$C$201,'Trial Rows'!C34,'Trial Rows'!$F$2:$F$201,'Trial Rows'!F34,'Trial Rows'!$Y$2:$Y$201,'Trial Rows'!Y34,'Trial Rows'!$G$2:$G$201,"B"),"")</x:f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 t="str">
        <x:f>IF(AND(Calculations!B35=1,'Trial Rows'!G35="B",'Trial Rows'!I35=1,Calculations!D35=1),'Trial Rows'!C35,"")</x:f>
      </x:c>
      <x:c r="B35" s="2" t="str">
        <x:f>IF(A35="","",'Trial Rows'!B35)</x:f>
      </x:c>
      <x:c r="C35" s="2" t="str">
        <x:f>IF(A35="","",'Trial Rows'!F35)</x:f>
      </x:c>
      <x:c r="D35" s="2" t="str">
        <x:f>IF(A35="","",'Trial Rows'!H35)</x:f>
      </x:c>
      <x:c r="E35" s="2" t="str">
        <x:f>IF(A35="","",SUMIFS(Calculations!$F$2:$F$201,'Trial Rows'!$B$2:$B$201,'Trial Rows'!B35,'Trial Rows'!$C$2:$C$201,'Trial Rows'!C35,'Trial Rows'!$F$2:$F$201,'Trial Rows'!F35,'Trial Rows'!$Y$2:$Y$201,'Trial Rows'!Y35))</x:f>
      </x:c>
      <x:c r="F35" s="2" t="str">
        <x:f>IF(A35="","",SUMIFS(Calculations!$G$2:$G$201,'Trial Rows'!$B$2:$B$201,'Trial Rows'!B35,'Trial Rows'!$C$2:$C$201,'Trial Rows'!C35,'Trial Rows'!$F$2:$F$201,'Trial Rows'!F35,'Trial Rows'!$Y$2:$Y$201,'Trial Rows'!Y35))</x:f>
      </x:c>
      <x:c r="G35" s="7" t="str">
        <x:f>IF(OR(A35="",E35=0),"",F35/E35)</x:f>
      </x:c>
      <x:c r="H35" s="7" t="str">
        <x:f>IF(OR(A35="",SUMIFS(Calculations!$H$2:$H$201,'Trial Rows'!$B$2:$B$201,'Trial Rows'!B35,'Trial Rows'!$C$2:$C$201,'Trial Rows'!C35,'Trial Rows'!$F$2:$F$201,'Trial Rows'!F35,'Trial Rows'!$Y$2:$Y$201,'Trial Rows'!Y35)=0),"",SUMIFS(Calculations!$I$2:$I$201,'Trial Rows'!$B$2:$B$201,'Trial Rows'!B35,'Trial Rows'!$C$2:$C$201,'Trial Rows'!C35,'Trial Rows'!$F$2:$F$201,'Trial Rows'!F35,'Trial Rows'!$Y$2:$Y$201,'Trial Rows'!Y35)/SUMIFS(Calculations!$H$2:$H$201,'Trial Rows'!$B$2:$B$201,'Trial Rows'!B35,'Trial Rows'!$C$2:$C$201,'Trial Rows'!C35,'Trial Rows'!$F$2:$F$201,'Trial Rows'!F35,'Trial Rows'!$Y$2:$Y$201,'Trial Rows'!Y35))</x:f>
      </x:c>
      <x:c r="I35" s="2" t="str">
        <x:f>IF(AND(A35&lt;&gt;"",COUNTIFS('Trial Rows'!$B$2:$B$201,'Trial Rows'!B35,'Trial Rows'!$C$2:$C$201,'Trial Rows'!C35,'Trial Rows'!$F$2:$F$201,'Trial Rows'!F35,'Trial Rows'!$Y$2:$Y$201,'Trial Rows'!Y35,'Trial Rows'!$G$2:$G$201,"A",Calculations!$R$2:$R$201,"&gt;=0",Calculations!$R$2:$R$201,"&lt;&gt;")=1),SUMIFS(Calculations!$R$2:$R$201,'Trial Rows'!$B$2:$B$201,'Trial Rows'!B35,'Trial Rows'!$C$2:$C$201,'Trial Rows'!C35,'Trial Rows'!$F$2:$F$201,'Trial Rows'!F35,'Trial Rows'!$Y$2:$Y$201,'Trial Rows'!Y35,'Trial Rows'!$G$2:$G$201,"A"),"")</x:f>
      </x:c>
      <x:c r="J35" s="2" t="str">
        <x:f>IF(AND(A35&lt;&gt;"",COUNTIFS('Trial Rows'!$B$2:$B$201,'Trial Rows'!B35,'Trial Rows'!$C$2:$C$201,'Trial Rows'!C35,'Trial Rows'!$F$2:$F$201,'Trial Rows'!F35,'Trial Rows'!$Y$2:$Y$201,'Trial Rows'!Y35,'Trial Rows'!$G$2:$G$201,"B",Calculations!$R$2:$R$201,"&gt;=0",Calculations!$R$2:$R$201,"&lt;&gt;")=1),SUMIFS(Calculations!$R$2:$R$201,'Trial Rows'!$B$2:$B$201,'Trial Rows'!B35,'Trial Rows'!$C$2:$C$201,'Trial Rows'!C35,'Trial Rows'!$F$2:$F$201,'Trial Rows'!F35,'Trial Rows'!$Y$2:$Y$201,'Trial Rows'!Y35,'Trial Rows'!$G$2:$G$201,"B"),"")</x:f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 t="str">
        <x:f>IF(AND(Calculations!B36=1,'Trial Rows'!G36="B",'Trial Rows'!I36=1,Calculations!D36=1),'Trial Rows'!C36,"")</x:f>
      </x:c>
      <x:c r="B36" s="2" t="str">
        <x:f>IF(A36="","",'Trial Rows'!B36)</x:f>
      </x:c>
      <x:c r="C36" s="2" t="str">
        <x:f>IF(A36="","",'Trial Rows'!F36)</x:f>
      </x:c>
      <x:c r="D36" s="2" t="str">
        <x:f>IF(A36="","",'Trial Rows'!H36)</x:f>
      </x:c>
      <x:c r="E36" s="2" t="str">
        <x:f>IF(A36="","",SUMIFS(Calculations!$F$2:$F$201,'Trial Rows'!$B$2:$B$201,'Trial Rows'!B36,'Trial Rows'!$C$2:$C$201,'Trial Rows'!C36,'Trial Rows'!$F$2:$F$201,'Trial Rows'!F36,'Trial Rows'!$Y$2:$Y$201,'Trial Rows'!Y36))</x:f>
      </x:c>
      <x:c r="F36" s="2" t="str">
        <x:f>IF(A36="","",SUMIFS(Calculations!$G$2:$G$201,'Trial Rows'!$B$2:$B$201,'Trial Rows'!B36,'Trial Rows'!$C$2:$C$201,'Trial Rows'!C36,'Trial Rows'!$F$2:$F$201,'Trial Rows'!F36,'Trial Rows'!$Y$2:$Y$201,'Trial Rows'!Y36))</x:f>
      </x:c>
      <x:c r="G36" s="7" t="str">
        <x:f>IF(OR(A36="",E36=0),"",F36/E36)</x:f>
      </x:c>
      <x:c r="H36" s="7" t="str">
        <x:f>IF(OR(A36="",SUMIFS(Calculations!$H$2:$H$201,'Trial Rows'!$B$2:$B$201,'Trial Rows'!B36,'Trial Rows'!$C$2:$C$201,'Trial Rows'!C36,'Trial Rows'!$F$2:$F$201,'Trial Rows'!F36,'Trial Rows'!$Y$2:$Y$201,'Trial Rows'!Y36)=0),"",SUMIFS(Calculations!$I$2:$I$201,'Trial Rows'!$B$2:$B$201,'Trial Rows'!B36,'Trial Rows'!$C$2:$C$201,'Trial Rows'!C36,'Trial Rows'!$F$2:$F$201,'Trial Rows'!F36,'Trial Rows'!$Y$2:$Y$201,'Trial Rows'!Y36)/SUMIFS(Calculations!$H$2:$H$201,'Trial Rows'!$B$2:$B$201,'Trial Rows'!B36,'Trial Rows'!$C$2:$C$201,'Trial Rows'!C36,'Trial Rows'!$F$2:$F$201,'Trial Rows'!F36,'Trial Rows'!$Y$2:$Y$201,'Trial Rows'!Y36))</x:f>
      </x:c>
      <x:c r="I36" s="2" t="str">
        <x:f>IF(AND(A36&lt;&gt;"",COUNTIFS('Trial Rows'!$B$2:$B$201,'Trial Rows'!B36,'Trial Rows'!$C$2:$C$201,'Trial Rows'!C36,'Trial Rows'!$F$2:$F$201,'Trial Rows'!F36,'Trial Rows'!$Y$2:$Y$201,'Trial Rows'!Y36,'Trial Rows'!$G$2:$G$201,"A",Calculations!$R$2:$R$201,"&gt;=0",Calculations!$R$2:$R$201,"&lt;&gt;")=1),SUMIFS(Calculations!$R$2:$R$201,'Trial Rows'!$B$2:$B$201,'Trial Rows'!B36,'Trial Rows'!$C$2:$C$201,'Trial Rows'!C36,'Trial Rows'!$F$2:$F$201,'Trial Rows'!F36,'Trial Rows'!$Y$2:$Y$201,'Trial Rows'!Y36,'Trial Rows'!$G$2:$G$201,"A"),"")</x:f>
      </x:c>
      <x:c r="J36" s="2" t="str">
        <x:f>IF(AND(A36&lt;&gt;"",COUNTIFS('Trial Rows'!$B$2:$B$201,'Trial Rows'!B36,'Trial Rows'!$C$2:$C$201,'Trial Rows'!C36,'Trial Rows'!$F$2:$F$201,'Trial Rows'!F36,'Trial Rows'!$Y$2:$Y$201,'Trial Rows'!Y36,'Trial Rows'!$G$2:$G$201,"B",Calculations!$R$2:$R$201,"&gt;=0",Calculations!$R$2:$R$201,"&lt;&gt;")=1),SUMIFS(Calculations!$R$2:$R$201,'Trial Rows'!$B$2:$B$201,'Trial Rows'!B36,'Trial Rows'!$C$2:$C$201,'Trial Rows'!C36,'Trial Rows'!$F$2:$F$201,'Trial Rows'!F36,'Trial Rows'!$Y$2:$Y$201,'Trial Rows'!Y36,'Trial Rows'!$G$2:$G$201,"B"),"")</x:f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 t="str">
        <x:f>IF(AND(Calculations!B37=1,'Trial Rows'!G37="B",'Trial Rows'!I37=1,Calculations!D37=1),'Trial Rows'!C37,"")</x:f>
      </x:c>
      <x:c r="B37" s="2" t="str">
        <x:f>IF(A37="","",'Trial Rows'!B37)</x:f>
      </x:c>
      <x:c r="C37" s="2" t="str">
        <x:f>IF(A37="","",'Trial Rows'!F37)</x:f>
      </x:c>
      <x:c r="D37" s="2" t="str">
        <x:f>IF(A37="","",'Trial Rows'!H37)</x:f>
      </x:c>
      <x:c r="E37" s="2" t="str">
        <x:f>IF(A37="","",SUMIFS(Calculations!$F$2:$F$201,'Trial Rows'!$B$2:$B$201,'Trial Rows'!B37,'Trial Rows'!$C$2:$C$201,'Trial Rows'!C37,'Trial Rows'!$F$2:$F$201,'Trial Rows'!F37,'Trial Rows'!$Y$2:$Y$201,'Trial Rows'!Y37))</x:f>
      </x:c>
      <x:c r="F37" s="2" t="str">
        <x:f>IF(A37="","",SUMIFS(Calculations!$G$2:$G$201,'Trial Rows'!$B$2:$B$201,'Trial Rows'!B37,'Trial Rows'!$C$2:$C$201,'Trial Rows'!C37,'Trial Rows'!$F$2:$F$201,'Trial Rows'!F37,'Trial Rows'!$Y$2:$Y$201,'Trial Rows'!Y37))</x:f>
      </x:c>
      <x:c r="G37" s="7" t="str">
        <x:f>IF(OR(A37="",E37=0),"",F37/E37)</x:f>
      </x:c>
      <x:c r="H37" s="7" t="str">
        <x:f>IF(OR(A37="",SUMIFS(Calculations!$H$2:$H$201,'Trial Rows'!$B$2:$B$201,'Trial Rows'!B37,'Trial Rows'!$C$2:$C$201,'Trial Rows'!C37,'Trial Rows'!$F$2:$F$201,'Trial Rows'!F37,'Trial Rows'!$Y$2:$Y$201,'Trial Rows'!Y37)=0),"",SUMIFS(Calculations!$I$2:$I$201,'Trial Rows'!$B$2:$B$201,'Trial Rows'!B37,'Trial Rows'!$C$2:$C$201,'Trial Rows'!C37,'Trial Rows'!$F$2:$F$201,'Trial Rows'!F37,'Trial Rows'!$Y$2:$Y$201,'Trial Rows'!Y37)/SUMIFS(Calculations!$H$2:$H$201,'Trial Rows'!$B$2:$B$201,'Trial Rows'!B37,'Trial Rows'!$C$2:$C$201,'Trial Rows'!C37,'Trial Rows'!$F$2:$F$201,'Trial Rows'!F37,'Trial Rows'!$Y$2:$Y$201,'Trial Rows'!Y37))</x:f>
      </x:c>
      <x:c r="I37" s="2" t="str">
        <x:f>IF(AND(A37&lt;&gt;"",COUNTIFS('Trial Rows'!$B$2:$B$201,'Trial Rows'!B37,'Trial Rows'!$C$2:$C$201,'Trial Rows'!C37,'Trial Rows'!$F$2:$F$201,'Trial Rows'!F37,'Trial Rows'!$Y$2:$Y$201,'Trial Rows'!Y37,'Trial Rows'!$G$2:$G$201,"A",Calculations!$R$2:$R$201,"&gt;=0",Calculations!$R$2:$R$201,"&lt;&gt;")=1),SUMIFS(Calculations!$R$2:$R$201,'Trial Rows'!$B$2:$B$201,'Trial Rows'!B37,'Trial Rows'!$C$2:$C$201,'Trial Rows'!C37,'Trial Rows'!$F$2:$F$201,'Trial Rows'!F37,'Trial Rows'!$Y$2:$Y$201,'Trial Rows'!Y37,'Trial Rows'!$G$2:$G$201,"A"),"")</x:f>
      </x:c>
      <x:c r="J37" s="2" t="str">
        <x:f>IF(AND(A37&lt;&gt;"",COUNTIFS('Trial Rows'!$B$2:$B$201,'Trial Rows'!B37,'Trial Rows'!$C$2:$C$201,'Trial Rows'!C37,'Trial Rows'!$F$2:$F$201,'Trial Rows'!F37,'Trial Rows'!$Y$2:$Y$201,'Trial Rows'!Y37,'Trial Rows'!$G$2:$G$201,"B",Calculations!$R$2:$R$201,"&gt;=0",Calculations!$R$2:$R$201,"&lt;&gt;")=1),SUMIFS(Calculations!$R$2:$R$201,'Trial Rows'!$B$2:$B$201,'Trial Rows'!B37,'Trial Rows'!$C$2:$C$201,'Trial Rows'!C37,'Trial Rows'!$F$2:$F$201,'Trial Rows'!F37,'Trial Rows'!$Y$2:$Y$201,'Trial Rows'!Y37,'Trial Rows'!$G$2:$G$201,"B"),"")</x:f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 t="str">
        <x:f>IF(AND(Calculations!B38=1,'Trial Rows'!G38="B",'Trial Rows'!I38=1,Calculations!D38=1),'Trial Rows'!C38,"")</x:f>
      </x:c>
      <x:c r="B38" s="2" t="str">
        <x:f>IF(A38="","",'Trial Rows'!B38)</x:f>
      </x:c>
      <x:c r="C38" s="2" t="str">
        <x:f>IF(A38="","",'Trial Rows'!F38)</x:f>
      </x:c>
      <x:c r="D38" s="2" t="str">
        <x:f>IF(A38="","",'Trial Rows'!H38)</x:f>
      </x:c>
      <x:c r="E38" s="2" t="str">
        <x:f>IF(A38="","",SUMIFS(Calculations!$F$2:$F$201,'Trial Rows'!$B$2:$B$201,'Trial Rows'!B38,'Trial Rows'!$C$2:$C$201,'Trial Rows'!C38,'Trial Rows'!$F$2:$F$201,'Trial Rows'!F38,'Trial Rows'!$Y$2:$Y$201,'Trial Rows'!Y38))</x:f>
      </x:c>
      <x:c r="F38" s="2" t="str">
        <x:f>IF(A38="","",SUMIFS(Calculations!$G$2:$G$201,'Trial Rows'!$B$2:$B$201,'Trial Rows'!B38,'Trial Rows'!$C$2:$C$201,'Trial Rows'!C38,'Trial Rows'!$F$2:$F$201,'Trial Rows'!F38,'Trial Rows'!$Y$2:$Y$201,'Trial Rows'!Y38))</x:f>
      </x:c>
      <x:c r="G38" s="7" t="str">
        <x:f>IF(OR(A38="",E38=0),"",F38/E38)</x:f>
      </x:c>
      <x:c r="H38" s="7" t="str">
        <x:f>IF(OR(A38="",SUMIFS(Calculations!$H$2:$H$201,'Trial Rows'!$B$2:$B$201,'Trial Rows'!B38,'Trial Rows'!$C$2:$C$201,'Trial Rows'!C38,'Trial Rows'!$F$2:$F$201,'Trial Rows'!F38,'Trial Rows'!$Y$2:$Y$201,'Trial Rows'!Y38)=0),"",SUMIFS(Calculations!$I$2:$I$201,'Trial Rows'!$B$2:$B$201,'Trial Rows'!B38,'Trial Rows'!$C$2:$C$201,'Trial Rows'!C38,'Trial Rows'!$F$2:$F$201,'Trial Rows'!F38,'Trial Rows'!$Y$2:$Y$201,'Trial Rows'!Y38)/SUMIFS(Calculations!$H$2:$H$201,'Trial Rows'!$B$2:$B$201,'Trial Rows'!B38,'Trial Rows'!$C$2:$C$201,'Trial Rows'!C38,'Trial Rows'!$F$2:$F$201,'Trial Rows'!F38,'Trial Rows'!$Y$2:$Y$201,'Trial Rows'!Y38))</x:f>
      </x:c>
      <x:c r="I38" s="2" t="str">
        <x:f>IF(AND(A38&lt;&gt;"",COUNTIFS('Trial Rows'!$B$2:$B$201,'Trial Rows'!B38,'Trial Rows'!$C$2:$C$201,'Trial Rows'!C38,'Trial Rows'!$F$2:$F$201,'Trial Rows'!F38,'Trial Rows'!$Y$2:$Y$201,'Trial Rows'!Y38,'Trial Rows'!$G$2:$G$201,"A",Calculations!$R$2:$R$201,"&gt;=0",Calculations!$R$2:$R$201,"&lt;&gt;")=1),SUMIFS(Calculations!$R$2:$R$201,'Trial Rows'!$B$2:$B$201,'Trial Rows'!B38,'Trial Rows'!$C$2:$C$201,'Trial Rows'!C38,'Trial Rows'!$F$2:$F$201,'Trial Rows'!F38,'Trial Rows'!$Y$2:$Y$201,'Trial Rows'!Y38,'Trial Rows'!$G$2:$G$201,"A"),"")</x:f>
      </x:c>
      <x:c r="J38" s="2" t="str">
        <x:f>IF(AND(A38&lt;&gt;"",COUNTIFS('Trial Rows'!$B$2:$B$201,'Trial Rows'!B38,'Trial Rows'!$C$2:$C$201,'Trial Rows'!C38,'Trial Rows'!$F$2:$F$201,'Trial Rows'!F38,'Trial Rows'!$Y$2:$Y$201,'Trial Rows'!Y38,'Trial Rows'!$G$2:$G$201,"B",Calculations!$R$2:$R$201,"&gt;=0",Calculations!$R$2:$R$201,"&lt;&gt;")=1),SUMIFS(Calculations!$R$2:$R$201,'Trial Rows'!$B$2:$B$201,'Trial Rows'!B38,'Trial Rows'!$C$2:$C$201,'Trial Rows'!C38,'Trial Rows'!$F$2:$F$201,'Trial Rows'!F38,'Trial Rows'!$Y$2:$Y$201,'Trial Rows'!Y38,'Trial Rows'!$G$2:$G$201,"B"),"")</x:f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 t="str">
        <x:f>IF(AND(Calculations!B39=1,'Trial Rows'!G39="B",'Trial Rows'!I39=1,Calculations!D39=1),'Trial Rows'!C39,"")</x:f>
      </x:c>
      <x:c r="B39" s="2" t="str">
        <x:f>IF(A39="","",'Trial Rows'!B39)</x:f>
      </x:c>
      <x:c r="C39" s="2" t="str">
        <x:f>IF(A39="","",'Trial Rows'!F39)</x:f>
      </x:c>
      <x:c r="D39" s="2" t="str">
        <x:f>IF(A39="","",'Trial Rows'!H39)</x:f>
      </x:c>
      <x:c r="E39" s="2" t="str">
        <x:f>IF(A39="","",SUMIFS(Calculations!$F$2:$F$201,'Trial Rows'!$B$2:$B$201,'Trial Rows'!B39,'Trial Rows'!$C$2:$C$201,'Trial Rows'!C39,'Trial Rows'!$F$2:$F$201,'Trial Rows'!F39,'Trial Rows'!$Y$2:$Y$201,'Trial Rows'!Y39))</x:f>
      </x:c>
      <x:c r="F39" s="2" t="str">
        <x:f>IF(A39="","",SUMIFS(Calculations!$G$2:$G$201,'Trial Rows'!$B$2:$B$201,'Trial Rows'!B39,'Trial Rows'!$C$2:$C$201,'Trial Rows'!C39,'Trial Rows'!$F$2:$F$201,'Trial Rows'!F39,'Trial Rows'!$Y$2:$Y$201,'Trial Rows'!Y39))</x:f>
      </x:c>
      <x:c r="G39" s="7" t="str">
        <x:f>IF(OR(A39="",E39=0),"",F39/E39)</x:f>
      </x:c>
      <x:c r="H39" s="7" t="str">
        <x:f>IF(OR(A39="",SUMIFS(Calculations!$H$2:$H$201,'Trial Rows'!$B$2:$B$201,'Trial Rows'!B39,'Trial Rows'!$C$2:$C$201,'Trial Rows'!C39,'Trial Rows'!$F$2:$F$201,'Trial Rows'!F39,'Trial Rows'!$Y$2:$Y$201,'Trial Rows'!Y39)=0),"",SUMIFS(Calculations!$I$2:$I$201,'Trial Rows'!$B$2:$B$201,'Trial Rows'!B39,'Trial Rows'!$C$2:$C$201,'Trial Rows'!C39,'Trial Rows'!$F$2:$F$201,'Trial Rows'!F39,'Trial Rows'!$Y$2:$Y$201,'Trial Rows'!Y39)/SUMIFS(Calculations!$H$2:$H$201,'Trial Rows'!$B$2:$B$201,'Trial Rows'!B39,'Trial Rows'!$C$2:$C$201,'Trial Rows'!C39,'Trial Rows'!$F$2:$F$201,'Trial Rows'!F39,'Trial Rows'!$Y$2:$Y$201,'Trial Rows'!Y39))</x:f>
      </x:c>
      <x:c r="I39" s="2" t="str">
        <x:f>IF(AND(A39&lt;&gt;"",COUNTIFS('Trial Rows'!$B$2:$B$201,'Trial Rows'!B39,'Trial Rows'!$C$2:$C$201,'Trial Rows'!C39,'Trial Rows'!$F$2:$F$201,'Trial Rows'!F39,'Trial Rows'!$Y$2:$Y$201,'Trial Rows'!Y39,'Trial Rows'!$G$2:$G$201,"A",Calculations!$R$2:$R$201,"&gt;=0",Calculations!$R$2:$R$201,"&lt;&gt;")=1),SUMIFS(Calculations!$R$2:$R$201,'Trial Rows'!$B$2:$B$201,'Trial Rows'!B39,'Trial Rows'!$C$2:$C$201,'Trial Rows'!C39,'Trial Rows'!$F$2:$F$201,'Trial Rows'!F39,'Trial Rows'!$Y$2:$Y$201,'Trial Rows'!Y39,'Trial Rows'!$G$2:$G$201,"A"),"")</x:f>
      </x:c>
      <x:c r="J39" s="2" t="str">
        <x:f>IF(AND(A39&lt;&gt;"",COUNTIFS('Trial Rows'!$B$2:$B$201,'Trial Rows'!B39,'Trial Rows'!$C$2:$C$201,'Trial Rows'!C39,'Trial Rows'!$F$2:$F$201,'Trial Rows'!F39,'Trial Rows'!$Y$2:$Y$201,'Trial Rows'!Y39,'Trial Rows'!$G$2:$G$201,"B",Calculations!$R$2:$R$201,"&gt;=0",Calculations!$R$2:$R$201,"&lt;&gt;")=1),SUMIFS(Calculations!$R$2:$R$201,'Trial Rows'!$B$2:$B$201,'Trial Rows'!B39,'Trial Rows'!$C$2:$C$201,'Trial Rows'!C39,'Trial Rows'!$F$2:$F$201,'Trial Rows'!F39,'Trial Rows'!$Y$2:$Y$201,'Trial Rows'!Y39,'Trial Rows'!$G$2:$G$201,"B"),"")</x:f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 t="str">
        <x:f>IF(AND(Calculations!B40=1,'Trial Rows'!G40="B",'Trial Rows'!I40=1,Calculations!D40=1),'Trial Rows'!C40,"")</x:f>
      </x:c>
      <x:c r="B40" s="2" t="str">
        <x:f>IF(A40="","",'Trial Rows'!B40)</x:f>
      </x:c>
      <x:c r="C40" s="2" t="str">
        <x:f>IF(A40="","",'Trial Rows'!F40)</x:f>
      </x:c>
      <x:c r="D40" s="2" t="str">
        <x:f>IF(A40="","",'Trial Rows'!H40)</x:f>
      </x:c>
      <x:c r="E40" s="2" t="str">
        <x:f>IF(A40="","",SUMIFS(Calculations!$F$2:$F$201,'Trial Rows'!$B$2:$B$201,'Trial Rows'!B40,'Trial Rows'!$C$2:$C$201,'Trial Rows'!C40,'Trial Rows'!$F$2:$F$201,'Trial Rows'!F40,'Trial Rows'!$Y$2:$Y$201,'Trial Rows'!Y40))</x:f>
      </x:c>
      <x:c r="F40" s="2" t="str">
        <x:f>IF(A40="","",SUMIFS(Calculations!$G$2:$G$201,'Trial Rows'!$B$2:$B$201,'Trial Rows'!B40,'Trial Rows'!$C$2:$C$201,'Trial Rows'!C40,'Trial Rows'!$F$2:$F$201,'Trial Rows'!F40,'Trial Rows'!$Y$2:$Y$201,'Trial Rows'!Y40))</x:f>
      </x:c>
      <x:c r="G40" s="7" t="str">
        <x:f>IF(OR(A40="",E40=0),"",F40/E40)</x:f>
      </x:c>
      <x:c r="H40" s="7" t="str">
        <x:f>IF(OR(A40="",SUMIFS(Calculations!$H$2:$H$201,'Trial Rows'!$B$2:$B$201,'Trial Rows'!B40,'Trial Rows'!$C$2:$C$201,'Trial Rows'!C40,'Trial Rows'!$F$2:$F$201,'Trial Rows'!F40,'Trial Rows'!$Y$2:$Y$201,'Trial Rows'!Y40)=0),"",SUMIFS(Calculations!$I$2:$I$201,'Trial Rows'!$B$2:$B$201,'Trial Rows'!B40,'Trial Rows'!$C$2:$C$201,'Trial Rows'!C40,'Trial Rows'!$F$2:$F$201,'Trial Rows'!F40,'Trial Rows'!$Y$2:$Y$201,'Trial Rows'!Y40)/SUMIFS(Calculations!$H$2:$H$201,'Trial Rows'!$B$2:$B$201,'Trial Rows'!B40,'Trial Rows'!$C$2:$C$201,'Trial Rows'!C40,'Trial Rows'!$F$2:$F$201,'Trial Rows'!F40,'Trial Rows'!$Y$2:$Y$201,'Trial Rows'!Y40))</x:f>
      </x:c>
      <x:c r="I40" s="2" t="str">
        <x:f>IF(AND(A40&lt;&gt;"",COUNTIFS('Trial Rows'!$B$2:$B$201,'Trial Rows'!B40,'Trial Rows'!$C$2:$C$201,'Trial Rows'!C40,'Trial Rows'!$F$2:$F$201,'Trial Rows'!F40,'Trial Rows'!$Y$2:$Y$201,'Trial Rows'!Y40,'Trial Rows'!$G$2:$G$201,"A",Calculations!$R$2:$R$201,"&gt;=0",Calculations!$R$2:$R$201,"&lt;&gt;")=1),SUMIFS(Calculations!$R$2:$R$201,'Trial Rows'!$B$2:$B$201,'Trial Rows'!B40,'Trial Rows'!$C$2:$C$201,'Trial Rows'!C40,'Trial Rows'!$F$2:$F$201,'Trial Rows'!F40,'Trial Rows'!$Y$2:$Y$201,'Trial Rows'!Y40,'Trial Rows'!$G$2:$G$201,"A"),"")</x:f>
      </x:c>
      <x:c r="J40" s="2" t="str">
        <x:f>IF(AND(A40&lt;&gt;"",COUNTIFS('Trial Rows'!$B$2:$B$201,'Trial Rows'!B40,'Trial Rows'!$C$2:$C$201,'Trial Rows'!C40,'Trial Rows'!$F$2:$F$201,'Trial Rows'!F40,'Trial Rows'!$Y$2:$Y$201,'Trial Rows'!Y40,'Trial Rows'!$G$2:$G$201,"B",Calculations!$R$2:$R$201,"&gt;=0",Calculations!$R$2:$R$201,"&lt;&gt;")=1),SUMIFS(Calculations!$R$2:$R$201,'Trial Rows'!$B$2:$B$201,'Trial Rows'!B40,'Trial Rows'!$C$2:$C$201,'Trial Rows'!C40,'Trial Rows'!$F$2:$F$201,'Trial Rows'!F40,'Trial Rows'!$Y$2:$Y$201,'Trial Rows'!Y40,'Trial Rows'!$G$2:$G$201,"B"),"")</x:f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 t="str">
        <x:f>IF(AND(Calculations!B41=1,'Trial Rows'!G41="B",'Trial Rows'!I41=1,Calculations!D41=1),'Trial Rows'!C41,"")</x:f>
      </x:c>
      <x:c r="B41" s="2" t="str">
        <x:f>IF(A41="","",'Trial Rows'!B41)</x:f>
      </x:c>
      <x:c r="C41" s="2" t="str">
        <x:f>IF(A41="","",'Trial Rows'!F41)</x:f>
      </x:c>
      <x:c r="D41" s="2" t="str">
        <x:f>IF(A41="","",'Trial Rows'!H41)</x:f>
      </x:c>
      <x:c r="E41" s="2" t="str">
        <x:f>IF(A41="","",SUMIFS(Calculations!$F$2:$F$201,'Trial Rows'!$B$2:$B$201,'Trial Rows'!B41,'Trial Rows'!$C$2:$C$201,'Trial Rows'!C41,'Trial Rows'!$F$2:$F$201,'Trial Rows'!F41,'Trial Rows'!$Y$2:$Y$201,'Trial Rows'!Y41))</x:f>
      </x:c>
      <x:c r="F41" s="2" t="str">
        <x:f>IF(A41="","",SUMIFS(Calculations!$G$2:$G$201,'Trial Rows'!$B$2:$B$201,'Trial Rows'!B41,'Trial Rows'!$C$2:$C$201,'Trial Rows'!C41,'Trial Rows'!$F$2:$F$201,'Trial Rows'!F41,'Trial Rows'!$Y$2:$Y$201,'Trial Rows'!Y41))</x:f>
      </x:c>
      <x:c r="G41" s="7" t="str">
        <x:f>IF(OR(A41="",E41=0),"",F41/E41)</x:f>
      </x:c>
      <x:c r="H41" s="7" t="str">
        <x:f>IF(OR(A41="",SUMIFS(Calculations!$H$2:$H$201,'Trial Rows'!$B$2:$B$201,'Trial Rows'!B41,'Trial Rows'!$C$2:$C$201,'Trial Rows'!C41,'Trial Rows'!$F$2:$F$201,'Trial Rows'!F41,'Trial Rows'!$Y$2:$Y$201,'Trial Rows'!Y41)=0),"",SUMIFS(Calculations!$I$2:$I$201,'Trial Rows'!$B$2:$B$201,'Trial Rows'!B41,'Trial Rows'!$C$2:$C$201,'Trial Rows'!C41,'Trial Rows'!$F$2:$F$201,'Trial Rows'!F41,'Trial Rows'!$Y$2:$Y$201,'Trial Rows'!Y41)/SUMIFS(Calculations!$H$2:$H$201,'Trial Rows'!$B$2:$B$201,'Trial Rows'!B41,'Trial Rows'!$C$2:$C$201,'Trial Rows'!C41,'Trial Rows'!$F$2:$F$201,'Trial Rows'!F41,'Trial Rows'!$Y$2:$Y$201,'Trial Rows'!Y41))</x:f>
      </x:c>
      <x:c r="I41" s="2" t="str">
        <x:f>IF(AND(A41&lt;&gt;"",COUNTIFS('Trial Rows'!$B$2:$B$201,'Trial Rows'!B41,'Trial Rows'!$C$2:$C$201,'Trial Rows'!C41,'Trial Rows'!$F$2:$F$201,'Trial Rows'!F41,'Trial Rows'!$Y$2:$Y$201,'Trial Rows'!Y41,'Trial Rows'!$G$2:$G$201,"A",Calculations!$R$2:$R$201,"&gt;=0",Calculations!$R$2:$R$201,"&lt;&gt;")=1),SUMIFS(Calculations!$R$2:$R$201,'Trial Rows'!$B$2:$B$201,'Trial Rows'!B41,'Trial Rows'!$C$2:$C$201,'Trial Rows'!C41,'Trial Rows'!$F$2:$F$201,'Trial Rows'!F41,'Trial Rows'!$Y$2:$Y$201,'Trial Rows'!Y41,'Trial Rows'!$G$2:$G$201,"A"),"")</x:f>
      </x:c>
      <x:c r="J41" s="2" t="str">
        <x:f>IF(AND(A41&lt;&gt;"",COUNTIFS('Trial Rows'!$B$2:$B$201,'Trial Rows'!B41,'Trial Rows'!$C$2:$C$201,'Trial Rows'!C41,'Trial Rows'!$F$2:$F$201,'Trial Rows'!F41,'Trial Rows'!$Y$2:$Y$201,'Trial Rows'!Y41,'Trial Rows'!$G$2:$G$201,"B",Calculations!$R$2:$R$201,"&gt;=0",Calculations!$R$2:$R$201,"&lt;&gt;")=1),SUMIFS(Calculations!$R$2:$R$201,'Trial Rows'!$B$2:$B$201,'Trial Rows'!B41,'Trial Rows'!$C$2:$C$201,'Trial Rows'!C41,'Trial Rows'!$F$2:$F$201,'Trial Rows'!F41,'Trial Rows'!$Y$2:$Y$201,'Trial Rows'!Y41,'Trial Rows'!$G$2:$G$201,"B"),"")</x:f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 t="str">
        <x:f>IF(AND(Calculations!B42=1,'Trial Rows'!G42="B",'Trial Rows'!I42=1,Calculations!D42=1),'Trial Rows'!C42,"")</x:f>
      </x:c>
      <x:c r="B42" s="2" t="str">
        <x:f>IF(A42="","",'Trial Rows'!B42)</x:f>
      </x:c>
      <x:c r="C42" s="2" t="str">
        <x:f>IF(A42="","",'Trial Rows'!F42)</x:f>
      </x:c>
      <x:c r="D42" s="2" t="str">
        <x:f>IF(A42="","",'Trial Rows'!H42)</x:f>
      </x:c>
      <x:c r="E42" s="2" t="str">
        <x:f>IF(A42="","",SUMIFS(Calculations!$F$2:$F$201,'Trial Rows'!$B$2:$B$201,'Trial Rows'!B42,'Trial Rows'!$C$2:$C$201,'Trial Rows'!C42,'Trial Rows'!$F$2:$F$201,'Trial Rows'!F42,'Trial Rows'!$Y$2:$Y$201,'Trial Rows'!Y42))</x:f>
      </x:c>
      <x:c r="F42" s="2" t="str">
        <x:f>IF(A42="","",SUMIFS(Calculations!$G$2:$G$201,'Trial Rows'!$B$2:$B$201,'Trial Rows'!B42,'Trial Rows'!$C$2:$C$201,'Trial Rows'!C42,'Trial Rows'!$F$2:$F$201,'Trial Rows'!F42,'Trial Rows'!$Y$2:$Y$201,'Trial Rows'!Y42))</x:f>
      </x:c>
      <x:c r="G42" s="7" t="str">
        <x:f>IF(OR(A42="",E42=0),"",F42/E42)</x:f>
      </x:c>
      <x:c r="H42" s="7" t="str">
        <x:f>IF(OR(A42="",SUMIFS(Calculations!$H$2:$H$201,'Trial Rows'!$B$2:$B$201,'Trial Rows'!B42,'Trial Rows'!$C$2:$C$201,'Trial Rows'!C42,'Trial Rows'!$F$2:$F$201,'Trial Rows'!F42,'Trial Rows'!$Y$2:$Y$201,'Trial Rows'!Y42)=0),"",SUMIFS(Calculations!$I$2:$I$201,'Trial Rows'!$B$2:$B$201,'Trial Rows'!B42,'Trial Rows'!$C$2:$C$201,'Trial Rows'!C42,'Trial Rows'!$F$2:$F$201,'Trial Rows'!F42,'Trial Rows'!$Y$2:$Y$201,'Trial Rows'!Y42)/SUMIFS(Calculations!$H$2:$H$201,'Trial Rows'!$B$2:$B$201,'Trial Rows'!B42,'Trial Rows'!$C$2:$C$201,'Trial Rows'!C42,'Trial Rows'!$F$2:$F$201,'Trial Rows'!F42,'Trial Rows'!$Y$2:$Y$201,'Trial Rows'!Y42))</x:f>
      </x:c>
      <x:c r="I42" s="2" t="str">
        <x:f>IF(AND(A42&lt;&gt;"",COUNTIFS('Trial Rows'!$B$2:$B$201,'Trial Rows'!B42,'Trial Rows'!$C$2:$C$201,'Trial Rows'!C42,'Trial Rows'!$F$2:$F$201,'Trial Rows'!F42,'Trial Rows'!$Y$2:$Y$201,'Trial Rows'!Y42,'Trial Rows'!$G$2:$G$201,"A",Calculations!$R$2:$R$201,"&gt;=0",Calculations!$R$2:$R$201,"&lt;&gt;")=1),SUMIFS(Calculations!$R$2:$R$201,'Trial Rows'!$B$2:$B$201,'Trial Rows'!B42,'Trial Rows'!$C$2:$C$201,'Trial Rows'!C42,'Trial Rows'!$F$2:$F$201,'Trial Rows'!F42,'Trial Rows'!$Y$2:$Y$201,'Trial Rows'!Y42,'Trial Rows'!$G$2:$G$201,"A"),"")</x:f>
      </x:c>
      <x:c r="J42" s="2" t="str">
        <x:f>IF(AND(A42&lt;&gt;"",COUNTIFS('Trial Rows'!$B$2:$B$201,'Trial Rows'!B42,'Trial Rows'!$C$2:$C$201,'Trial Rows'!C42,'Trial Rows'!$F$2:$F$201,'Trial Rows'!F42,'Trial Rows'!$Y$2:$Y$201,'Trial Rows'!Y42,'Trial Rows'!$G$2:$G$201,"B",Calculations!$R$2:$R$201,"&gt;=0",Calculations!$R$2:$R$201,"&lt;&gt;")=1),SUMIFS(Calculations!$R$2:$R$201,'Trial Rows'!$B$2:$B$201,'Trial Rows'!B42,'Trial Rows'!$C$2:$C$201,'Trial Rows'!C42,'Trial Rows'!$F$2:$F$201,'Trial Rows'!F42,'Trial Rows'!$Y$2:$Y$201,'Trial Rows'!Y42,'Trial Rows'!$G$2:$G$201,"B"),"")</x:f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 t="str">
        <x:f>IF(AND(Calculations!B43=1,'Trial Rows'!G43="B",'Trial Rows'!I43=1,Calculations!D43=1),'Trial Rows'!C43,"")</x:f>
      </x:c>
      <x:c r="B43" s="2" t="str">
        <x:f>IF(A43="","",'Trial Rows'!B43)</x:f>
      </x:c>
      <x:c r="C43" s="2" t="str">
        <x:f>IF(A43="","",'Trial Rows'!F43)</x:f>
      </x:c>
      <x:c r="D43" s="2" t="str">
        <x:f>IF(A43="","",'Trial Rows'!H43)</x:f>
      </x:c>
      <x:c r="E43" s="2" t="str">
        <x:f>IF(A43="","",SUMIFS(Calculations!$F$2:$F$201,'Trial Rows'!$B$2:$B$201,'Trial Rows'!B43,'Trial Rows'!$C$2:$C$201,'Trial Rows'!C43,'Trial Rows'!$F$2:$F$201,'Trial Rows'!F43,'Trial Rows'!$Y$2:$Y$201,'Trial Rows'!Y43))</x:f>
      </x:c>
      <x:c r="F43" s="2" t="str">
        <x:f>IF(A43="","",SUMIFS(Calculations!$G$2:$G$201,'Trial Rows'!$B$2:$B$201,'Trial Rows'!B43,'Trial Rows'!$C$2:$C$201,'Trial Rows'!C43,'Trial Rows'!$F$2:$F$201,'Trial Rows'!F43,'Trial Rows'!$Y$2:$Y$201,'Trial Rows'!Y43))</x:f>
      </x:c>
      <x:c r="G43" s="7" t="str">
        <x:f>IF(OR(A43="",E43=0),"",F43/E43)</x:f>
      </x:c>
      <x:c r="H43" s="7" t="str">
        <x:f>IF(OR(A43="",SUMIFS(Calculations!$H$2:$H$201,'Trial Rows'!$B$2:$B$201,'Trial Rows'!B43,'Trial Rows'!$C$2:$C$201,'Trial Rows'!C43,'Trial Rows'!$F$2:$F$201,'Trial Rows'!F43,'Trial Rows'!$Y$2:$Y$201,'Trial Rows'!Y43)=0),"",SUMIFS(Calculations!$I$2:$I$201,'Trial Rows'!$B$2:$B$201,'Trial Rows'!B43,'Trial Rows'!$C$2:$C$201,'Trial Rows'!C43,'Trial Rows'!$F$2:$F$201,'Trial Rows'!F43,'Trial Rows'!$Y$2:$Y$201,'Trial Rows'!Y43)/SUMIFS(Calculations!$H$2:$H$201,'Trial Rows'!$B$2:$B$201,'Trial Rows'!B43,'Trial Rows'!$C$2:$C$201,'Trial Rows'!C43,'Trial Rows'!$F$2:$F$201,'Trial Rows'!F43,'Trial Rows'!$Y$2:$Y$201,'Trial Rows'!Y43))</x:f>
      </x:c>
      <x:c r="I43" s="2" t="str">
        <x:f>IF(AND(A43&lt;&gt;"",COUNTIFS('Trial Rows'!$B$2:$B$201,'Trial Rows'!B43,'Trial Rows'!$C$2:$C$201,'Trial Rows'!C43,'Trial Rows'!$F$2:$F$201,'Trial Rows'!F43,'Trial Rows'!$Y$2:$Y$201,'Trial Rows'!Y43,'Trial Rows'!$G$2:$G$201,"A",Calculations!$R$2:$R$201,"&gt;=0",Calculations!$R$2:$R$201,"&lt;&gt;")=1),SUMIFS(Calculations!$R$2:$R$201,'Trial Rows'!$B$2:$B$201,'Trial Rows'!B43,'Trial Rows'!$C$2:$C$201,'Trial Rows'!C43,'Trial Rows'!$F$2:$F$201,'Trial Rows'!F43,'Trial Rows'!$Y$2:$Y$201,'Trial Rows'!Y43,'Trial Rows'!$G$2:$G$201,"A"),"")</x:f>
      </x:c>
      <x:c r="J43" s="2" t="str">
        <x:f>IF(AND(A43&lt;&gt;"",COUNTIFS('Trial Rows'!$B$2:$B$201,'Trial Rows'!B43,'Trial Rows'!$C$2:$C$201,'Trial Rows'!C43,'Trial Rows'!$F$2:$F$201,'Trial Rows'!F43,'Trial Rows'!$Y$2:$Y$201,'Trial Rows'!Y43,'Trial Rows'!$G$2:$G$201,"B",Calculations!$R$2:$R$201,"&gt;=0",Calculations!$R$2:$R$201,"&lt;&gt;")=1),SUMIFS(Calculations!$R$2:$R$201,'Trial Rows'!$B$2:$B$201,'Trial Rows'!B43,'Trial Rows'!$C$2:$C$201,'Trial Rows'!C43,'Trial Rows'!$F$2:$F$201,'Trial Rows'!F43,'Trial Rows'!$Y$2:$Y$201,'Trial Rows'!Y43,'Trial Rows'!$G$2:$G$201,"B"),"")</x:f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 t="str">
        <x:f>IF(AND(Calculations!B44=1,'Trial Rows'!G44="B",'Trial Rows'!I44=1,Calculations!D44=1),'Trial Rows'!C44,"")</x:f>
      </x:c>
      <x:c r="B44" s="2" t="str">
        <x:f>IF(A44="","",'Trial Rows'!B44)</x:f>
      </x:c>
      <x:c r="C44" s="2" t="str">
        <x:f>IF(A44="","",'Trial Rows'!F44)</x:f>
      </x:c>
      <x:c r="D44" s="2" t="str">
        <x:f>IF(A44="","",'Trial Rows'!H44)</x:f>
      </x:c>
      <x:c r="E44" s="2" t="str">
        <x:f>IF(A44="","",SUMIFS(Calculations!$F$2:$F$201,'Trial Rows'!$B$2:$B$201,'Trial Rows'!B44,'Trial Rows'!$C$2:$C$201,'Trial Rows'!C44,'Trial Rows'!$F$2:$F$201,'Trial Rows'!F44,'Trial Rows'!$Y$2:$Y$201,'Trial Rows'!Y44))</x:f>
      </x:c>
      <x:c r="F44" s="2" t="str">
        <x:f>IF(A44="","",SUMIFS(Calculations!$G$2:$G$201,'Trial Rows'!$B$2:$B$201,'Trial Rows'!B44,'Trial Rows'!$C$2:$C$201,'Trial Rows'!C44,'Trial Rows'!$F$2:$F$201,'Trial Rows'!F44,'Trial Rows'!$Y$2:$Y$201,'Trial Rows'!Y44))</x:f>
      </x:c>
      <x:c r="G44" s="7" t="str">
        <x:f>IF(OR(A44="",E44=0),"",F44/E44)</x:f>
      </x:c>
      <x:c r="H44" s="7" t="str">
        <x:f>IF(OR(A44="",SUMIFS(Calculations!$H$2:$H$201,'Trial Rows'!$B$2:$B$201,'Trial Rows'!B44,'Trial Rows'!$C$2:$C$201,'Trial Rows'!C44,'Trial Rows'!$F$2:$F$201,'Trial Rows'!F44,'Trial Rows'!$Y$2:$Y$201,'Trial Rows'!Y44)=0),"",SUMIFS(Calculations!$I$2:$I$201,'Trial Rows'!$B$2:$B$201,'Trial Rows'!B44,'Trial Rows'!$C$2:$C$201,'Trial Rows'!C44,'Trial Rows'!$F$2:$F$201,'Trial Rows'!F44,'Trial Rows'!$Y$2:$Y$201,'Trial Rows'!Y44)/SUMIFS(Calculations!$H$2:$H$201,'Trial Rows'!$B$2:$B$201,'Trial Rows'!B44,'Trial Rows'!$C$2:$C$201,'Trial Rows'!C44,'Trial Rows'!$F$2:$F$201,'Trial Rows'!F44,'Trial Rows'!$Y$2:$Y$201,'Trial Rows'!Y44))</x:f>
      </x:c>
      <x:c r="I44" s="2" t="str">
        <x:f>IF(AND(A44&lt;&gt;"",COUNTIFS('Trial Rows'!$B$2:$B$201,'Trial Rows'!B44,'Trial Rows'!$C$2:$C$201,'Trial Rows'!C44,'Trial Rows'!$F$2:$F$201,'Trial Rows'!F44,'Trial Rows'!$Y$2:$Y$201,'Trial Rows'!Y44,'Trial Rows'!$G$2:$G$201,"A",Calculations!$R$2:$R$201,"&gt;=0",Calculations!$R$2:$R$201,"&lt;&gt;")=1),SUMIFS(Calculations!$R$2:$R$201,'Trial Rows'!$B$2:$B$201,'Trial Rows'!B44,'Trial Rows'!$C$2:$C$201,'Trial Rows'!C44,'Trial Rows'!$F$2:$F$201,'Trial Rows'!F44,'Trial Rows'!$Y$2:$Y$201,'Trial Rows'!Y44,'Trial Rows'!$G$2:$G$201,"A"),"")</x:f>
      </x:c>
      <x:c r="J44" s="2" t="str">
        <x:f>IF(AND(A44&lt;&gt;"",COUNTIFS('Trial Rows'!$B$2:$B$201,'Trial Rows'!B44,'Trial Rows'!$C$2:$C$201,'Trial Rows'!C44,'Trial Rows'!$F$2:$F$201,'Trial Rows'!F44,'Trial Rows'!$Y$2:$Y$201,'Trial Rows'!Y44,'Trial Rows'!$G$2:$G$201,"B",Calculations!$R$2:$R$201,"&gt;=0",Calculations!$R$2:$R$201,"&lt;&gt;")=1),SUMIFS(Calculations!$R$2:$R$201,'Trial Rows'!$B$2:$B$201,'Trial Rows'!B44,'Trial Rows'!$C$2:$C$201,'Trial Rows'!C44,'Trial Rows'!$F$2:$F$201,'Trial Rows'!F44,'Trial Rows'!$Y$2:$Y$201,'Trial Rows'!Y44,'Trial Rows'!$G$2:$G$201,"B"),"")</x:f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 t="str">
        <x:f>IF(AND(Calculations!B45=1,'Trial Rows'!G45="B",'Trial Rows'!I45=1,Calculations!D45=1),'Trial Rows'!C45,"")</x:f>
      </x:c>
      <x:c r="B45" s="2" t="str">
        <x:f>IF(A45="","",'Trial Rows'!B45)</x:f>
      </x:c>
      <x:c r="C45" s="2" t="str">
        <x:f>IF(A45="","",'Trial Rows'!F45)</x:f>
      </x:c>
      <x:c r="D45" s="2" t="str">
        <x:f>IF(A45="","",'Trial Rows'!H45)</x:f>
      </x:c>
      <x:c r="E45" s="2" t="str">
        <x:f>IF(A45="","",SUMIFS(Calculations!$F$2:$F$201,'Trial Rows'!$B$2:$B$201,'Trial Rows'!B45,'Trial Rows'!$C$2:$C$201,'Trial Rows'!C45,'Trial Rows'!$F$2:$F$201,'Trial Rows'!F45,'Trial Rows'!$Y$2:$Y$201,'Trial Rows'!Y45))</x:f>
      </x:c>
      <x:c r="F45" s="2" t="str">
        <x:f>IF(A45="","",SUMIFS(Calculations!$G$2:$G$201,'Trial Rows'!$B$2:$B$201,'Trial Rows'!B45,'Trial Rows'!$C$2:$C$201,'Trial Rows'!C45,'Trial Rows'!$F$2:$F$201,'Trial Rows'!F45,'Trial Rows'!$Y$2:$Y$201,'Trial Rows'!Y45))</x:f>
      </x:c>
      <x:c r="G45" s="7" t="str">
        <x:f>IF(OR(A45="",E45=0),"",F45/E45)</x:f>
      </x:c>
      <x:c r="H45" s="7" t="str">
        <x:f>IF(OR(A45="",SUMIFS(Calculations!$H$2:$H$201,'Trial Rows'!$B$2:$B$201,'Trial Rows'!B45,'Trial Rows'!$C$2:$C$201,'Trial Rows'!C45,'Trial Rows'!$F$2:$F$201,'Trial Rows'!F45,'Trial Rows'!$Y$2:$Y$201,'Trial Rows'!Y45)=0),"",SUMIFS(Calculations!$I$2:$I$201,'Trial Rows'!$B$2:$B$201,'Trial Rows'!B45,'Trial Rows'!$C$2:$C$201,'Trial Rows'!C45,'Trial Rows'!$F$2:$F$201,'Trial Rows'!F45,'Trial Rows'!$Y$2:$Y$201,'Trial Rows'!Y45)/SUMIFS(Calculations!$H$2:$H$201,'Trial Rows'!$B$2:$B$201,'Trial Rows'!B45,'Trial Rows'!$C$2:$C$201,'Trial Rows'!C45,'Trial Rows'!$F$2:$F$201,'Trial Rows'!F45,'Trial Rows'!$Y$2:$Y$201,'Trial Rows'!Y45))</x:f>
      </x:c>
      <x:c r="I45" s="2" t="str">
        <x:f>IF(AND(A45&lt;&gt;"",COUNTIFS('Trial Rows'!$B$2:$B$201,'Trial Rows'!B45,'Trial Rows'!$C$2:$C$201,'Trial Rows'!C45,'Trial Rows'!$F$2:$F$201,'Trial Rows'!F45,'Trial Rows'!$Y$2:$Y$201,'Trial Rows'!Y45,'Trial Rows'!$G$2:$G$201,"A",Calculations!$R$2:$R$201,"&gt;=0",Calculations!$R$2:$R$201,"&lt;&gt;")=1),SUMIFS(Calculations!$R$2:$R$201,'Trial Rows'!$B$2:$B$201,'Trial Rows'!B45,'Trial Rows'!$C$2:$C$201,'Trial Rows'!C45,'Trial Rows'!$F$2:$F$201,'Trial Rows'!F45,'Trial Rows'!$Y$2:$Y$201,'Trial Rows'!Y45,'Trial Rows'!$G$2:$G$201,"A"),"")</x:f>
      </x:c>
      <x:c r="J45" s="2" t="str">
        <x:f>IF(AND(A45&lt;&gt;"",COUNTIFS('Trial Rows'!$B$2:$B$201,'Trial Rows'!B45,'Trial Rows'!$C$2:$C$201,'Trial Rows'!C45,'Trial Rows'!$F$2:$F$201,'Trial Rows'!F45,'Trial Rows'!$Y$2:$Y$201,'Trial Rows'!Y45,'Trial Rows'!$G$2:$G$201,"B",Calculations!$R$2:$R$201,"&gt;=0",Calculations!$R$2:$R$201,"&lt;&gt;")=1),SUMIFS(Calculations!$R$2:$R$201,'Trial Rows'!$B$2:$B$201,'Trial Rows'!B45,'Trial Rows'!$C$2:$C$201,'Trial Rows'!C45,'Trial Rows'!$F$2:$F$201,'Trial Rows'!F45,'Trial Rows'!$Y$2:$Y$201,'Trial Rows'!Y45,'Trial Rows'!$G$2:$G$201,"B"),"")</x:f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 t="str">
        <x:f>IF(AND(Calculations!B46=1,'Trial Rows'!G46="B",'Trial Rows'!I46=1,Calculations!D46=1),'Trial Rows'!C46,"")</x:f>
      </x:c>
      <x:c r="B46" s="2" t="str">
        <x:f>IF(A46="","",'Trial Rows'!B46)</x:f>
      </x:c>
      <x:c r="C46" s="2" t="str">
        <x:f>IF(A46="","",'Trial Rows'!F46)</x:f>
      </x:c>
      <x:c r="D46" s="2" t="str">
        <x:f>IF(A46="","",'Trial Rows'!H46)</x:f>
      </x:c>
      <x:c r="E46" s="2" t="str">
        <x:f>IF(A46="","",SUMIFS(Calculations!$F$2:$F$201,'Trial Rows'!$B$2:$B$201,'Trial Rows'!B46,'Trial Rows'!$C$2:$C$201,'Trial Rows'!C46,'Trial Rows'!$F$2:$F$201,'Trial Rows'!F46,'Trial Rows'!$Y$2:$Y$201,'Trial Rows'!Y46))</x:f>
      </x:c>
      <x:c r="F46" s="2" t="str">
        <x:f>IF(A46="","",SUMIFS(Calculations!$G$2:$G$201,'Trial Rows'!$B$2:$B$201,'Trial Rows'!B46,'Trial Rows'!$C$2:$C$201,'Trial Rows'!C46,'Trial Rows'!$F$2:$F$201,'Trial Rows'!F46,'Trial Rows'!$Y$2:$Y$201,'Trial Rows'!Y46))</x:f>
      </x:c>
      <x:c r="G46" s="7" t="str">
        <x:f>IF(OR(A46="",E46=0),"",F46/E46)</x:f>
      </x:c>
      <x:c r="H46" s="7" t="str">
        <x:f>IF(OR(A46="",SUMIFS(Calculations!$H$2:$H$201,'Trial Rows'!$B$2:$B$201,'Trial Rows'!B46,'Trial Rows'!$C$2:$C$201,'Trial Rows'!C46,'Trial Rows'!$F$2:$F$201,'Trial Rows'!F46,'Trial Rows'!$Y$2:$Y$201,'Trial Rows'!Y46)=0),"",SUMIFS(Calculations!$I$2:$I$201,'Trial Rows'!$B$2:$B$201,'Trial Rows'!B46,'Trial Rows'!$C$2:$C$201,'Trial Rows'!C46,'Trial Rows'!$F$2:$F$201,'Trial Rows'!F46,'Trial Rows'!$Y$2:$Y$201,'Trial Rows'!Y46)/SUMIFS(Calculations!$H$2:$H$201,'Trial Rows'!$B$2:$B$201,'Trial Rows'!B46,'Trial Rows'!$C$2:$C$201,'Trial Rows'!C46,'Trial Rows'!$F$2:$F$201,'Trial Rows'!F46,'Trial Rows'!$Y$2:$Y$201,'Trial Rows'!Y46))</x:f>
      </x:c>
      <x:c r="I46" s="2" t="str">
        <x:f>IF(AND(A46&lt;&gt;"",COUNTIFS('Trial Rows'!$B$2:$B$201,'Trial Rows'!B46,'Trial Rows'!$C$2:$C$201,'Trial Rows'!C46,'Trial Rows'!$F$2:$F$201,'Trial Rows'!F46,'Trial Rows'!$Y$2:$Y$201,'Trial Rows'!Y46,'Trial Rows'!$G$2:$G$201,"A",Calculations!$R$2:$R$201,"&gt;=0",Calculations!$R$2:$R$201,"&lt;&gt;")=1),SUMIFS(Calculations!$R$2:$R$201,'Trial Rows'!$B$2:$B$201,'Trial Rows'!B46,'Trial Rows'!$C$2:$C$201,'Trial Rows'!C46,'Trial Rows'!$F$2:$F$201,'Trial Rows'!F46,'Trial Rows'!$Y$2:$Y$201,'Trial Rows'!Y46,'Trial Rows'!$G$2:$G$201,"A"),"")</x:f>
      </x:c>
      <x:c r="J46" s="2" t="str">
        <x:f>IF(AND(A46&lt;&gt;"",COUNTIFS('Trial Rows'!$B$2:$B$201,'Trial Rows'!B46,'Trial Rows'!$C$2:$C$201,'Trial Rows'!C46,'Trial Rows'!$F$2:$F$201,'Trial Rows'!F46,'Trial Rows'!$Y$2:$Y$201,'Trial Rows'!Y46,'Trial Rows'!$G$2:$G$201,"B",Calculations!$R$2:$R$201,"&gt;=0",Calculations!$R$2:$R$201,"&lt;&gt;")=1),SUMIFS(Calculations!$R$2:$R$201,'Trial Rows'!$B$2:$B$201,'Trial Rows'!B46,'Trial Rows'!$C$2:$C$201,'Trial Rows'!C46,'Trial Rows'!$F$2:$F$201,'Trial Rows'!F46,'Trial Rows'!$Y$2:$Y$201,'Trial Rows'!Y46,'Trial Rows'!$G$2:$G$201,"B"),"")</x:f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 t="str">
        <x:f>IF(AND(Calculations!B47=1,'Trial Rows'!G47="B",'Trial Rows'!I47=1,Calculations!D47=1),'Trial Rows'!C47,"")</x:f>
      </x:c>
      <x:c r="B47" s="2" t="str">
        <x:f>IF(A47="","",'Trial Rows'!B47)</x:f>
      </x:c>
      <x:c r="C47" s="2" t="str">
        <x:f>IF(A47="","",'Trial Rows'!F47)</x:f>
      </x:c>
      <x:c r="D47" s="2" t="str">
        <x:f>IF(A47="","",'Trial Rows'!H47)</x:f>
      </x:c>
      <x:c r="E47" s="2" t="str">
        <x:f>IF(A47="","",SUMIFS(Calculations!$F$2:$F$201,'Trial Rows'!$B$2:$B$201,'Trial Rows'!B47,'Trial Rows'!$C$2:$C$201,'Trial Rows'!C47,'Trial Rows'!$F$2:$F$201,'Trial Rows'!F47,'Trial Rows'!$Y$2:$Y$201,'Trial Rows'!Y47))</x:f>
      </x:c>
      <x:c r="F47" s="2" t="str">
        <x:f>IF(A47="","",SUMIFS(Calculations!$G$2:$G$201,'Trial Rows'!$B$2:$B$201,'Trial Rows'!B47,'Trial Rows'!$C$2:$C$201,'Trial Rows'!C47,'Trial Rows'!$F$2:$F$201,'Trial Rows'!F47,'Trial Rows'!$Y$2:$Y$201,'Trial Rows'!Y47))</x:f>
      </x:c>
      <x:c r="G47" s="7" t="str">
        <x:f>IF(OR(A47="",E47=0),"",F47/E47)</x:f>
      </x:c>
      <x:c r="H47" s="7" t="str">
        <x:f>IF(OR(A47="",SUMIFS(Calculations!$H$2:$H$201,'Trial Rows'!$B$2:$B$201,'Trial Rows'!B47,'Trial Rows'!$C$2:$C$201,'Trial Rows'!C47,'Trial Rows'!$F$2:$F$201,'Trial Rows'!F47,'Trial Rows'!$Y$2:$Y$201,'Trial Rows'!Y47)=0),"",SUMIFS(Calculations!$I$2:$I$201,'Trial Rows'!$B$2:$B$201,'Trial Rows'!B47,'Trial Rows'!$C$2:$C$201,'Trial Rows'!C47,'Trial Rows'!$F$2:$F$201,'Trial Rows'!F47,'Trial Rows'!$Y$2:$Y$201,'Trial Rows'!Y47)/SUMIFS(Calculations!$H$2:$H$201,'Trial Rows'!$B$2:$B$201,'Trial Rows'!B47,'Trial Rows'!$C$2:$C$201,'Trial Rows'!C47,'Trial Rows'!$F$2:$F$201,'Trial Rows'!F47,'Trial Rows'!$Y$2:$Y$201,'Trial Rows'!Y47))</x:f>
      </x:c>
      <x:c r="I47" s="2" t="str">
        <x:f>IF(AND(A47&lt;&gt;"",COUNTIFS('Trial Rows'!$B$2:$B$201,'Trial Rows'!B47,'Trial Rows'!$C$2:$C$201,'Trial Rows'!C47,'Trial Rows'!$F$2:$F$201,'Trial Rows'!F47,'Trial Rows'!$Y$2:$Y$201,'Trial Rows'!Y47,'Trial Rows'!$G$2:$G$201,"A",Calculations!$R$2:$R$201,"&gt;=0",Calculations!$R$2:$R$201,"&lt;&gt;")=1),SUMIFS(Calculations!$R$2:$R$201,'Trial Rows'!$B$2:$B$201,'Trial Rows'!B47,'Trial Rows'!$C$2:$C$201,'Trial Rows'!C47,'Trial Rows'!$F$2:$F$201,'Trial Rows'!F47,'Trial Rows'!$Y$2:$Y$201,'Trial Rows'!Y47,'Trial Rows'!$G$2:$G$201,"A"),"")</x:f>
      </x:c>
      <x:c r="J47" s="2" t="str">
        <x:f>IF(AND(A47&lt;&gt;"",COUNTIFS('Trial Rows'!$B$2:$B$201,'Trial Rows'!B47,'Trial Rows'!$C$2:$C$201,'Trial Rows'!C47,'Trial Rows'!$F$2:$F$201,'Trial Rows'!F47,'Trial Rows'!$Y$2:$Y$201,'Trial Rows'!Y47,'Trial Rows'!$G$2:$G$201,"B",Calculations!$R$2:$R$201,"&gt;=0",Calculations!$R$2:$R$201,"&lt;&gt;")=1),SUMIFS(Calculations!$R$2:$R$201,'Trial Rows'!$B$2:$B$201,'Trial Rows'!B47,'Trial Rows'!$C$2:$C$201,'Trial Rows'!C47,'Trial Rows'!$F$2:$F$201,'Trial Rows'!F47,'Trial Rows'!$Y$2:$Y$201,'Trial Rows'!Y47,'Trial Rows'!$G$2:$G$201,"B"),"")</x:f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 t="str">
        <x:f>IF(AND(Calculations!B48=1,'Trial Rows'!G48="B",'Trial Rows'!I48=1,Calculations!D48=1),'Trial Rows'!C48,"")</x:f>
      </x:c>
      <x:c r="B48" s="2" t="str">
        <x:f>IF(A48="","",'Trial Rows'!B48)</x:f>
      </x:c>
      <x:c r="C48" s="2" t="str">
        <x:f>IF(A48="","",'Trial Rows'!F48)</x:f>
      </x:c>
      <x:c r="D48" s="2" t="str">
        <x:f>IF(A48="","",'Trial Rows'!H48)</x:f>
      </x:c>
      <x:c r="E48" s="2" t="str">
        <x:f>IF(A48="","",SUMIFS(Calculations!$F$2:$F$201,'Trial Rows'!$B$2:$B$201,'Trial Rows'!B48,'Trial Rows'!$C$2:$C$201,'Trial Rows'!C48,'Trial Rows'!$F$2:$F$201,'Trial Rows'!F48,'Trial Rows'!$Y$2:$Y$201,'Trial Rows'!Y48))</x:f>
      </x:c>
      <x:c r="F48" s="2" t="str">
        <x:f>IF(A48="","",SUMIFS(Calculations!$G$2:$G$201,'Trial Rows'!$B$2:$B$201,'Trial Rows'!B48,'Trial Rows'!$C$2:$C$201,'Trial Rows'!C48,'Trial Rows'!$F$2:$F$201,'Trial Rows'!F48,'Trial Rows'!$Y$2:$Y$201,'Trial Rows'!Y48))</x:f>
      </x:c>
      <x:c r="G48" s="7" t="str">
        <x:f>IF(OR(A48="",E48=0),"",F48/E48)</x:f>
      </x:c>
      <x:c r="H48" s="7" t="str">
        <x:f>IF(OR(A48="",SUMIFS(Calculations!$H$2:$H$201,'Trial Rows'!$B$2:$B$201,'Trial Rows'!B48,'Trial Rows'!$C$2:$C$201,'Trial Rows'!C48,'Trial Rows'!$F$2:$F$201,'Trial Rows'!F48,'Trial Rows'!$Y$2:$Y$201,'Trial Rows'!Y48)=0),"",SUMIFS(Calculations!$I$2:$I$201,'Trial Rows'!$B$2:$B$201,'Trial Rows'!B48,'Trial Rows'!$C$2:$C$201,'Trial Rows'!C48,'Trial Rows'!$F$2:$F$201,'Trial Rows'!F48,'Trial Rows'!$Y$2:$Y$201,'Trial Rows'!Y48)/SUMIFS(Calculations!$H$2:$H$201,'Trial Rows'!$B$2:$B$201,'Trial Rows'!B48,'Trial Rows'!$C$2:$C$201,'Trial Rows'!C48,'Trial Rows'!$F$2:$F$201,'Trial Rows'!F48,'Trial Rows'!$Y$2:$Y$201,'Trial Rows'!Y48))</x:f>
      </x:c>
      <x:c r="I48" s="2" t="str">
        <x:f>IF(AND(A48&lt;&gt;"",COUNTIFS('Trial Rows'!$B$2:$B$201,'Trial Rows'!B48,'Trial Rows'!$C$2:$C$201,'Trial Rows'!C48,'Trial Rows'!$F$2:$F$201,'Trial Rows'!F48,'Trial Rows'!$Y$2:$Y$201,'Trial Rows'!Y48,'Trial Rows'!$G$2:$G$201,"A",Calculations!$R$2:$R$201,"&gt;=0",Calculations!$R$2:$R$201,"&lt;&gt;")=1),SUMIFS(Calculations!$R$2:$R$201,'Trial Rows'!$B$2:$B$201,'Trial Rows'!B48,'Trial Rows'!$C$2:$C$201,'Trial Rows'!C48,'Trial Rows'!$F$2:$F$201,'Trial Rows'!F48,'Trial Rows'!$Y$2:$Y$201,'Trial Rows'!Y48,'Trial Rows'!$G$2:$G$201,"A"),"")</x:f>
      </x:c>
      <x:c r="J48" s="2" t="str">
        <x:f>IF(AND(A48&lt;&gt;"",COUNTIFS('Trial Rows'!$B$2:$B$201,'Trial Rows'!B48,'Trial Rows'!$C$2:$C$201,'Trial Rows'!C48,'Trial Rows'!$F$2:$F$201,'Trial Rows'!F48,'Trial Rows'!$Y$2:$Y$201,'Trial Rows'!Y48,'Trial Rows'!$G$2:$G$201,"B",Calculations!$R$2:$R$201,"&gt;=0",Calculations!$R$2:$R$201,"&lt;&gt;")=1),SUMIFS(Calculations!$R$2:$R$201,'Trial Rows'!$B$2:$B$201,'Trial Rows'!B48,'Trial Rows'!$C$2:$C$201,'Trial Rows'!C48,'Trial Rows'!$F$2:$F$201,'Trial Rows'!F48,'Trial Rows'!$Y$2:$Y$201,'Trial Rows'!Y48,'Trial Rows'!$G$2:$G$201,"B"),"")</x:f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 t="str">
        <x:f>IF(AND(Calculations!B49=1,'Trial Rows'!G49="B",'Trial Rows'!I49=1,Calculations!D49=1),'Trial Rows'!C49,"")</x:f>
      </x:c>
      <x:c r="B49" s="2" t="str">
        <x:f>IF(A49="","",'Trial Rows'!B49)</x:f>
      </x:c>
      <x:c r="C49" s="2" t="str">
        <x:f>IF(A49="","",'Trial Rows'!F49)</x:f>
      </x:c>
      <x:c r="D49" s="2" t="str">
        <x:f>IF(A49="","",'Trial Rows'!H49)</x:f>
      </x:c>
      <x:c r="E49" s="2" t="str">
        <x:f>IF(A49="","",SUMIFS(Calculations!$F$2:$F$201,'Trial Rows'!$B$2:$B$201,'Trial Rows'!B49,'Trial Rows'!$C$2:$C$201,'Trial Rows'!C49,'Trial Rows'!$F$2:$F$201,'Trial Rows'!F49,'Trial Rows'!$Y$2:$Y$201,'Trial Rows'!Y49))</x:f>
      </x:c>
      <x:c r="F49" s="2" t="str">
        <x:f>IF(A49="","",SUMIFS(Calculations!$G$2:$G$201,'Trial Rows'!$B$2:$B$201,'Trial Rows'!B49,'Trial Rows'!$C$2:$C$201,'Trial Rows'!C49,'Trial Rows'!$F$2:$F$201,'Trial Rows'!F49,'Trial Rows'!$Y$2:$Y$201,'Trial Rows'!Y49))</x:f>
      </x:c>
      <x:c r="G49" s="7" t="str">
        <x:f>IF(OR(A49="",E49=0),"",F49/E49)</x:f>
      </x:c>
      <x:c r="H49" s="7" t="str">
        <x:f>IF(OR(A49="",SUMIFS(Calculations!$H$2:$H$201,'Trial Rows'!$B$2:$B$201,'Trial Rows'!B49,'Trial Rows'!$C$2:$C$201,'Trial Rows'!C49,'Trial Rows'!$F$2:$F$201,'Trial Rows'!F49,'Trial Rows'!$Y$2:$Y$201,'Trial Rows'!Y49)=0),"",SUMIFS(Calculations!$I$2:$I$201,'Trial Rows'!$B$2:$B$201,'Trial Rows'!B49,'Trial Rows'!$C$2:$C$201,'Trial Rows'!C49,'Trial Rows'!$F$2:$F$201,'Trial Rows'!F49,'Trial Rows'!$Y$2:$Y$201,'Trial Rows'!Y49)/SUMIFS(Calculations!$H$2:$H$201,'Trial Rows'!$B$2:$B$201,'Trial Rows'!B49,'Trial Rows'!$C$2:$C$201,'Trial Rows'!C49,'Trial Rows'!$F$2:$F$201,'Trial Rows'!F49,'Trial Rows'!$Y$2:$Y$201,'Trial Rows'!Y49))</x:f>
      </x:c>
      <x:c r="I49" s="2" t="str">
        <x:f>IF(AND(A49&lt;&gt;"",COUNTIFS('Trial Rows'!$B$2:$B$201,'Trial Rows'!B49,'Trial Rows'!$C$2:$C$201,'Trial Rows'!C49,'Trial Rows'!$F$2:$F$201,'Trial Rows'!F49,'Trial Rows'!$Y$2:$Y$201,'Trial Rows'!Y49,'Trial Rows'!$G$2:$G$201,"A",Calculations!$R$2:$R$201,"&gt;=0",Calculations!$R$2:$R$201,"&lt;&gt;")=1),SUMIFS(Calculations!$R$2:$R$201,'Trial Rows'!$B$2:$B$201,'Trial Rows'!B49,'Trial Rows'!$C$2:$C$201,'Trial Rows'!C49,'Trial Rows'!$F$2:$F$201,'Trial Rows'!F49,'Trial Rows'!$Y$2:$Y$201,'Trial Rows'!Y49,'Trial Rows'!$G$2:$G$201,"A"),"")</x:f>
      </x:c>
      <x:c r="J49" s="2" t="str">
        <x:f>IF(AND(A49&lt;&gt;"",COUNTIFS('Trial Rows'!$B$2:$B$201,'Trial Rows'!B49,'Trial Rows'!$C$2:$C$201,'Trial Rows'!C49,'Trial Rows'!$F$2:$F$201,'Trial Rows'!F49,'Trial Rows'!$Y$2:$Y$201,'Trial Rows'!Y49,'Trial Rows'!$G$2:$G$201,"B",Calculations!$R$2:$R$201,"&gt;=0",Calculations!$R$2:$R$201,"&lt;&gt;")=1),SUMIFS(Calculations!$R$2:$R$201,'Trial Rows'!$B$2:$B$201,'Trial Rows'!B49,'Trial Rows'!$C$2:$C$201,'Trial Rows'!C49,'Trial Rows'!$F$2:$F$201,'Trial Rows'!F49,'Trial Rows'!$Y$2:$Y$201,'Trial Rows'!Y49,'Trial Rows'!$G$2:$G$201,"B"),"")</x:f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 t="str">
        <x:f>IF(AND(Calculations!B50=1,'Trial Rows'!G50="B",'Trial Rows'!I50=1,Calculations!D50=1),'Trial Rows'!C50,"")</x:f>
      </x:c>
      <x:c r="B50" s="2" t="str">
        <x:f>IF(A50="","",'Trial Rows'!B50)</x:f>
      </x:c>
      <x:c r="C50" s="2" t="str">
        <x:f>IF(A50="","",'Trial Rows'!F50)</x:f>
      </x:c>
      <x:c r="D50" s="2" t="str">
        <x:f>IF(A50="","",'Trial Rows'!H50)</x:f>
      </x:c>
      <x:c r="E50" s="2" t="str">
        <x:f>IF(A50="","",SUMIFS(Calculations!$F$2:$F$201,'Trial Rows'!$B$2:$B$201,'Trial Rows'!B50,'Trial Rows'!$C$2:$C$201,'Trial Rows'!C50,'Trial Rows'!$F$2:$F$201,'Trial Rows'!F50,'Trial Rows'!$Y$2:$Y$201,'Trial Rows'!Y50))</x:f>
      </x:c>
      <x:c r="F50" s="2" t="str">
        <x:f>IF(A50="","",SUMIFS(Calculations!$G$2:$G$201,'Trial Rows'!$B$2:$B$201,'Trial Rows'!B50,'Trial Rows'!$C$2:$C$201,'Trial Rows'!C50,'Trial Rows'!$F$2:$F$201,'Trial Rows'!F50,'Trial Rows'!$Y$2:$Y$201,'Trial Rows'!Y50))</x:f>
      </x:c>
      <x:c r="G50" s="7" t="str">
        <x:f>IF(OR(A50="",E50=0),"",F50/E50)</x:f>
      </x:c>
      <x:c r="H50" s="7" t="str">
        <x:f>IF(OR(A50="",SUMIFS(Calculations!$H$2:$H$201,'Trial Rows'!$B$2:$B$201,'Trial Rows'!B50,'Trial Rows'!$C$2:$C$201,'Trial Rows'!C50,'Trial Rows'!$F$2:$F$201,'Trial Rows'!F50,'Trial Rows'!$Y$2:$Y$201,'Trial Rows'!Y50)=0),"",SUMIFS(Calculations!$I$2:$I$201,'Trial Rows'!$B$2:$B$201,'Trial Rows'!B50,'Trial Rows'!$C$2:$C$201,'Trial Rows'!C50,'Trial Rows'!$F$2:$F$201,'Trial Rows'!F50,'Trial Rows'!$Y$2:$Y$201,'Trial Rows'!Y50)/SUMIFS(Calculations!$H$2:$H$201,'Trial Rows'!$B$2:$B$201,'Trial Rows'!B50,'Trial Rows'!$C$2:$C$201,'Trial Rows'!C50,'Trial Rows'!$F$2:$F$201,'Trial Rows'!F50,'Trial Rows'!$Y$2:$Y$201,'Trial Rows'!Y50))</x:f>
      </x:c>
      <x:c r="I50" s="2" t="str">
        <x:f>IF(AND(A50&lt;&gt;"",COUNTIFS('Trial Rows'!$B$2:$B$201,'Trial Rows'!B50,'Trial Rows'!$C$2:$C$201,'Trial Rows'!C50,'Trial Rows'!$F$2:$F$201,'Trial Rows'!F50,'Trial Rows'!$Y$2:$Y$201,'Trial Rows'!Y50,'Trial Rows'!$G$2:$G$201,"A",Calculations!$R$2:$R$201,"&gt;=0",Calculations!$R$2:$R$201,"&lt;&gt;")=1),SUMIFS(Calculations!$R$2:$R$201,'Trial Rows'!$B$2:$B$201,'Trial Rows'!B50,'Trial Rows'!$C$2:$C$201,'Trial Rows'!C50,'Trial Rows'!$F$2:$F$201,'Trial Rows'!F50,'Trial Rows'!$Y$2:$Y$201,'Trial Rows'!Y50,'Trial Rows'!$G$2:$G$201,"A"),"")</x:f>
      </x:c>
      <x:c r="J50" s="2" t="str">
        <x:f>IF(AND(A50&lt;&gt;"",COUNTIFS('Trial Rows'!$B$2:$B$201,'Trial Rows'!B50,'Trial Rows'!$C$2:$C$201,'Trial Rows'!C50,'Trial Rows'!$F$2:$F$201,'Trial Rows'!F50,'Trial Rows'!$Y$2:$Y$201,'Trial Rows'!Y50,'Trial Rows'!$G$2:$G$201,"B",Calculations!$R$2:$R$201,"&gt;=0",Calculations!$R$2:$R$201,"&lt;&gt;")=1),SUMIFS(Calculations!$R$2:$R$201,'Trial Rows'!$B$2:$B$201,'Trial Rows'!B50,'Trial Rows'!$C$2:$C$201,'Trial Rows'!C50,'Trial Rows'!$F$2:$F$201,'Trial Rows'!F50,'Trial Rows'!$Y$2:$Y$201,'Trial Rows'!Y50,'Trial Rows'!$G$2:$G$201,"B"),"")</x:f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 t="str">
        <x:f>IF(AND(Calculations!B51=1,'Trial Rows'!G51="B",'Trial Rows'!I51=1,Calculations!D51=1),'Trial Rows'!C51,"")</x:f>
      </x:c>
      <x:c r="B51" s="2" t="str">
        <x:f>IF(A51="","",'Trial Rows'!B51)</x:f>
      </x:c>
      <x:c r="C51" s="2" t="str">
        <x:f>IF(A51="","",'Trial Rows'!F51)</x:f>
      </x:c>
      <x:c r="D51" s="2" t="str">
        <x:f>IF(A51="","",'Trial Rows'!H51)</x:f>
      </x:c>
      <x:c r="E51" s="2" t="str">
        <x:f>IF(A51="","",SUMIFS(Calculations!$F$2:$F$201,'Trial Rows'!$B$2:$B$201,'Trial Rows'!B51,'Trial Rows'!$C$2:$C$201,'Trial Rows'!C51,'Trial Rows'!$F$2:$F$201,'Trial Rows'!F51,'Trial Rows'!$Y$2:$Y$201,'Trial Rows'!Y51))</x:f>
      </x:c>
      <x:c r="F51" s="2" t="str">
        <x:f>IF(A51="","",SUMIFS(Calculations!$G$2:$G$201,'Trial Rows'!$B$2:$B$201,'Trial Rows'!B51,'Trial Rows'!$C$2:$C$201,'Trial Rows'!C51,'Trial Rows'!$F$2:$F$201,'Trial Rows'!F51,'Trial Rows'!$Y$2:$Y$201,'Trial Rows'!Y51))</x:f>
      </x:c>
      <x:c r="G51" s="7" t="str">
        <x:f>IF(OR(A51="",E51=0),"",F51/E51)</x:f>
      </x:c>
      <x:c r="H51" s="7" t="str">
        <x:f>IF(OR(A51="",SUMIFS(Calculations!$H$2:$H$201,'Trial Rows'!$B$2:$B$201,'Trial Rows'!B51,'Trial Rows'!$C$2:$C$201,'Trial Rows'!C51,'Trial Rows'!$F$2:$F$201,'Trial Rows'!F51,'Trial Rows'!$Y$2:$Y$201,'Trial Rows'!Y51)=0),"",SUMIFS(Calculations!$I$2:$I$201,'Trial Rows'!$B$2:$B$201,'Trial Rows'!B51,'Trial Rows'!$C$2:$C$201,'Trial Rows'!C51,'Trial Rows'!$F$2:$F$201,'Trial Rows'!F51,'Trial Rows'!$Y$2:$Y$201,'Trial Rows'!Y51)/SUMIFS(Calculations!$H$2:$H$201,'Trial Rows'!$B$2:$B$201,'Trial Rows'!B51,'Trial Rows'!$C$2:$C$201,'Trial Rows'!C51,'Trial Rows'!$F$2:$F$201,'Trial Rows'!F51,'Trial Rows'!$Y$2:$Y$201,'Trial Rows'!Y51))</x:f>
      </x:c>
      <x:c r="I51" s="2" t="str">
        <x:f>IF(AND(A51&lt;&gt;"",COUNTIFS('Trial Rows'!$B$2:$B$201,'Trial Rows'!B51,'Trial Rows'!$C$2:$C$201,'Trial Rows'!C51,'Trial Rows'!$F$2:$F$201,'Trial Rows'!F51,'Trial Rows'!$Y$2:$Y$201,'Trial Rows'!Y51,'Trial Rows'!$G$2:$G$201,"A",Calculations!$R$2:$R$201,"&gt;=0",Calculations!$R$2:$R$201,"&lt;&gt;")=1),SUMIFS(Calculations!$R$2:$R$201,'Trial Rows'!$B$2:$B$201,'Trial Rows'!B51,'Trial Rows'!$C$2:$C$201,'Trial Rows'!C51,'Trial Rows'!$F$2:$F$201,'Trial Rows'!F51,'Trial Rows'!$Y$2:$Y$201,'Trial Rows'!Y51,'Trial Rows'!$G$2:$G$201,"A"),"")</x:f>
      </x:c>
      <x:c r="J51" s="2" t="str">
        <x:f>IF(AND(A51&lt;&gt;"",COUNTIFS('Trial Rows'!$B$2:$B$201,'Trial Rows'!B51,'Trial Rows'!$C$2:$C$201,'Trial Rows'!C51,'Trial Rows'!$F$2:$F$201,'Trial Rows'!F51,'Trial Rows'!$Y$2:$Y$201,'Trial Rows'!Y51,'Trial Rows'!$G$2:$G$201,"B",Calculations!$R$2:$R$201,"&gt;=0",Calculations!$R$2:$R$201,"&lt;&gt;")=1),SUMIFS(Calculations!$R$2:$R$201,'Trial Rows'!$B$2:$B$201,'Trial Rows'!B51,'Trial Rows'!$C$2:$C$201,'Trial Rows'!C51,'Trial Rows'!$F$2:$F$201,'Trial Rows'!F51,'Trial Rows'!$Y$2:$Y$201,'Trial Rows'!Y51,'Trial Rows'!$G$2:$G$201,"B"),"")</x:f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 t="str">
        <x:f>IF(AND(Calculations!B52=1,'Trial Rows'!G52="B",'Trial Rows'!I52=1,Calculations!D52=1),'Trial Rows'!C52,"")</x:f>
      </x:c>
      <x:c r="B52" s="2" t="str">
        <x:f>IF(A52="","",'Trial Rows'!B52)</x:f>
      </x:c>
      <x:c r="C52" s="2" t="str">
        <x:f>IF(A52="","",'Trial Rows'!F52)</x:f>
      </x:c>
      <x:c r="D52" s="2" t="str">
        <x:f>IF(A52="","",'Trial Rows'!H52)</x:f>
      </x:c>
      <x:c r="E52" s="2" t="str">
        <x:f>IF(A52="","",SUMIFS(Calculations!$F$2:$F$201,'Trial Rows'!$B$2:$B$201,'Trial Rows'!B52,'Trial Rows'!$C$2:$C$201,'Trial Rows'!C52,'Trial Rows'!$F$2:$F$201,'Trial Rows'!F52,'Trial Rows'!$Y$2:$Y$201,'Trial Rows'!Y52))</x:f>
      </x:c>
      <x:c r="F52" s="2" t="str">
        <x:f>IF(A52="","",SUMIFS(Calculations!$G$2:$G$201,'Trial Rows'!$B$2:$B$201,'Trial Rows'!B52,'Trial Rows'!$C$2:$C$201,'Trial Rows'!C52,'Trial Rows'!$F$2:$F$201,'Trial Rows'!F52,'Trial Rows'!$Y$2:$Y$201,'Trial Rows'!Y52))</x:f>
      </x:c>
      <x:c r="G52" s="7" t="str">
        <x:f>IF(OR(A52="",E52=0),"",F52/E52)</x:f>
      </x:c>
      <x:c r="H52" s="7" t="str">
        <x:f>IF(OR(A52="",SUMIFS(Calculations!$H$2:$H$201,'Trial Rows'!$B$2:$B$201,'Trial Rows'!B52,'Trial Rows'!$C$2:$C$201,'Trial Rows'!C52,'Trial Rows'!$F$2:$F$201,'Trial Rows'!F52,'Trial Rows'!$Y$2:$Y$201,'Trial Rows'!Y52)=0),"",SUMIFS(Calculations!$I$2:$I$201,'Trial Rows'!$B$2:$B$201,'Trial Rows'!B52,'Trial Rows'!$C$2:$C$201,'Trial Rows'!C52,'Trial Rows'!$F$2:$F$201,'Trial Rows'!F52,'Trial Rows'!$Y$2:$Y$201,'Trial Rows'!Y52)/SUMIFS(Calculations!$H$2:$H$201,'Trial Rows'!$B$2:$B$201,'Trial Rows'!B52,'Trial Rows'!$C$2:$C$201,'Trial Rows'!C52,'Trial Rows'!$F$2:$F$201,'Trial Rows'!F52,'Trial Rows'!$Y$2:$Y$201,'Trial Rows'!Y52))</x:f>
      </x:c>
      <x:c r="I52" s="2" t="str">
        <x:f>IF(AND(A52&lt;&gt;"",COUNTIFS('Trial Rows'!$B$2:$B$201,'Trial Rows'!B52,'Trial Rows'!$C$2:$C$201,'Trial Rows'!C52,'Trial Rows'!$F$2:$F$201,'Trial Rows'!F52,'Trial Rows'!$Y$2:$Y$201,'Trial Rows'!Y52,'Trial Rows'!$G$2:$G$201,"A",Calculations!$R$2:$R$201,"&gt;=0",Calculations!$R$2:$R$201,"&lt;&gt;")=1),SUMIFS(Calculations!$R$2:$R$201,'Trial Rows'!$B$2:$B$201,'Trial Rows'!B52,'Trial Rows'!$C$2:$C$201,'Trial Rows'!C52,'Trial Rows'!$F$2:$F$201,'Trial Rows'!F52,'Trial Rows'!$Y$2:$Y$201,'Trial Rows'!Y52,'Trial Rows'!$G$2:$G$201,"A"),"")</x:f>
      </x:c>
      <x:c r="J52" s="2" t="str">
        <x:f>IF(AND(A52&lt;&gt;"",COUNTIFS('Trial Rows'!$B$2:$B$201,'Trial Rows'!B52,'Trial Rows'!$C$2:$C$201,'Trial Rows'!C52,'Trial Rows'!$F$2:$F$201,'Trial Rows'!F52,'Trial Rows'!$Y$2:$Y$201,'Trial Rows'!Y52,'Trial Rows'!$G$2:$G$201,"B",Calculations!$R$2:$R$201,"&gt;=0",Calculations!$R$2:$R$201,"&lt;&gt;")=1),SUMIFS(Calculations!$R$2:$R$201,'Trial Rows'!$B$2:$B$201,'Trial Rows'!B52,'Trial Rows'!$C$2:$C$201,'Trial Rows'!C52,'Trial Rows'!$F$2:$F$201,'Trial Rows'!F52,'Trial Rows'!$Y$2:$Y$201,'Trial Rows'!Y52,'Trial Rows'!$G$2:$G$201,"B"),"")</x:f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 t="str">
        <x:f>IF(AND(Calculations!B53=1,'Trial Rows'!G53="B",'Trial Rows'!I53=1,Calculations!D53=1),'Trial Rows'!C53,"")</x:f>
      </x:c>
      <x:c r="B53" s="2" t="str">
        <x:f>IF(A53="","",'Trial Rows'!B53)</x:f>
      </x:c>
      <x:c r="C53" s="2" t="str">
        <x:f>IF(A53="","",'Trial Rows'!F53)</x:f>
      </x:c>
      <x:c r="D53" s="2" t="str">
        <x:f>IF(A53="","",'Trial Rows'!H53)</x:f>
      </x:c>
      <x:c r="E53" s="2" t="str">
        <x:f>IF(A53="","",SUMIFS(Calculations!$F$2:$F$201,'Trial Rows'!$B$2:$B$201,'Trial Rows'!B53,'Trial Rows'!$C$2:$C$201,'Trial Rows'!C53,'Trial Rows'!$F$2:$F$201,'Trial Rows'!F53,'Trial Rows'!$Y$2:$Y$201,'Trial Rows'!Y53))</x:f>
      </x:c>
      <x:c r="F53" s="2" t="str">
        <x:f>IF(A53="","",SUMIFS(Calculations!$G$2:$G$201,'Trial Rows'!$B$2:$B$201,'Trial Rows'!B53,'Trial Rows'!$C$2:$C$201,'Trial Rows'!C53,'Trial Rows'!$F$2:$F$201,'Trial Rows'!F53,'Trial Rows'!$Y$2:$Y$201,'Trial Rows'!Y53))</x:f>
      </x:c>
      <x:c r="G53" s="7" t="str">
        <x:f>IF(OR(A53="",E53=0),"",F53/E53)</x:f>
      </x:c>
      <x:c r="H53" s="7" t="str">
        <x:f>IF(OR(A53="",SUMIFS(Calculations!$H$2:$H$201,'Trial Rows'!$B$2:$B$201,'Trial Rows'!B53,'Trial Rows'!$C$2:$C$201,'Trial Rows'!C53,'Trial Rows'!$F$2:$F$201,'Trial Rows'!F53,'Trial Rows'!$Y$2:$Y$201,'Trial Rows'!Y53)=0),"",SUMIFS(Calculations!$I$2:$I$201,'Trial Rows'!$B$2:$B$201,'Trial Rows'!B53,'Trial Rows'!$C$2:$C$201,'Trial Rows'!C53,'Trial Rows'!$F$2:$F$201,'Trial Rows'!F53,'Trial Rows'!$Y$2:$Y$201,'Trial Rows'!Y53)/SUMIFS(Calculations!$H$2:$H$201,'Trial Rows'!$B$2:$B$201,'Trial Rows'!B53,'Trial Rows'!$C$2:$C$201,'Trial Rows'!C53,'Trial Rows'!$F$2:$F$201,'Trial Rows'!F53,'Trial Rows'!$Y$2:$Y$201,'Trial Rows'!Y53))</x:f>
      </x:c>
      <x:c r="I53" s="2" t="str">
        <x:f>IF(AND(A53&lt;&gt;"",COUNTIFS('Trial Rows'!$B$2:$B$201,'Trial Rows'!B53,'Trial Rows'!$C$2:$C$201,'Trial Rows'!C53,'Trial Rows'!$F$2:$F$201,'Trial Rows'!F53,'Trial Rows'!$Y$2:$Y$201,'Trial Rows'!Y53,'Trial Rows'!$G$2:$G$201,"A",Calculations!$R$2:$R$201,"&gt;=0",Calculations!$R$2:$R$201,"&lt;&gt;")=1),SUMIFS(Calculations!$R$2:$R$201,'Trial Rows'!$B$2:$B$201,'Trial Rows'!B53,'Trial Rows'!$C$2:$C$201,'Trial Rows'!C53,'Trial Rows'!$F$2:$F$201,'Trial Rows'!F53,'Trial Rows'!$Y$2:$Y$201,'Trial Rows'!Y53,'Trial Rows'!$G$2:$G$201,"A"),"")</x:f>
      </x:c>
      <x:c r="J53" s="2" t="str">
        <x:f>IF(AND(A53&lt;&gt;"",COUNTIFS('Trial Rows'!$B$2:$B$201,'Trial Rows'!B53,'Trial Rows'!$C$2:$C$201,'Trial Rows'!C53,'Trial Rows'!$F$2:$F$201,'Trial Rows'!F53,'Trial Rows'!$Y$2:$Y$201,'Trial Rows'!Y53,'Trial Rows'!$G$2:$G$201,"B",Calculations!$R$2:$R$201,"&gt;=0",Calculations!$R$2:$R$201,"&lt;&gt;")=1),SUMIFS(Calculations!$R$2:$R$201,'Trial Rows'!$B$2:$B$201,'Trial Rows'!B53,'Trial Rows'!$C$2:$C$201,'Trial Rows'!C53,'Trial Rows'!$F$2:$F$201,'Trial Rows'!F53,'Trial Rows'!$Y$2:$Y$201,'Trial Rows'!Y53,'Trial Rows'!$G$2:$G$201,"B"),"")</x:f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 t="str">
        <x:f>IF(AND(Calculations!B54=1,'Trial Rows'!G54="B",'Trial Rows'!I54=1,Calculations!D54=1),'Trial Rows'!C54,"")</x:f>
      </x:c>
      <x:c r="B54" s="2" t="str">
        <x:f>IF(A54="","",'Trial Rows'!B54)</x:f>
      </x:c>
      <x:c r="C54" s="2" t="str">
        <x:f>IF(A54="","",'Trial Rows'!F54)</x:f>
      </x:c>
      <x:c r="D54" s="2" t="str">
        <x:f>IF(A54="","",'Trial Rows'!H54)</x:f>
      </x:c>
      <x:c r="E54" s="2" t="str">
        <x:f>IF(A54="","",SUMIFS(Calculations!$F$2:$F$201,'Trial Rows'!$B$2:$B$201,'Trial Rows'!B54,'Trial Rows'!$C$2:$C$201,'Trial Rows'!C54,'Trial Rows'!$F$2:$F$201,'Trial Rows'!F54,'Trial Rows'!$Y$2:$Y$201,'Trial Rows'!Y54))</x:f>
      </x:c>
      <x:c r="F54" s="2" t="str">
        <x:f>IF(A54="","",SUMIFS(Calculations!$G$2:$G$201,'Trial Rows'!$B$2:$B$201,'Trial Rows'!B54,'Trial Rows'!$C$2:$C$201,'Trial Rows'!C54,'Trial Rows'!$F$2:$F$201,'Trial Rows'!F54,'Trial Rows'!$Y$2:$Y$201,'Trial Rows'!Y54))</x:f>
      </x:c>
      <x:c r="G54" s="7" t="str">
        <x:f>IF(OR(A54="",E54=0),"",F54/E54)</x:f>
      </x:c>
      <x:c r="H54" s="7" t="str">
        <x:f>IF(OR(A54="",SUMIFS(Calculations!$H$2:$H$201,'Trial Rows'!$B$2:$B$201,'Trial Rows'!B54,'Trial Rows'!$C$2:$C$201,'Trial Rows'!C54,'Trial Rows'!$F$2:$F$201,'Trial Rows'!F54,'Trial Rows'!$Y$2:$Y$201,'Trial Rows'!Y54)=0),"",SUMIFS(Calculations!$I$2:$I$201,'Trial Rows'!$B$2:$B$201,'Trial Rows'!B54,'Trial Rows'!$C$2:$C$201,'Trial Rows'!C54,'Trial Rows'!$F$2:$F$201,'Trial Rows'!F54,'Trial Rows'!$Y$2:$Y$201,'Trial Rows'!Y54)/SUMIFS(Calculations!$H$2:$H$201,'Trial Rows'!$B$2:$B$201,'Trial Rows'!B54,'Trial Rows'!$C$2:$C$201,'Trial Rows'!C54,'Trial Rows'!$F$2:$F$201,'Trial Rows'!F54,'Trial Rows'!$Y$2:$Y$201,'Trial Rows'!Y54))</x:f>
      </x:c>
      <x:c r="I54" s="2" t="str">
        <x:f>IF(AND(A54&lt;&gt;"",COUNTIFS('Trial Rows'!$B$2:$B$201,'Trial Rows'!B54,'Trial Rows'!$C$2:$C$201,'Trial Rows'!C54,'Trial Rows'!$F$2:$F$201,'Trial Rows'!F54,'Trial Rows'!$Y$2:$Y$201,'Trial Rows'!Y54,'Trial Rows'!$G$2:$G$201,"A",Calculations!$R$2:$R$201,"&gt;=0",Calculations!$R$2:$R$201,"&lt;&gt;")=1),SUMIFS(Calculations!$R$2:$R$201,'Trial Rows'!$B$2:$B$201,'Trial Rows'!B54,'Trial Rows'!$C$2:$C$201,'Trial Rows'!C54,'Trial Rows'!$F$2:$F$201,'Trial Rows'!F54,'Trial Rows'!$Y$2:$Y$201,'Trial Rows'!Y54,'Trial Rows'!$G$2:$G$201,"A"),"")</x:f>
      </x:c>
      <x:c r="J54" s="2" t="str">
        <x:f>IF(AND(A54&lt;&gt;"",COUNTIFS('Trial Rows'!$B$2:$B$201,'Trial Rows'!B54,'Trial Rows'!$C$2:$C$201,'Trial Rows'!C54,'Trial Rows'!$F$2:$F$201,'Trial Rows'!F54,'Trial Rows'!$Y$2:$Y$201,'Trial Rows'!Y54,'Trial Rows'!$G$2:$G$201,"B",Calculations!$R$2:$R$201,"&gt;=0",Calculations!$R$2:$R$201,"&lt;&gt;")=1),SUMIFS(Calculations!$R$2:$R$201,'Trial Rows'!$B$2:$B$201,'Trial Rows'!B54,'Trial Rows'!$C$2:$C$201,'Trial Rows'!C54,'Trial Rows'!$F$2:$F$201,'Trial Rows'!F54,'Trial Rows'!$Y$2:$Y$201,'Trial Rows'!Y54,'Trial Rows'!$G$2:$G$201,"B"),"")</x:f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 t="str">
        <x:f>IF(AND(Calculations!B55=1,'Trial Rows'!G55="B",'Trial Rows'!I55=1,Calculations!D55=1),'Trial Rows'!C55,"")</x:f>
      </x:c>
      <x:c r="B55" s="2" t="str">
        <x:f>IF(A55="","",'Trial Rows'!B55)</x:f>
      </x:c>
      <x:c r="C55" s="2" t="str">
        <x:f>IF(A55="","",'Trial Rows'!F55)</x:f>
      </x:c>
      <x:c r="D55" s="2" t="str">
        <x:f>IF(A55="","",'Trial Rows'!H55)</x:f>
      </x:c>
      <x:c r="E55" s="2" t="str">
        <x:f>IF(A55="","",SUMIFS(Calculations!$F$2:$F$201,'Trial Rows'!$B$2:$B$201,'Trial Rows'!B55,'Trial Rows'!$C$2:$C$201,'Trial Rows'!C55,'Trial Rows'!$F$2:$F$201,'Trial Rows'!F55,'Trial Rows'!$Y$2:$Y$201,'Trial Rows'!Y55))</x:f>
      </x:c>
      <x:c r="F55" s="2" t="str">
        <x:f>IF(A55="","",SUMIFS(Calculations!$G$2:$G$201,'Trial Rows'!$B$2:$B$201,'Trial Rows'!B55,'Trial Rows'!$C$2:$C$201,'Trial Rows'!C55,'Trial Rows'!$F$2:$F$201,'Trial Rows'!F55,'Trial Rows'!$Y$2:$Y$201,'Trial Rows'!Y55))</x:f>
      </x:c>
      <x:c r="G55" s="7" t="str">
        <x:f>IF(OR(A55="",E55=0),"",F55/E55)</x:f>
      </x:c>
      <x:c r="H55" s="7" t="str">
        <x:f>IF(OR(A55="",SUMIFS(Calculations!$H$2:$H$201,'Trial Rows'!$B$2:$B$201,'Trial Rows'!B55,'Trial Rows'!$C$2:$C$201,'Trial Rows'!C55,'Trial Rows'!$F$2:$F$201,'Trial Rows'!F55,'Trial Rows'!$Y$2:$Y$201,'Trial Rows'!Y55)=0),"",SUMIFS(Calculations!$I$2:$I$201,'Trial Rows'!$B$2:$B$201,'Trial Rows'!B55,'Trial Rows'!$C$2:$C$201,'Trial Rows'!C55,'Trial Rows'!$F$2:$F$201,'Trial Rows'!F55,'Trial Rows'!$Y$2:$Y$201,'Trial Rows'!Y55)/SUMIFS(Calculations!$H$2:$H$201,'Trial Rows'!$B$2:$B$201,'Trial Rows'!B55,'Trial Rows'!$C$2:$C$201,'Trial Rows'!C55,'Trial Rows'!$F$2:$F$201,'Trial Rows'!F55,'Trial Rows'!$Y$2:$Y$201,'Trial Rows'!Y55))</x:f>
      </x:c>
      <x:c r="I55" s="2" t="str">
        <x:f>IF(AND(A55&lt;&gt;"",COUNTIFS('Trial Rows'!$B$2:$B$201,'Trial Rows'!B55,'Trial Rows'!$C$2:$C$201,'Trial Rows'!C55,'Trial Rows'!$F$2:$F$201,'Trial Rows'!F55,'Trial Rows'!$Y$2:$Y$201,'Trial Rows'!Y55,'Trial Rows'!$G$2:$G$201,"A",Calculations!$R$2:$R$201,"&gt;=0",Calculations!$R$2:$R$201,"&lt;&gt;")=1),SUMIFS(Calculations!$R$2:$R$201,'Trial Rows'!$B$2:$B$201,'Trial Rows'!B55,'Trial Rows'!$C$2:$C$201,'Trial Rows'!C55,'Trial Rows'!$F$2:$F$201,'Trial Rows'!F55,'Trial Rows'!$Y$2:$Y$201,'Trial Rows'!Y55,'Trial Rows'!$G$2:$G$201,"A"),"")</x:f>
      </x:c>
      <x:c r="J55" s="2" t="str">
        <x:f>IF(AND(A55&lt;&gt;"",COUNTIFS('Trial Rows'!$B$2:$B$201,'Trial Rows'!B55,'Trial Rows'!$C$2:$C$201,'Trial Rows'!C55,'Trial Rows'!$F$2:$F$201,'Trial Rows'!F55,'Trial Rows'!$Y$2:$Y$201,'Trial Rows'!Y55,'Trial Rows'!$G$2:$G$201,"B",Calculations!$R$2:$R$201,"&gt;=0",Calculations!$R$2:$R$201,"&lt;&gt;")=1),SUMIFS(Calculations!$R$2:$R$201,'Trial Rows'!$B$2:$B$201,'Trial Rows'!B55,'Trial Rows'!$C$2:$C$201,'Trial Rows'!C55,'Trial Rows'!$F$2:$F$201,'Trial Rows'!F55,'Trial Rows'!$Y$2:$Y$201,'Trial Rows'!Y55,'Trial Rows'!$G$2:$G$201,"B"),"")</x:f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 t="str">
        <x:f>IF(AND(Calculations!B56=1,'Trial Rows'!G56="B",'Trial Rows'!I56=1,Calculations!D56=1),'Trial Rows'!C56,"")</x:f>
      </x:c>
      <x:c r="B56" s="2" t="str">
        <x:f>IF(A56="","",'Trial Rows'!B56)</x:f>
      </x:c>
      <x:c r="C56" s="2" t="str">
        <x:f>IF(A56="","",'Trial Rows'!F56)</x:f>
      </x:c>
      <x:c r="D56" s="2" t="str">
        <x:f>IF(A56="","",'Trial Rows'!H56)</x:f>
      </x:c>
      <x:c r="E56" s="2" t="str">
        <x:f>IF(A56="","",SUMIFS(Calculations!$F$2:$F$201,'Trial Rows'!$B$2:$B$201,'Trial Rows'!B56,'Trial Rows'!$C$2:$C$201,'Trial Rows'!C56,'Trial Rows'!$F$2:$F$201,'Trial Rows'!F56,'Trial Rows'!$Y$2:$Y$201,'Trial Rows'!Y56))</x:f>
      </x:c>
      <x:c r="F56" s="2" t="str">
        <x:f>IF(A56="","",SUMIFS(Calculations!$G$2:$G$201,'Trial Rows'!$B$2:$B$201,'Trial Rows'!B56,'Trial Rows'!$C$2:$C$201,'Trial Rows'!C56,'Trial Rows'!$F$2:$F$201,'Trial Rows'!F56,'Trial Rows'!$Y$2:$Y$201,'Trial Rows'!Y56))</x:f>
      </x:c>
      <x:c r="G56" s="7" t="str">
        <x:f>IF(OR(A56="",E56=0),"",F56/E56)</x:f>
      </x:c>
      <x:c r="H56" s="7" t="str">
        <x:f>IF(OR(A56="",SUMIFS(Calculations!$H$2:$H$201,'Trial Rows'!$B$2:$B$201,'Trial Rows'!B56,'Trial Rows'!$C$2:$C$201,'Trial Rows'!C56,'Trial Rows'!$F$2:$F$201,'Trial Rows'!F56,'Trial Rows'!$Y$2:$Y$201,'Trial Rows'!Y56)=0),"",SUMIFS(Calculations!$I$2:$I$201,'Trial Rows'!$B$2:$B$201,'Trial Rows'!B56,'Trial Rows'!$C$2:$C$201,'Trial Rows'!C56,'Trial Rows'!$F$2:$F$201,'Trial Rows'!F56,'Trial Rows'!$Y$2:$Y$201,'Trial Rows'!Y56)/SUMIFS(Calculations!$H$2:$H$201,'Trial Rows'!$B$2:$B$201,'Trial Rows'!B56,'Trial Rows'!$C$2:$C$201,'Trial Rows'!C56,'Trial Rows'!$F$2:$F$201,'Trial Rows'!F56,'Trial Rows'!$Y$2:$Y$201,'Trial Rows'!Y56))</x:f>
      </x:c>
      <x:c r="I56" s="2" t="str">
        <x:f>IF(AND(A56&lt;&gt;"",COUNTIFS('Trial Rows'!$B$2:$B$201,'Trial Rows'!B56,'Trial Rows'!$C$2:$C$201,'Trial Rows'!C56,'Trial Rows'!$F$2:$F$201,'Trial Rows'!F56,'Trial Rows'!$Y$2:$Y$201,'Trial Rows'!Y56,'Trial Rows'!$G$2:$G$201,"A",Calculations!$R$2:$R$201,"&gt;=0",Calculations!$R$2:$R$201,"&lt;&gt;")=1),SUMIFS(Calculations!$R$2:$R$201,'Trial Rows'!$B$2:$B$201,'Trial Rows'!B56,'Trial Rows'!$C$2:$C$201,'Trial Rows'!C56,'Trial Rows'!$F$2:$F$201,'Trial Rows'!F56,'Trial Rows'!$Y$2:$Y$201,'Trial Rows'!Y56,'Trial Rows'!$G$2:$G$201,"A"),"")</x:f>
      </x:c>
      <x:c r="J56" s="2" t="str">
        <x:f>IF(AND(A56&lt;&gt;"",COUNTIFS('Trial Rows'!$B$2:$B$201,'Trial Rows'!B56,'Trial Rows'!$C$2:$C$201,'Trial Rows'!C56,'Trial Rows'!$F$2:$F$201,'Trial Rows'!F56,'Trial Rows'!$Y$2:$Y$201,'Trial Rows'!Y56,'Trial Rows'!$G$2:$G$201,"B",Calculations!$R$2:$R$201,"&gt;=0",Calculations!$R$2:$R$201,"&lt;&gt;")=1),SUMIFS(Calculations!$R$2:$R$201,'Trial Rows'!$B$2:$B$201,'Trial Rows'!B56,'Trial Rows'!$C$2:$C$201,'Trial Rows'!C56,'Trial Rows'!$F$2:$F$201,'Trial Rows'!F56,'Trial Rows'!$Y$2:$Y$201,'Trial Rows'!Y56,'Trial Rows'!$G$2:$G$201,"B"),"")</x:f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 t="str">
        <x:f>IF(AND(Calculations!B57=1,'Trial Rows'!G57="B",'Trial Rows'!I57=1,Calculations!D57=1),'Trial Rows'!C57,"")</x:f>
      </x:c>
      <x:c r="B57" s="2" t="str">
        <x:f>IF(A57="","",'Trial Rows'!B57)</x:f>
      </x:c>
      <x:c r="C57" s="2" t="str">
        <x:f>IF(A57="","",'Trial Rows'!F57)</x:f>
      </x:c>
      <x:c r="D57" s="2" t="str">
        <x:f>IF(A57="","",'Trial Rows'!H57)</x:f>
      </x:c>
      <x:c r="E57" s="2" t="str">
        <x:f>IF(A57="","",SUMIFS(Calculations!$F$2:$F$201,'Trial Rows'!$B$2:$B$201,'Trial Rows'!B57,'Trial Rows'!$C$2:$C$201,'Trial Rows'!C57,'Trial Rows'!$F$2:$F$201,'Trial Rows'!F57,'Trial Rows'!$Y$2:$Y$201,'Trial Rows'!Y57))</x:f>
      </x:c>
      <x:c r="F57" s="2" t="str">
        <x:f>IF(A57="","",SUMIFS(Calculations!$G$2:$G$201,'Trial Rows'!$B$2:$B$201,'Trial Rows'!B57,'Trial Rows'!$C$2:$C$201,'Trial Rows'!C57,'Trial Rows'!$F$2:$F$201,'Trial Rows'!F57,'Trial Rows'!$Y$2:$Y$201,'Trial Rows'!Y57))</x:f>
      </x:c>
      <x:c r="G57" s="7" t="str">
        <x:f>IF(OR(A57="",E57=0),"",F57/E57)</x:f>
      </x:c>
      <x:c r="H57" s="7" t="str">
        <x:f>IF(OR(A57="",SUMIFS(Calculations!$H$2:$H$201,'Trial Rows'!$B$2:$B$201,'Trial Rows'!B57,'Trial Rows'!$C$2:$C$201,'Trial Rows'!C57,'Trial Rows'!$F$2:$F$201,'Trial Rows'!F57,'Trial Rows'!$Y$2:$Y$201,'Trial Rows'!Y57)=0),"",SUMIFS(Calculations!$I$2:$I$201,'Trial Rows'!$B$2:$B$201,'Trial Rows'!B57,'Trial Rows'!$C$2:$C$201,'Trial Rows'!C57,'Trial Rows'!$F$2:$F$201,'Trial Rows'!F57,'Trial Rows'!$Y$2:$Y$201,'Trial Rows'!Y57)/SUMIFS(Calculations!$H$2:$H$201,'Trial Rows'!$B$2:$B$201,'Trial Rows'!B57,'Trial Rows'!$C$2:$C$201,'Trial Rows'!C57,'Trial Rows'!$F$2:$F$201,'Trial Rows'!F57,'Trial Rows'!$Y$2:$Y$201,'Trial Rows'!Y57))</x:f>
      </x:c>
      <x:c r="I57" s="2" t="str">
        <x:f>IF(AND(A57&lt;&gt;"",COUNTIFS('Trial Rows'!$B$2:$B$201,'Trial Rows'!B57,'Trial Rows'!$C$2:$C$201,'Trial Rows'!C57,'Trial Rows'!$F$2:$F$201,'Trial Rows'!F57,'Trial Rows'!$Y$2:$Y$201,'Trial Rows'!Y57,'Trial Rows'!$G$2:$G$201,"A",Calculations!$R$2:$R$201,"&gt;=0",Calculations!$R$2:$R$201,"&lt;&gt;")=1),SUMIFS(Calculations!$R$2:$R$201,'Trial Rows'!$B$2:$B$201,'Trial Rows'!B57,'Trial Rows'!$C$2:$C$201,'Trial Rows'!C57,'Trial Rows'!$F$2:$F$201,'Trial Rows'!F57,'Trial Rows'!$Y$2:$Y$201,'Trial Rows'!Y57,'Trial Rows'!$G$2:$G$201,"A"),"")</x:f>
      </x:c>
      <x:c r="J57" s="2" t="str">
        <x:f>IF(AND(A57&lt;&gt;"",COUNTIFS('Trial Rows'!$B$2:$B$201,'Trial Rows'!B57,'Trial Rows'!$C$2:$C$201,'Trial Rows'!C57,'Trial Rows'!$F$2:$F$201,'Trial Rows'!F57,'Trial Rows'!$Y$2:$Y$201,'Trial Rows'!Y57,'Trial Rows'!$G$2:$G$201,"B",Calculations!$R$2:$R$201,"&gt;=0",Calculations!$R$2:$R$201,"&lt;&gt;")=1),SUMIFS(Calculations!$R$2:$R$201,'Trial Rows'!$B$2:$B$201,'Trial Rows'!B57,'Trial Rows'!$C$2:$C$201,'Trial Rows'!C57,'Trial Rows'!$F$2:$F$201,'Trial Rows'!F57,'Trial Rows'!$Y$2:$Y$201,'Trial Rows'!Y57,'Trial Rows'!$G$2:$G$201,"B"),"")</x:f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 t="str">
        <x:f>IF(AND(Calculations!B58=1,'Trial Rows'!G58="B",'Trial Rows'!I58=1,Calculations!D58=1),'Trial Rows'!C58,"")</x:f>
      </x:c>
      <x:c r="B58" s="2" t="str">
        <x:f>IF(A58="","",'Trial Rows'!B58)</x:f>
      </x:c>
      <x:c r="C58" s="2" t="str">
        <x:f>IF(A58="","",'Trial Rows'!F58)</x:f>
      </x:c>
      <x:c r="D58" s="2" t="str">
        <x:f>IF(A58="","",'Trial Rows'!H58)</x:f>
      </x:c>
      <x:c r="E58" s="2" t="str">
        <x:f>IF(A58="","",SUMIFS(Calculations!$F$2:$F$201,'Trial Rows'!$B$2:$B$201,'Trial Rows'!B58,'Trial Rows'!$C$2:$C$201,'Trial Rows'!C58,'Trial Rows'!$F$2:$F$201,'Trial Rows'!F58,'Trial Rows'!$Y$2:$Y$201,'Trial Rows'!Y58))</x:f>
      </x:c>
      <x:c r="F58" s="2" t="str">
        <x:f>IF(A58="","",SUMIFS(Calculations!$G$2:$G$201,'Trial Rows'!$B$2:$B$201,'Trial Rows'!B58,'Trial Rows'!$C$2:$C$201,'Trial Rows'!C58,'Trial Rows'!$F$2:$F$201,'Trial Rows'!F58,'Trial Rows'!$Y$2:$Y$201,'Trial Rows'!Y58))</x:f>
      </x:c>
      <x:c r="G58" s="7" t="str">
        <x:f>IF(OR(A58="",E58=0),"",F58/E58)</x:f>
      </x:c>
      <x:c r="H58" s="7" t="str">
        <x:f>IF(OR(A58="",SUMIFS(Calculations!$H$2:$H$201,'Trial Rows'!$B$2:$B$201,'Trial Rows'!B58,'Trial Rows'!$C$2:$C$201,'Trial Rows'!C58,'Trial Rows'!$F$2:$F$201,'Trial Rows'!F58,'Trial Rows'!$Y$2:$Y$201,'Trial Rows'!Y58)=0),"",SUMIFS(Calculations!$I$2:$I$201,'Trial Rows'!$B$2:$B$201,'Trial Rows'!B58,'Trial Rows'!$C$2:$C$201,'Trial Rows'!C58,'Trial Rows'!$F$2:$F$201,'Trial Rows'!F58,'Trial Rows'!$Y$2:$Y$201,'Trial Rows'!Y58)/SUMIFS(Calculations!$H$2:$H$201,'Trial Rows'!$B$2:$B$201,'Trial Rows'!B58,'Trial Rows'!$C$2:$C$201,'Trial Rows'!C58,'Trial Rows'!$F$2:$F$201,'Trial Rows'!F58,'Trial Rows'!$Y$2:$Y$201,'Trial Rows'!Y58))</x:f>
      </x:c>
      <x:c r="I58" s="2" t="str">
        <x:f>IF(AND(A58&lt;&gt;"",COUNTIFS('Trial Rows'!$B$2:$B$201,'Trial Rows'!B58,'Trial Rows'!$C$2:$C$201,'Trial Rows'!C58,'Trial Rows'!$F$2:$F$201,'Trial Rows'!F58,'Trial Rows'!$Y$2:$Y$201,'Trial Rows'!Y58,'Trial Rows'!$G$2:$G$201,"A",Calculations!$R$2:$R$201,"&gt;=0",Calculations!$R$2:$R$201,"&lt;&gt;")=1),SUMIFS(Calculations!$R$2:$R$201,'Trial Rows'!$B$2:$B$201,'Trial Rows'!B58,'Trial Rows'!$C$2:$C$201,'Trial Rows'!C58,'Trial Rows'!$F$2:$F$201,'Trial Rows'!F58,'Trial Rows'!$Y$2:$Y$201,'Trial Rows'!Y58,'Trial Rows'!$G$2:$G$201,"A"),"")</x:f>
      </x:c>
      <x:c r="J58" s="2" t="str">
        <x:f>IF(AND(A58&lt;&gt;"",COUNTIFS('Trial Rows'!$B$2:$B$201,'Trial Rows'!B58,'Trial Rows'!$C$2:$C$201,'Trial Rows'!C58,'Trial Rows'!$F$2:$F$201,'Trial Rows'!F58,'Trial Rows'!$Y$2:$Y$201,'Trial Rows'!Y58,'Trial Rows'!$G$2:$G$201,"B",Calculations!$R$2:$R$201,"&gt;=0",Calculations!$R$2:$R$201,"&lt;&gt;")=1),SUMIFS(Calculations!$R$2:$R$201,'Trial Rows'!$B$2:$B$201,'Trial Rows'!B58,'Trial Rows'!$C$2:$C$201,'Trial Rows'!C58,'Trial Rows'!$F$2:$F$201,'Trial Rows'!F58,'Trial Rows'!$Y$2:$Y$201,'Trial Rows'!Y58,'Trial Rows'!$G$2:$G$201,"B"),"")</x:f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 t="str">
        <x:f>IF(AND(Calculations!B59=1,'Trial Rows'!G59="B",'Trial Rows'!I59=1,Calculations!D59=1),'Trial Rows'!C59,"")</x:f>
      </x:c>
      <x:c r="B59" s="2" t="str">
        <x:f>IF(A59="","",'Trial Rows'!B59)</x:f>
      </x:c>
      <x:c r="C59" s="2" t="str">
        <x:f>IF(A59="","",'Trial Rows'!F59)</x:f>
      </x:c>
      <x:c r="D59" s="2" t="str">
        <x:f>IF(A59="","",'Trial Rows'!H59)</x:f>
      </x:c>
      <x:c r="E59" s="2" t="str">
        <x:f>IF(A59="","",SUMIFS(Calculations!$F$2:$F$201,'Trial Rows'!$B$2:$B$201,'Trial Rows'!B59,'Trial Rows'!$C$2:$C$201,'Trial Rows'!C59,'Trial Rows'!$F$2:$F$201,'Trial Rows'!F59,'Trial Rows'!$Y$2:$Y$201,'Trial Rows'!Y59))</x:f>
      </x:c>
      <x:c r="F59" s="2" t="str">
        <x:f>IF(A59="","",SUMIFS(Calculations!$G$2:$G$201,'Trial Rows'!$B$2:$B$201,'Trial Rows'!B59,'Trial Rows'!$C$2:$C$201,'Trial Rows'!C59,'Trial Rows'!$F$2:$F$201,'Trial Rows'!F59,'Trial Rows'!$Y$2:$Y$201,'Trial Rows'!Y59))</x:f>
      </x:c>
      <x:c r="G59" s="7" t="str">
        <x:f>IF(OR(A59="",E59=0),"",F59/E59)</x:f>
      </x:c>
      <x:c r="H59" s="7" t="str">
        <x:f>IF(OR(A59="",SUMIFS(Calculations!$H$2:$H$201,'Trial Rows'!$B$2:$B$201,'Trial Rows'!B59,'Trial Rows'!$C$2:$C$201,'Trial Rows'!C59,'Trial Rows'!$F$2:$F$201,'Trial Rows'!F59,'Trial Rows'!$Y$2:$Y$201,'Trial Rows'!Y59)=0),"",SUMIFS(Calculations!$I$2:$I$201,'Trial Rows'!$B$2:$B$201,'Trial Rows'!B59,'Trial Rows'!$C$2:$C$201,'Trial Rows'!C59,'Trial Rows'!$F$2:$F$201,'Trial Rows'!F59,'Trial Rows'!$Y$2:$Y$201,'Trial Rows'!Y59)/SUMIFS(Calculations!$H$2:$H$201,'Trial Rows'!$B$2:$B$201,'Trial Rows'!B59,'Trial Rows'!$C$2:$C$201,'Trial Rows'!C59,'Trial Rows'!$F$2:$F$201,'Trial Rows'!F59,'Trial Rows'!$Y$2:$Y$201,'Trial Rows'!Y59))</x:f>
      </x:c>
      <x:c r="I59" s="2" t="str">
        <x:f>IF(AND(A59&lt;&gt;"",COUNTIFS('Trial Rows'!$B$2:$B$201,'Trial Rows'!B59,'Trial Rows'!$C$2:$C$201,'Trial Rows'!C59,'Trial Rows'!$F$2:$F$201,'Trial Rows'!F59,'Trial Rows'!$Y$2:$Y$201,'Trial Rows'!Y59,'Trial Rows'!$G$2:$G$201,"A",Calculations!$R$2:$R$201,"&gt;=0",Calculations!$R$2:$R$201,"&lt;&gt;")=1),SUMIFS(Calculations!$R$2:$R$201,'Trial Rows'!$B$2:$B$201,'Trial Rows'!B59,'Trial Rows'!$C$2:$C$201,'Trial Rows'!C59,'Trial Rows'!$F$2:$F$201,'Trial Rows'!F59,'Trial Rows'!$Y$2:$Y$201,'Trial Rows'!Y59,'Trial Rows'!$G$2:$G$201,"A"),"")</x:f>
      </x:c>
      <x:c r="J59" s="2" t="str">
        <x:f>IF(AND(A59&lt;&gt;"",COUNTIFS('Trial Rows'!$B$2:$B$201,'Trial Rows'!B59,'Trial Rows'!$C$2:$C$201,'Trial Rows'!C59,'Trial Rows'!$F$2:$F$201,'Trial Rows'!F59,'Trial Rows'!$Y$2:$Y$201,'Trial Rows'!Y59,'Trial Rows'!$G$2:$G$201,"B",Calculations!$R$2:$R$201,"&gt;=0",Calculations!$R$2:$R$201,"&lt;&gt;")=1),SUMIFS(Calculations!$R$2:$R$201,'Trial Rows'!$B$2:$B$201,'Trial Rows'!B59,'Trial Rows'!$C$2:$C$201,'Trial Rows'!C59,'Trial Rows'!$F$2:$F$201,'Trial Rows'!F59,'Trial Rows'!$Y$2:$Y$201,'Trial Rows'!Y59,'Trial Rows'!$G$2:$G$201,"B"),"")</x:f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 t="str">
        <x:f>IF(AND(Calculations!B60=1,'Trial Rows'!G60="B",'Trial Rows'!I60=1,Calculations!D60=1),'Trial Rows'!C60,"")</x:f>
      </x:c>
      <x:c r="B60" s="2" t="str">
        <x:f>IF(A60="","",'Trial Rows'!B60)</x:f>
      </x:c>
      <x:c r="C60" s="2" t="str">
        <x:f>IF(A60="","",'Trial Rows'!F60)</x:f>
      </x:c>
      <x:c r="D60" s="2" t="str">
        <x:f>IF(A60="","",'Trial Rows'!H60)</x:f>
      </x:c>
      <x:c r="E60" s="2" t="str">
        <x:f>IF(A60="","",SUMIFS(Calculations!$F$2:$F$201,'Trial Rows'!$B$2:$B$201,'Trial Rows'!B60,'Trial Rows'!$C$2:$C$201,'Trial Rows'!C60,'Trial Rows'!$F$2:$F$201,'Trial Rows'!F60,'Trial Rows'!$Y$2:$Y$201,'Trial Rows'!Y60))</x:f>
      </x:c>
      <x:c r="F60" s="2" t="str">
        <x:f>IF(A60="","",SUMIFS(Calculations!$G$2:$G$201,'Trial Rows'!$B$2:$B$201,'Trial Rows'!B60,'Trial Rows'!$C$2:$C$201,'Trial Rows'!C60,'Trial Rows'!$F$2:$F$201,'Trial Rows'!F60,'Trial Rows'!$Y$2:$Y$201,'Trial Rows'!Y60))</x:f>
      </x:c>
      <x:c r="G60" s="7" t="str">
        <x:f>IF(OR(A60="",E60=0),"",F60/E60)</x:f>
      </x:c>
      <x:c r="H60" s="7" t="str">
        <x:f>IF(OR(A60="",SUMIFS(Calculations!$H$2:$H$201,'Trial Rows'!$B$2:$B$201,'Trial Rows'!B60,'Trial Rows'!$C$2:$C$201,'Trial Rows'!C60,'Trial Rows'!$F$2:$F$201,'Trial Rows'!F60,'Trial Rows'!$Y$2:$Y$201,'Trial Rows'!Y60)=0),"",SUMIFS(Calculations!$I$2:$I$201,'Trial Rows'!$B$2:$B$201,'Trial Rows'!B60,'Trial Rows'!$C$2:$C$201,'Trial Rows'!C60,'Trial Rows'!$F$2:$F$201,'Trial Rows'!F60,'Trial Rows'!$Y$2:$Y$201,'Trial Rows'!Y60)/SUMIFS(Calculations!$H$2:$H$201,'Trial Rows'!$B$2:$B$201,'Trial Rows'!B60,'Trial Rows'!$C$2:$C$201,'Trial Rows'!C60,'Trial Rows'!$F$2:$F$201,'Trial Rows'!F60,'Trial Rows'!$Y$2:$Y$201,'Trial Rows'!Y60))</x:f>
      </x:c>
      <x:c r="I60" s="2" t="str">
        <x:f>IF(AND(A60&lt;&gt;"",COUNTIFS('Trial Rows'!$B$2:$B$201,'Trial Rows'!B60,'Trial Rows'!$C$2:$C$201,'Trial Rows'!C60,'Trial Rows'!$F$2:$F$201,'Trial Rows'!F60,'Trial Rows'!$Y$2:$Y$201,'Trial Rows'!Y60,'Trial Rows'!$G$2:$G$201,"A",Calculations!$R$2:$R$201,"&gt;=0",Calculations!$R$2:$R$201,"&lt;&gt;")=1),SUMIFS(Calculations!$R$2:$R$201,'Trial Rows'!$B$2:$B$201,'Trial Rows'!B60,'Trial Rows'!$C$2:$C$201,'Trial Rows'!C60,'Trial Rows'!$F$2:$F$201,'Trial Rows'!F60,'Trial Rows'!$Y$2:$Y$201,'Trial Rows'!Y60,'Trial Rows'!$G$2:$G$201,"A"),"")</x:f>
      </x:c>
      <x:c r="J60" s="2" t="str">
        <x:f>IF(AND(A60&lt;&gt;"",COUNTIFS('Trial Rows'!$B$2:$B$201,'Trial Rows'!B60,'Trial Rows'!$C$2:$C$201,'Trial Rows'!C60,'Trial Rows'!$F$2:$F$201,'Trial Rows'!F60,'Trial Rows'!$Y$2:$Y$201,'Trial Rows'!Y60,'Trial Rows'!$G$2:$G$201,"B",Calculations!$R$2:$R$201,"&gt;=0",Calculations!$R$2:$R$201,"&lt;&gt;")=1),SUMIFS(Calculations!$R$2:$R$201,'Trial Rows'!$B$2:$B$201,'Trial Rows'!B60,'Trial Rows'!$C$2:$C$201,'Trial Rows'!C60,'Trial Rows'!$F$2:$F$201,'Trial Rows'!F60,'Trial Rows'!$Y$2:$Y$201,'Trial Rows'!Y60,'Trial Rows'!$G$2:$G$201,"B"),"")</x:f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 t="str">
        <x:f>IF(AND(Calculations!B61=1,'Trial Rows'!G61="B",'Trial Rows'!I61=1,Calculations!D61=1),'Trial Rows'!C61,"")</x:f>
      </x:c>
      <x:c r="B61" s="2" t="str">
        <x:f>IF(A61="","",'Trial Rows'!B61)</x:f>
      </x:c>
      <x:c r="C61" s="2" t="str">
        <x:f>IF(A61="","",'Trial Rows'!F61)</x:f>
      </x:c>
      <x:c r="D61" s="2" t="str">
        <x:f>IF(A61="","",'Trial Rows'!H61)</x:f>
      </x:c>
      <x:c r="E61" s="2" t="str">
        <x:f>IF(A61="","",SUMIFS(Calculations!$F$2:$F$201,'Trial Rows'!$B$2:$B$201,'Trial Rows'!B61,'Trial Rows'!$C$2:$C$201,'Trial Rows'!C61,'Trial Rows'!$F$2:$F$201,'Trial Rows'!F61,'Trial Rows'!$Y$2:$Y$201,'Trial Rows'!Y61))</x:f>
      </x:c>
      <x:c r="F61" s="2" t="str">
        <x:f>IF(A61="","",SUMIFS(Calculations!$G$2:$G$201,'Trial Rows'!$B$2:$B$201,'Trial Rows'!B61,'Trial Rows'!$C$2:$C$201,'Trial Rows'!C61,'Trial Rows'!$F$2:$F$201,'Trial Rows'!F61,'Trial Rows'!$Y$2:$Y$201,'Trial Rows'!Y61))</x:f>
      </x:c>
      <x:c r="G61" s="7" t="str">
        <x:f>IF(OR(A61="",E61=0),"",F61/E61)</x:f>
      </x:c>
      <x:c r="H61" s="7" t="str">
        <x:f>IF(OR(A61="",SUMIFS(Calculations!$H$2:$H$201,'Trial Rows'!$B$2:$B$201,'Trial Rows'!B61,'Trial Rows'!$C$2:$C$201,'Trial Rows'!C61,'Trial Rows'!$F$2:$F$201,'Trial Rows'!F61,'Trial Rows'!$Y$2:$Y$201,'Trial Rows'!Y61)=0),"",SUMIFS(Calculations!$I$2:$I$201,'Trial Rows'!$B$2:$B$201,'Trial Rows'!B61,'Trial Rows'!$C$2:$C$201,'Trial Rows'!C61,'Trial Rows'!$F$2:$F$201,'Trial Rows'!F61,'Trial Rows'!$Y$2:$Y$201,'Trial Rows'!Y61)/SUMIFS(Calculations!$H$2:$H$201,'Trial Rows'!$B$2:$B$201,'Trial Rows'!B61,'Trial Rows'!$C$2:$C$201,'Trial Rows'!C61,'Trial Rows'!$F$2:$F$201,'Trial Rows'!F61,'Trial Rows'!$Y$2:$Y$201,'Trial Rows'!Y61))</x:f>
      </x:c>
      <x:c r="I61" s="2" t="str">
        <x:f>IF(AND(A61&lt;&gt;"",COUNTIFS('Trial Rows'!$B$2:$B$201,'Trial Rows'!B61,'Trial Rows'!$C$2:$C$201,'Trial Rows'!C61,'Trial Rows'!$F$2:$F$201,'Trial Rows'!F61,'Trial Rows'!$Y$2:$Y$201,'Trial Rows'!Y61,'Trial Rows'!$G$2:$G$201,"A",Calculations!$R$2:$R$201,"&gt;=0",Calculations!$R$2:$R$201,"&lt;&gt;")=1),SUMIFS(Calculations!$R$2:$R$201,'Trial Rows'!$B$2:$B$201,'Trial Rows'!B61,'Trial Rows'!$C$2:$C$201,'Trial Rows'!C61,'Trial Rows'!$F$2:$F$201,'Trial Rows'!F61,'Trial Rows'!$Y$2:$Y$201,'Trial Rows'!Y61,'Trial Rows'!$G$2:$G$201,"A"),"")</x:f>
      </x:c>
      <x:c r="J61" s="2" t="str">
        <x:f>IF(AND(A61&lt;&gt;"",COUNTIFS('Trial Rows'!$B$2:$B$201,'Trial Rows'!B61,'Trial Rows'!$C$2:$C$201,'Trial Rows'!C61,'Trial Rows'!$F$2:$F$201,'Trial Rows'!F61,'Trial Rows'!$Y$2:$Y$201,'Trial Rows'!Y61,'Trial Rows'!$G$2:$G$201,"B",Calculations!$R$2:$R$201,"&gt;=0",Calculations!$R$2:$R$201,"&lt;&gt;")=1),SUMIFS(Calculations!$R$2:$R$201,'Trial Rows'!$B$2:$B$201,'Trial Rows'!B61,'Trial Rows'!$C$2:$C$201,'Trial Rows'!C61,'Trial Rows'!$F$2:$F$201,'Trial Rows'!F61,'Trial Rows'!$Y$2:$Y$201,'Trial Rows'!Y61,'Trial Rows'!$G$2:$G$201,"B"),"")</x:f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 t="str">
        <x:f>IF(AND(Calculations!B62=1,'Trial Rows'!G62="B",'Trial Rows'!I62=1,Calculations!D62=1),'Trial Rows'!C62,"")</x:f>
      </x:c>
      <x:c r="B62" s="2" t="str">
        <x:f>IF(A62="","",'Trial Rows'!B62)</x:f>
      </x:c>
      <x:c r="C62" s="2" t="str">
        <x:f>IF(A62="","",'Trial Rows'!F62)</x:f>
      </x:c>
      <x:c r="D62" s="2" t="str">
        <x:f>IF(A62="","",'Trial Rows'!H62)</x:f>
      </x:c>
      <x:c r="E62" s="2" t="str">
        <x:f>IF(A62="","",SUMIFS(Calculations!$F$2:$F$201,'Trial Rows'!$B$2:$B$201,'Trial Rows'!B62,'Trial Rows'!$C$2:$C$201,'Trial Rows'!C62,'Trial Rows'!$F$2:$F$201,'Trial Rows'!F62,'Trial Rows'!$Y$2:$Y$201,'Trial Rows'!Y62))</x:f>
      </x:c>
      <x:c r="F62" s="2" t="str">
        <x:f>IF(A62="","",SUMIFS(Calculations!$G$2:$G$201,'Trial Rows'!$B$2:$B$201,'Trial Rows'!B62,'Trial Rows'!$C$2:$C$201,'Trial Rows'!C62,'Trial Rows'!$F$2:$F$201,'Trial Rows'!F62,'Trial Rows'!$Y$2:$Y$201,'Trial Rows'!Y62))</x:f>
      </x:c>
      <x:c r="G62" s="7" t="str">
        <x:f>IF(OR(A62="",E62=0),"",F62/E62)</x:f>
      </x:c>
      <x:c r="H62" s="7" t="str">
        <x:f>IF(OR(A62="",SUMIFS(Calculations!$H$2:$H$201,'Trial Rows'!$B$2:$B$201,'Trial Rows'!B62,'Trial Rows'!$C$2:$C$201,'Trial Rows'!C62,'Trial Rows'!$F$2:$F$201,'Trial Rows'!F62,'Trial Rows'!$Y$2:$Y$201,'Trial Rows'!Y62)=0),"",SUMIFS(Calculations!$I$2:$I$201,'Trial Rows'!$B$2:$B$201,'Trial Rows'!B62,'Trial Rows'!$C$2:$C$201,'Trial Rows'!C62,'Trial Rows'!$F$2:$F$201,'Trial Rows'!F62,'Trial Rows'!$Y$2:$Y$201,'Trial Rows'!Y62)/SUMIFS(Calculations!$H$2:$H$201,'Trial Rows'!$B$2:$B$201,'Trial Rows'!B62,'Trial Rows'!$C$2:$C$201,'Trial Rows'!C62,'Trial Rows'!$F$2:$F$201,'Trial Rows'!F62,'Trial Rows'!$Y$2:$Y$201,'Trial Rows'!Y62))</x:f>
      </x:c>
      <x:c r="I62" s="2" t="str">
        <x:f>IF(AND(A62&lt;&gt;"",COUNTIFS('Trial Rows'!$B$2:$B$201,'Trial Rows'!B62,'Trial Rows'!$C$2:$C$201,'Trial Rows'!C62,'Trial Rows'!$F$2:$F$201,'Trial Rows'!F62,'Trial Rows'!$Y$2:$Y$201,'Trial Rows'!Y62,'Trial Rows'!$G$2:$G$201,"A",Calculations!$R$2:$R$201,"&gt;=0",Calculations!$R$2:$R$201,"&lt;&gt;")=1),SUMIFS(Calculations!$R$2:$R$201,'Trial Rows'!$B$2:$B$201,'Trial Rows'!B62,'Trial Rows'!$C$2:$C$201,'Trial Rows'!C62,'Trial Rows'!$F$2:$F$201,'Trial Rows'!F62,'Trial Rows'!$Y$2:$Y$201,'Trial Rows'!Y62,'Trial Rows'!$G$2:$G$201,"A"),"")</x:f>
      </x:c>
      <x:c r="J62" s="2" t="str">
        <x:f>IF(AND(A62&lt;&gt;"",COUNTIFS('Trial Rows'!$B$2:$B$201,'Trial Rows'!B62,'Trial Rows'!$C$2:$C$201,'Trial Rows'!C62,'Trial Rows'!$F$2:$F$201,'Trial Rows'!F62,'Trial Rows'!$Y$2:$Y$201,'Trial Rows'!Y62,'Trial Rows'!$G$2:$G$201,"B",Calculations!$R$2:$R$201,"&gt;=0",Calculations!$R$2:$R$201,"&lt;&gt;")=1),SUMIFS(Calculations!$R$2:$R$201,'Trial Rows'!$B$2:$B$201,'Trial Rows'!B62,'Trial Rows'!$C$2:$C$201,'Trial Rows'!C62,'Trial Rows'!$F$2:$F$201,'Trial Rows'!F62,'Trial Rows'!$Y$2:$Y$201,'Trial Rows'!Y62,'Trial Rows'!$G$2:$G$201,"B"),"")</x:f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 t="str">
        <x:f>IF(AND(Calculations!B63=1,'Trial Rows'!G63="B",'Trial Rows'!I63=1,Calculations!D63=1),'Trial Rows'!C63,"")</x:f>
      </x:c>
      <x:c r="B63" s="2" t="str">
        <x:f>IF(A63="","",'Trial Rows'!B63)</x:f>
      </x:c>
      <x:c r="C63" s="2" t="str">
        <x:f>IF(A63="","",'Trial Rows'!F63)</x:f>
      </x:c>
      <x:c r="D63" s="2" t="str">
        <x:f>IF(A63="","",'Trial Rows'!H63)</x:f>
      </x:c>
      <x:c r="E63" s="2" t="str">
        <x:f>IF(A63="","",SUMIFS(Calculations!$F$2:$F$201,'Trial Rows'!$B$2:$B$201,'Trial Rows'!B63,'Trial Rows'!$C$2:$C$201,'Trial Rows'!C63,'Trial Rows'!$F$2:$F$201,'Trial Rows'!F63,'Trial Rows'!$Y$2:$Y$201,'Trial Rows'!Y63))</x:f>
      </x:c>
      <x:c r="F63" s="2" t="str">
        <x:f>IF(A63="","",SUMIFS(Calculations!$G$2:$G$201,'Trial Rows'!$B$2:$B$201,'Trial Rows'!B63,'Trial Rows'!$C$2:$C$201,'Trial Rows'!C63,'Trial Rows'!$F$2:$F$201,'Trial Rows'!F63,'Trial Rows'!$Y$2:$Y$201,'Trial Rows'!Y63))</x:f>
      </x:c>
      <x:c r="G63" s="7" t="str">
        <x:f>IF(OR(A63="",E63=0),"",F63/E63)</x:f>
      </x:c>
      <x:c r="H63" s="7" t="str">
        <x:f>IF(OR(A63="",SUMIFS(Calculations!$H$2:$H$201,'Trial Rows'!$B$2:$B$201,'Trial Rows'!B63,'Trial Rows'!$C$2:$C$201,'Trial Rows'!C63,'Trial Rows'!$F$2:$F$201,'Trial Rows'!F63,'Trial Rows'!$Y$2:$Y$201,'Trial Rows'!Y63)=0),"",SUMIFS(Calculations!$I$2:$I$201,'Trial Rows'!$B$2:$B$201,'Trial Rows'!B63,'Trial Rows'!$C$2:$C$201,'Trial Rows'!C63,'Trial Rows'!$F$2:$F$201,'Trial Rows'!F63,'Trial Rows'!$Y$2:$Y$201,'Trial Rows'!Y63)/SUMIFS(Calculations!$H$2:$H$201,'Trial Rows'!$B$2:$B$201,'Trial Rows'!B63,'Trial Rows'!$C$2:$C$201,'Trial Rows'!C63,'Trial Rows'!$F$2:$F$201,'Trial Rows'!F63,'Trial Rows'!$Y$2:$Y$201,'Trial Rows'!Y63))</x:f>
      </x:c>
      <x:c r="I63" s="2" t="str">
        <x:f>IF(AND(A63&lt;&gt;"",COUNTIFS('Trial Rows'!$B$2:$B$201,'Trial Rows'!B63,'Trial Rows'!$C$2:$C$201,'Trial Rows'!C63,'Trial Rows'!$F$2:$F$201,'Trial Rows'!F63,'Trial Rows'!$Y$2:$Y$201,'Trial Rows'!Y63,'Trial Rows'!$G$2:$G$201,"A",Calculations!$R$2:$R$201,"&gt;=0",Calculations!$R$2:$R$201,"&lt;&gt;")=1),SUMIFS(Calculations!$R$2:$R$201,'Trial Rows'!$B$2:$B$201,'Trial Rows'!B63,'Trial Rows'!$C$2:$C$201,'Trial Rows'!C63,'Trial Rows'!$F$2:$F$201,'Trial Rows'!F63,'Trial Rows'!$Y$2:$Y$201,'Trial Rows'!Y63,'Trial Rows'!$G$2:$G$201,"A"),"")</x:f>
      </x:c>
      <x:c r="J63" s="2" t="str">
        <x:f>IF(AND(A63&lt;&gt;"",COUNTIFS('Trial Rows'!$B$2:$B$201,'Trial Rows'!B63,'Trial Rows'!$C$2:$C$201,'Trial Rows'!C63,'Trial Rows'!$F$2:$F$201,'Trial Rows'!F63,'Trial Rows'!$Y$2:$Y$201,'Trial Rows'!Y63,'Trial Rows'!$G$2:$G$201,"B",Calculations!$R$2:$R$201,"&gt;=0",Calculations!$R$2:$R$201,"&lt;&gt;")=1),SUMIFS(Calculations!$R$2:$R$201,'Trial Rows'!$B$2:$B$201,'Trial Rows'!B63,'Trial Rows'!$C$2:$C$201,'Trial Rows'!C63,'Trial Rows'!$F$2:$F$201,'Trial Rows'!F63,'Trial Rows'!$Y$2:$Y$201,'Trial Rows'!Y63,'Trial Rows'!$G$2:$G$201,"B"),"")</x:f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 t="str">
        <x:f>IF(AND(Calculations!B64=1,'Trial Rows'!G64="B",'Trial Rows'!I64=1,Calculations!D64=1),'Trial Rows'!C64,"")</x:f>
      </x:c>
      <x:c r="B64" s="2" t="str">
        <x:f>IF(A64="","",'Trial Rows'!B64)</x:f>
      </x:c>
      <x:c r="C64" s="2" t="str">
        <x:f>IF(A64="","",'Trial Rows'!F64)</x:f>
      </x:c>
      <x:c r="D64" s="2" t="str">
        <x:f>IF(A64="","",'Trial Rows'!H64)</x:f>
      </x:c>
      <x:c r="E64" s="2" t="str">
        <x:f>IF(A64="","",SUMIFS(Calculations!$F$2:$F$201,'Trial Rows'!$B$2:$B$201,'Trial Rows'!B64,'Trial Rows'!$C$2:$C$201,'Trial Rows'!C64,'Trial Rows'!$F$2:$F$201,'Trial Rows'!F64,'Trial Rows'!$Y$2:$Y$201,'Trial Rows'!Y64))</x:f>
      </x:c>
      <x:c r="F64" s="2" t="str">
        <x:f>IF(A64="","",SUMIFS(Calculations!$G$2:$G$201,'Trial Rows'!$B$2:$B$201,'Trial Rows'!B64,'Trial Rows'!$C$2:$C$201,'Trial Rows'!C64,'Trial Rows'!$F$2:$F$201,'Trial Rows'!F64,'Trial Rows'!$Y$2:$Y$201,'Trial Rows'!Y64))</x:f>
      </x:c>
      <x:c r="G64" s="7" t="str">
        <x:f>IF(OR(A64="",E64=0),"",F64/E64)</x:f>
      </x:c>
      <x:c r="H64" s="7" t="str">
        <x:f>IF(OR(A64="",SUMIFS(Calculations!$H$2:$H$201,'Trial Rows'!$B$2:$B$201,'Trial Rows'!B64,'Trial Rows'!$C$2:$C$201,'Trial Rows'!C64,'Trial Rows'!$F$2:$F$201,'Trial Rows'!F64,'Trial Rows'!$Y$2:$Y$201,'Trial Rows'!Y64)=0),"",SUMIFS(Calculations!$I$2:$I$201,'Trial Rows'!$B$2:$B$201,'Trial Rows'!B64,'Trial Rows'!$C$2:$C$201,'Trial Rows'!C64,'Trial Rows'!$F$2:$F$201,'Trial Rows'!F64,'Trial Rows'!$Y$2:$Y$201,'Trial Rows'!Y64)/SUMIFS(Calculations!$H$2:$H$201,'Trial Rows'!$B$2:$B$201,'Trial Rows'!B64,'Trial Rows'!$C$2:$C$201,'Trial Rows'!C64,'Trial Rows'!$F$2:$F$201,'Trial Rows'!F64,'Trial Rows'!$Y$2:$Y$201,'Trial Rows'!Y64))</x:f>
      </x:c>
      <x:c r="I64" s="2" t="str">
        <x:f>IF(AND(A64&lt;&gt;"",COUNTIFS('Trial Rows'!$B$2:$B$201,'Trial Rows'!B64,'Trial Rows'!$C$2:$C$201,'Trial Rows'!C64,'Trial Rows'!$F$2:$F$201,'Trial Rows'!F64,'Trial Rows'!$Y$2:$Y$201,'Trial Rows'!Y64,'Trial Rows'!$G$2:$G$201,"A",Calculations!$R$2:$R$201,"&gt;=0",Calculations!$R$2:$R$201,"&lt;&gt;")=1),SUMIFS(Calculations!$R$2:$R$201,'Trial Rows'!$B$2:$B$201,'Trial Rows'!B64,'Trial Rows'!$C$2:$C$201,'Trial Rows'!C64,'Trial Rows'!$F$2:$F$201,'Trial Rows'!F64,'Trial Rows'!$Y$2:$Y$201,'Trial Rows'!Y64,'Trial Rows'!$G$2:$G$201,"A"),"")</x:f>
      </x:c>
      <x:c r="J64" s="2" t="str">
        <x:f>IF(AND(A64&lt;&gt;"",COUNTIFS('Trial Rows'!$B$2:$B$201,'Trial Rows'!B64,'Trial Rows'!$C$2:$C$201,'Trial Rows'!C64,'Trial Rows'!$F$2:$F$201,'Trial Rows'!F64,'Trial Rows'!$Y$2:$Y$201,'Trial Rows'!Y64,'Trial Rows'!$G$2:$G$201,"B",Calculations!$R$2:$R$201,"&gt;=0",Calculations!$R$2:$R$201,"&lt;&gt;")=1),SUMIFS(Calculations!$R$2:$R$201,'Trial Rows'!$B$2:$B$201,'Trial Rows'!B64,'Trial Rows'!$C$2:$C$201,'Trial Rows'!C64,'Trial Rows'!$F$2:$F$201,'Trial Rows'!F64,'Trial Rows'!$Y$2:$Y$201,'Trial Rows'!Y64,'Trial Rows'!$G$2:$G$201,"B"),"")</x:f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 t="str">
        <x:f>IF(AND(Calculations!B65=1,'Trial Rows'!G65="B",'Trial Rows'!I65=1,Calculations!D65=1),'Trial Rows'!C65,"")</x:f>
      </x:c>
      <x:c r="B65" s="2" t="str">
        <x:f>IF(A65="","",'Trial Rows'!B65)</x:f>
      </x:c>
      <x:c r="C65" s="2" t="str">
        <x:f>IF(A65="","",'Trial Rows'!F65)</x:f>
      </x:c>
      <x:c r="D65" s="2" t="str">
        <x:f>IF(A65="","",'Trial Rows'!H65)</x:f>
      </x:c>
      <x:c r="E65" s="2" t="str">
        <x:f>IF(A65="","",SUMIFS(Calculations!$F$2:$F$201,'Trial Rows'!$B$2:$B$201,'Trial Rows'!B65,'Trial Rows'!$C$2:$C$201,'Trial Rows'!C65,'Trial Rows'!$F$2:$F$201,'Trial Rows'!F65,'Trial Rows'!$Y$2:$Y$201,'Trial Rows'!Y65))</x:f>
      </x:c>
      <x:c r="F65" s="2" t="str">
        <x:f>IF(A65="","",SUMIFS(Calculations!$G$2:$G$201,'Trial Rows'!$B$2:$B$201,'Trial Rows'!B65,'Trial Rows'!$C$2:$C$201,'Trial Rows'!C65,'Trial Rows'!$F$2:$F$201,'Trial Rows'!F65,'Trial Rows'!$Y$2:$Y$201,'Trial Rows'!Y65))</x:f>
      </x:c>
      <x:c r="G65" s="7" t="str">
        <x:f>IF(OR(A65="",E65=0),"",F65/E65)</x:f>
      </x:c>
      <x:c r="H65" s="7" t="str">
        <x:f>IF(OR(A65="",SUMIFS(Calculations!$H$2:$H$201,'Trial Rows'!$B$2:$B$201,'Trial Rows'!B65,'Trial Rows'!$C$2:$C$201,'Trial Rows'!C65,'Trial Rows'!$F$2:$F$201,'Trial Rows'!F65,'Trial Rows'!$Y$2:$Y$201,'Trial Rows'!Y65)=0),"",SUMIFS(Calculations!$I$2:$I$201,'Trial Rows'!$B$2:$B$201,'Trial Rows'!B65,'Trial Rows'!$C$2:$C$201,'Trial Rows'!C65,'Trial Rows'!$F$2:$F$201,'Trial Rows'!F65,'Trial Rows'!$Y$2:$Y$201,'Trial Rows'!Y65)/SUMIFS(Calculations!$H$2:$H$201,'Trial Rows'!$B$2:$B$201,'Trial Rows'!B65,'Trial Rows'!$C$2:$C$201,'Trial Rows'!C65,'Trial Rows'!$F$2:$F$201,'Trial Rows'!F65,'Trial Rows'!$Y$2:$Y$201,'Trial Rows'!Y65))</x:f>
      </x:c>
      <x:c r="I65" s="2" t="str">
        <x:f>IF(AND(A65&lt;&gt;"",COUNTIFS('Trial Rows'!$B$2:$B$201,'Trial Rows'!B65,'Trial Rows'!$C$2:$C$201,'Trial Rows'!C65,'Trial Rows'!$F$2:$F$201,'Trial Rows'!F65,'Trial Rows'!$Y$2:$Y$201,'Trial Rows'!Y65,'Trial Rows'!$G$2:$G$201,"A",Calculations!$R$2:$R$201,"&gt;=0",Calculations!$R$2:$R$201,"&lt;&gt;")=1),SUMIFS(Calculations!$R$2:$R$201,'Trial Rows'!$B$2:$B$201,'Trial Rows'!B65,'Trial Rows'!$C$2:$C$201,'Trial Rows'!C65,'Trial Rows'!$F$2:$F$201,'Trial Rows'!F65,'Trial Rows'!$Y$2:$Y$201,'Trial Rows'!Y65,'Trial Rows'!$G$2:$G$201,"A"),"")</x:f>
      </x:c>
      <x:c r="J65" s="2" t="str">
        <x:f>IF(AND(A65&lt;&gt;"",COUNTIFS('Trial Rows'!$B$2:$B$201,'Trial Rows'!B65,'Trial Rows'!$C$2:$C$201,'Trial Rows'!C65,'Trial Rows'!$F$2:$F$201,'Trial Rows'!F65,'Trial Rows'!$Y$2:$Y$201,'Trial Rows'!Y65,'Trial Rows'!$G$2:$G$201,"B",Calculations!$R$2:$R$201,"&gt;=0",Calculations!$R$2:$R$201,"&lt;&gt;")=1),SUMIFS(Calculations!$R$2:$R$201,'Trial Rows'!$B$2:$B$201,'Trial Rows'!B65,'Trial Rows'!$C$2:$C$201,'Trial Rows'!C65,'Trial Rows'!$F$2:$F$201,'Trial Rows'!F65,'Trial Rows'!$Y$2:$Y$201,'Trial Rows'!Y65,'Trial Rows'!$G$2:$G$201,"B"),"")</x:f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 t="str">
        <x:f>IF(AND(Calculations!B66=1,'Trial Rows'!G66="B",'Trial Rows'!I66=1,Calculations!D66=1),'Trial Rows'!C66,"")</x:f>
      </x:c>
      <x:c r="B66" s="2" t="str">
        <x:f>IF(A66="","",'Trial Rows'!B66)</x:f>
      </x:c>
      <x:c r="C66" s="2" t="str">
        <x:f>IF(A66="","",'Trial Rows'!F66)</x:f>
      </x:c>
      <x:c r="D66" s="2" t="str">
        <x:f>IF(A66="","",'Trial Rows'!H66)</x:f>
      </x:c>
      <x:c r="E66" s="2" t="str">
        <x:f>IF(A66="","",SUMIFS(Calculations!$F$2:$F$201,'Trial Rows'!$B$2:$B$201,'Trial Rows'!B66,'Trial Rows'!$C$2:$C$201,'Trial Rows'!C66,'Trial Rows'!$F$2:$F$201,'Trial Rows'!F66,'Trial Rows'!$Y$2:$Y$201,'Trial Rows'!Y66))</x:f>
      </x:c>
      <x:c r="F66" s="2" t="str">
        <x:f>IF(A66="","",SUMIFS(Calculations!$G$2:$G$201,'Trial Rows'!$B$2:$B$201,'Trial Rows'!B66,'Trial Rows'!$C$2:$C$201,'Trial Rows'!C66,'Trial Rows'!$F$2:$F$201,'Trial Rows'!F66,'Trial Rows'!$Y$2:$Y$201,'Trial Rows'!Y66))</x:f>
      </x:c>
      <x:c r="G66" s="7" t="str">
        <x:f>IF(OR(A66="",E66=0),"",F66/E66)</x:f>
      </x:c>
      <x:c r="H66" s="7" t="str">
        <x:f>IF(OR(A66="",SUMIFS(Calculations!$H$2:$H$201,'Trial Rows'!$B$2:$B$201,'Trial Rows'!B66,'Trial Rows'!$C$2:$C$201,'Trial Rows'!C66,'Trial Rows'!$F$2:$F$201,'Trial Rows'!F66,'Trial Rows'!$Y$2:$Y$201,'Trial Rows'!Y66)=0),"",SUMIFS(Calculations!$I$2:$I$201,'Trial Rows'!$B$2:$B$201,'Trial Rows'!B66,'Trial Rows'!$C$2:$C$201,'Trial Rows'!C66,'Trial Rows'!$F$2:$F$201,'Trial Rows'!F66,'Trial Rows'!$Y$2:$Y$201,'Trial Rows'!Y66)/SUMIFS(Calculations!$H$2:$H$201,'Trial Rows'!$B$2:$B$201,'Trial Rows'!B66,'Trial Rows'!$C$2:$C$201,'Trial Rows'!C66,'Trial Rows'!$F$2:$F$201,'Trial Rows'!F66,'Trial Rows'!$Y$2:$Y$201,'Trial Rows'!Y66))</x:f>
      </x:c>
      <x:c r="I66" s="2" t="str">
        <x:f>IF(AND(A66&lt;&gt;"",COUNTIFS('Trial Rows'!$B$2:$B$201,'Trial Rows'!B66,'Trial Rows'!$C$2:$C$201,'Trial Rows'!C66,'Trial Rows'!$F$2:$F$201,'Trial Rows'!F66,'Trial Rows'!$Y$2:$Y$201,'Trial Rows'!Y66,'Trial Rows'!$G$2:$G$201,"A",Calculations!$R$2:$R$201,"&gt;=0",Calculations!$R$2:$R$201,"&lt;&gt;")=1),SUMIFS(Calculations!$R$2:$R$201,'Trial Rows'!$B$2:$B$201,'Trial Rows'!B66,'Trial Rows'!$C$2:$C$201,'Trial Rows'!C66,'Trial Rows'!$F$2:$F$201,'Trial Rows'!F66,'Trial Rows'!$Y$2:$Y$201,'Trial Rows'!Y66,'Trial Rows'!$G$2:$G$201,"A"),"")</x:f>
      </x:c>
      <x:c r="J66" s="2" t="str">
        <x:f>IF(AND(A66&lt;&gt;"",COUNTIFS('Trial Rows'!$B$2:$B$201,'Trial Rows'!B66,'Trial Rows'!$C$2:$C$201,'Trial Rows'!C66,'Trial Rows'!$F$2:$F$201,'Trial Rows'!F66,'Trial Rows'!$Y$2:$Y$201,'Trial Rows'!Y66,'Trial Rows'!$G$2:$G$201,"B",Calculations!$R$2:$R$201,"&gt;=0",Calculations!$R$2:$R$201,"&lt;&gt;")=1),SUMIFS(Calculations!$R$2:$R$201,'Trial Rows'!$B$2:$B$201,'Trial Rows'!B66,'Trial Rows'!$C$2:$C$201,'Trial Rows'!C66,'Trial Rows'!$F$2:$F$201,'Trial Rows'!F66,'Trial Rows'!$Y$2:$Y$201,'Trial Rows'!Y66,'Trial Rows'!$G$2:$G$201,"B"),"")</x:f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 t="str">
        <x:f>IF(AND(Calculations!B67=1,'Trial Rows'!G67="B",'Trial Rows'!I67=1,Calculations!D67=1),'Trial Rows'!C67,"")</x:f>
      </x:c>
      <x:c r="B67" s="2" t="str">
        <x:f>IF(A67="","",'Trial Rows'!B67)</x:f>
      </x:c>
      <x:c r="C67" s="2" t="str">
        <x:f>IF(A67="","",'Trial Rows'!F67)</x:f>
      </x:c>
      <x:c r="D67" s="2" t="str">
        <x:f>IF(A67="","",'Trial Rows'!H67)</x:f>
      </x:c>
      <x:c r="E67" s="2" t="str">
        <x:f>IF(A67="","",SUMIFS(Calculations!$F$2:$F$201,'Trial Rows'!$B$2:$B$201,'Trial Rows'!B67,'Trial Rows'!$C$2:$C$201,'Trial Rows'!C67,'Trial Rows'!$F$2:$F$201,'Trial Rows'!F67,'Trial Rows'!$Y$2:$Y$201,'Trial Rows'!Y67))</x:f>
      </x:c>
      <x:c r="F67" s="2" t="str">
        <x:f>IF(A67="","",SUMIFS(Calculations!$G$2:$G$201,'Trial Rows'!$B$2:$B$201,'Trial Rows'!B67,'Trial Rows'!$C$2:$C$201,'Trial Rows'!C67,'Trial Rows'!$F$2:$F$201,'Trial Rows'!F67,'Trial Rows'!$Y$2:$Y$201,'Trial Rows'!Y67))</x:f>
      </x:c>
      <x:c r="G67" s="7" t="str">
        <x:f>IF(OR(A67="",E67=0),"",F67/E67)</x:f>
      </x:c>
      <x:c r="H67" s="7" t="str">
        <x:f>IF(OR(A67="",SUMIFS(Calculations!$H$2:$H$201,'Trial Rows'!$B$2:$B$201,'Trial Rows'!B67,'Trial Rows'!$C$2:$C$201,'Trial Rows'!C67,'Trial Rows'!$F$2:$F$201,'Trial Rows'!F67,'Trial Rows'!$Y$2:$Y$201,'Trial Rows'!Y67)=0),"",SUMIFS(Calculations!$I$2:$I$201,'Trial Rows'!$B$2:$B$201,'Trial Rows'!B67,'Trial Rows'!$C$2:$C$201,'Trial Rows'!C67,'Trial Rows'!$F$2:$F$201,'Trial Rows'!F67,'Trial Rows'!$Y$2:$Y$201,'Trial Rows'!Y67)/SUMIFS(Calculations!$H$2:$H$201,'Trial Rows'!$B$2:$B$201,'Trial Rows'!B67,'Trial Rows'!$C$2:$C$201,'Trial Rows'!C67,'Trial Rows'!$F$2:$F$201,'Trial Rows'!F67,'Trial Rows'!$Y$2:$Y$201,'Trial Rows'!Y67))</x:f>
      </x:c>
      <x:c r="I67" s="2" t="str">
        <x:f>IF(AND(A67&lt;&gt;"",COUNTIFS('Trial Rows'!$B$2:$B$201,'Trial Rows'!B67,'Trial Rows'!$C$2:$C$201,'Trial Rows'!C67,'Trial Rows'!$F$2:$F$201,'Trial Rows'!F67,'Trial Rows'!$Y$2:$Y$201,'Trial Rows'!Y67,'Trial Rows'!$G$2:$G$201,"A",Calculations!$R$2:$R$201,"&gt;=0",Calculations!$R$2:$R$201,"&lt;&gt;")=1),SUMIFS(Calculations!$R$2:$R$201,'Trial Rows'!$B$2:$B$201,'Trial Rows'!B67,'Trial Rows'!$C$2:$C$201,'Trial Rows'!C67,'Trial Rows'!$F$2:$F$201,'Trial Rows'!F67,'Trial Rows'!$Y$2:$Y$201,'Trial Rows'!Y67,'Trial Rows'!$G$2:$G$201,"A"),"")</x:f>
      </x:c>
      <x:c r="J67" s="2" t="str">
        <x:f>IF(AND(A67&lt;&gt;"",COUNTIFS('Trial Rows'!$B$2:$B$201,'Trial Rows'!B67,'Trial Rows'!$C$2:$C$201,'Trial Rows'!C67,'Trial Rows'!$F$2:$F$201,'Trial Rows'!F67,'Trial Rows'!$Y$2:$Y$201,'Trial Rows'!Y67,'Trial Rows'!$G$2:$G$201,"B",Calculations!$R$2:$R$201,"&gt;=0",Calculations!$R$2:$R$201,"&lt;&gt;")=1),SUMIFS(Calculations!$R$2:$R$201,'Trial Rows'!$B$2:$B$201,'Trial Rows'!B67,'Trial Rows'!$C$2:$C$201,'Trial Rows'!C67,'Trial Rows'!$F$2:$F$201,'Trial Rows'!F67,'Trial Rows'!$Y$2:$Y$201,'Trial Rows'!Y67,'Trial Rows'!$G$2:$G$201,"B"),"")</x:f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 t="str">
        <x:f>IF(AND(Calculations!B68=1,'Trial Rows'!G68="B",'Trial Rows'!I68=1,Calculations!D68=1),'Trial Rows'!C68,"")</x:f>
      </x:c>
      <x:c r="B68" s="2" t="str">
        <x:f>IF(A68="","",'Trial Rows'!B68)</x:f>
      </x:c>
      <x:c r="C68" s="2" t="str">
        <x:f>IF(A68="","",'Trial Rows'!F68)</x:f>
      </x:c>
      <x:c r="D68" s="2" t="str">
        <x:f>IF(A68="","",'Trial Rows'!H68)</x:f>
      </x:c>
      <x:c r="E68" s="2" t="str">
        <x:f>IF(A68="","",SUMIFS(Calculations!$F$2:$F$201,'Trial Rows'!$B$2:$B$201,'Trial Rows'!B68,'Trial Rows'!$C$2:$C$201,'Trial Rows'!C68,'Trial Rows'!$F$2:$F$201,'Trial Rows'!F68,'Trial Rows'!$Y$2:$Y$201,'Trial Rows'!Y68))</x:f>
      </x:c>
      <x:c r="F68" s="2" t="str">
        <x:f>IF(A68="","",SUMIFS(Calculations!$G$2:$G$201,'Trial Rows'!$B$2:$B$201,'Trial Rows'!B68,'Trial Rows'!$C$2:$C$201,'Trial Rows'!C68,'Trial Rows'!$F$2:$F$201,'Trial Rows'!F68,'Trial Rows'!$Y$2:$Y$201,'Trial Rows'!Y68))</x:f>
      </x:c>
      <x:c r="G68" s="7" t="str">
        <x:f>IF(OR(A68="",E68=0),"",F68/E68)</x:f>
      </x:c>
      <x:c r="H68" s="7" t="str">
        <x:f>IF(OR(A68="",SUMIFS(Calculations!$H$2:$H$201,'Trial Rows'!$B$2:$B$201,'Trial Rows'!B68,'Trial Rows'!$C$2:$C$201,'Trial Rows'!C68,'Trial Rows'!$F$2:$F$201,'Trial Rows'!F68,'Trial Rows'!$Y$2:$Y$201,'Trial Rows'!Y68)=0),"",SUMIFS(Calculations!$I$2:$I$201,'Trial Rows'!$B$2:$B$201,'Trial Rows'!B68,'Trial Rows'!$C$2:$C$201,'Trial Rows'!C68,'Trial Rows'!$F$2:$F$201,'Trial Rows'!F68,'Trial Rows'!$Y$2:$Y$201,'Trial Rows'!Y68)/SUMIFS(Calculations!$H$2:$H$201,'Trial Rows'!$B$2:$B$201,'Trial Rows'!B68,'Trial Rows'!$C$2:$C$201,'Trial Rows'!C68,'Trial Rows'!$F$2:$F$201,'Trial Rows'!F68,'Trial Rows'!$Y$2:$Y$201,'Trial Rows'!Y68))</x:f>
      </x:c>
      <x:c r="I68" s="2" t="str">
        <x:f>IF(AND(A68&lt;&gt;"",COUNTIFS('Trial Rows'!$B$2:$B$201,'Trial Rows'!B68,'Trial Rows'!$C$2:$C$201,'Trial Rows'!C68,'Trial Rows'!$F$2:$F$201,'Trial Rows'!F68,'Trial Rows'!$Y$2:$Y$201,'Trial Rows'!Y68,'Trial Rows'!$G$2:$G$201,"A",Calculations!$R$2:$R$201,"&gt;=0",Calculations!$R$2:$R$201,"&lt;&gt;")=1),SUMIFS(Calculations!$R$2:$R$201,'Trial Rows'!$B$2:$B$201,'Trial Rows'!B68,'Trial Rows'!$C$2:$C$201,'Trial Rows'!C68,'Trial Rows'!$F$2:$F$201,'Trial Rows'!F68,'Trial Rows'!$Y$2:$Y$201,'Trial Rows'!Y68,'Trial Rows'!$G$2:$G$201,"A"),"")</x:f>
      </x:c>
      <x:c r="J68" s="2" t="str">
        <x:f>IF(AND(A68&lt;&gt;"",COUNTIFS('Trial Rows'!$B$2:$B$201,'Trial Rows'!B68,'Trial Rows'!$C$2:$C$201,'Trial Rows'!C68,'Trial Rows'!$F$2:$F$201,'Trial Rows'!F68,'Trial Rows'!$Y$2:$Y$201,'Trial Rows'!Y68,'Trial Rows'!$G$2:$G$201,"B",Calculations!$R$2:$R$201,"&gt;=0",Calculations!$R$2:$R$201,"&lt;&gt;")=1),SUMIFS(Calculations!$R$2:$R$201,'Trial Rows'!$B$2:$B$201,'Trial Rows'!B68,'Trial Rows'!$C$2:$C$201,'Trial Rows'!C68,'Trial Rows'!$F$2:$F$201,'Trial Rows'!F68,'Trial Rows'!$Y$2:$Y$201,'Trial Rows'!Y68,'Trial Rows'!$G$2:$G$201,"B"),"")</x:f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 t="str">
        <x:f>IF(AND(Calculations!B69=1,'Trial Rows'!G69="B",'Trial Rows'!I69=1,Calculations!D69=1),'Trial Rows'!C69,"")</x:f>
      </x:c>
      <x:c r="B69" s="2" t="str">
        <x:f>IF(A69="","",'Trial Rows'!B69)</x:f>
      </x:c>
      <x:c r="C69" s="2" t="str">
        <x:f>IF(A69="","",'Trial Rows'!F69)</x:f>
      </x:c>
      <x:c r="D69" s="2" t="str">
        <x:f>IF(A69="","",'Trial Rows'!H69)</x:f>
      </x:c>
      <x:c r="E69" s="2" t="str">
        <x:f>IF(A69="","",SUMIFS(Calculations!$F$2:$F$201,'Trial Rows'!$B$2:$B$201,'Trial Rows'!B69,'Trial Rows'!$C$2:$C$201,'Trial Rows'!C69,'Trial Rows'!$F$2:$F$201,'Trial Rows'!F69,'Trial Rows'!$Y$2:$Y$201,'Trial Rows'!Y69))</x:f>
      </x:c>
      <x:c r="F69" s="2" t="str">
        <x:f>IF(A69="","",SUMIFS(Calculations!$G$2:$G$201,'Trial Rows'!$B$2:$B$201,'Trial Rows'!B69,'Trial Rows'!$C$2:$C$201,'Trial Rows'!C69,'Trial Rows'!$F$2:$F$201,'Trial Rows'!F69,'Trial Rows'!$Y$2:$Y$201,'Trial Rows'!Y69))</x:f>
      </x:c>
      <x:c r="G69" s="7" t="str">
        <x:f>IF(OR(A69="",E69=0),"",F69/E69)</x:f>
      </x:c>
      <x:c r="H69" s="7" t="str">
        <x:f>IF(OR(A69="",SUMIFS(Calculations!$H$2:$H$201,'Trial Rows'!$B$2:$B$201,'Trial Rows'!B69,'Trial Rows'!$C$2:$C$201,'Trial Rows'!C69,'Trial Rows'!$F$2:$F$201,'Trial Rows'!F69,'Trial Rows'!$Y$2:$Y$201,'Trial Rows'!Y69)=0),"",SUMIFS(Calculations!$I$2:$I$201,'Trial Rows'!$B$2:$B$201,'Trial Rows'!B69,'Trial Rows'!$C$2:$C$201,'Trial Rows'!C69,'Trial Rows'!$F$2:$F$201,'Trial Rows'!F69,'Trial Rows'!$Y$2:$Y$201,'Trial Rows'!Y69)/SUMIFS(Calculations!$H$2:$H$201,'Trial Rows'!$B$2:$B$201,'Trial Rows'!B69,'Trial Rows'!$C$2:$C$201,'Trial Rows'!C69,'Trial Rows'!$F$2:$F$201,'Trial Rows'!F69,'Trial Rows'!$Y$2:$Y$201,'Trial Rows'!Y69))</x:f>
      </x:c>
      <x:c r="I69" s="2" t="str">
        <x:f>IF(AND(A69&lt;&gt;"",COUNTIFS('Trial Rows'!$B$2:$B$201,'Trial Rows'!B69,'Trial Rows'!$C$2:$C$201,'Trial Rows'!C69,'Trial Rows'!$F$2:$F$201,'Trial Rows'!F69,'Trial Rows'!$Y$2:$Y$201,'Trial Rows'!Y69,'Trial Rows'!$G$2:$G$201,"A",Calculations!$R$2:$R$201,"&gt;=0",Calculations!$R$2:$R$201,"&lt;&gt;")=1),SUMIFS(Calculations!$R$2:$R$201,'Trial Rows'!$B$2:$B$201,'Trial Rows'!B69,'Trial Rows'!$C$2:$C$201,'Trial Rows'!C69,'Trial Rows'!$F$2:$F$201,'Trial Rows'!F69,'Trial Rows'!$Y$2:$Y$201,'Trial Rows'!Y69,'Trial Rows'!$G$2:$G$201,"A"),"")</x:f>
      </x:c>
      <x:c r="J69" s="2" t="str">
        <x:f>IF(AND(A69&lt;&gt;"",COUNTIFS('Trial Rows'!$B$2:$B$201,'Trial Rows'!B69,'Trial Rows'!$C$2:$C$201,'Trial Rows'!C69,'Trial Rows'!$F$2:$F$201,'Trial Rows'!F69,'Trial Rows'!$Y$2:$Y$201,'Trial Rows'!Y69,'Trial Rows'!$G$2:$G$201,"B",Calculations!$R$2:$R$201,"&gt;=0",Calculations!$R$2:$R$201,"&lt;&gt;")=1),SUMIFS(Calculations!$R$2:$R$201,'Trial Rows'!$B$2:$B$201,'Trial Rows'!B69,'Trial Rows'!$C$2:$C$201,'Trial Rows'!C69,'Trial Rows'!$F$2:$F$201,'Trial Rows'!F69,'Trial Rows'!$Y$2:$Y$201,'Trial Rows'!Y69,'Trial Rows'!$G$2:$G$201,"B"),"")</x:f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 t="str">
        <x:f>IF(AND(Calculations!B70=1,'Trial Rows'!G70="B",'Trial Rows'!I70=1,Calculations!D70=1),'Trial Rows'!C70,"")</x:f>
      </x:c>
      <x:c r="B70" s="2" t="str">
        <x:f>IF(A70="","",'Trial Rows'!B70)</x:f>
      </x:c>
      <x:c r="C70" s="2" t="str">
        <x:f>IF(A70="","",'Trial Rows'!F70)</x:f>
      </x:c>
      <x:c r="D70" s="2" t="str">
        <x:f>IF(A70="","",'Trial Rows'!H70)</x:f>
      </x:c>
      <x:c r="E70" s="2" t="str">
        <x:f>IF(A70="","",SUMIFS(Calculations!$F$2:$F$201,'Trial Rows'!$B$2:$B$201,'Trial Rows'!B70,'Trial Rows'!$C$2:$C$201,'Trial Rows'!C70,'Trial Rows'!$F$2:$F$201,'Trial Rows'!F70,'Trial Rows'!$Y$2:$Y$201,'Trial Rows'!Y70))</x:f>
      </x:c>
      <x:c r="F70" s="2" t="str">
        <x:f>IF(A70="","",SUMIFS(Calculations!$G$2:$G$201,'Trial Rows'!$B$2:$B$201,'Trial Rows'!B70,'Trial Rows'!$C$2:$C$201,'Trial Rows'!C70,'Trial Rows'!$F$2:$F$201,'Trial Rows'!F70,'Trial Rows'!$Y$2:$Y$201,'Trial Rows'!Y70))</x:f>
      </x:c>
      <x:c r="G70" s="7" t="str">
        <x:f>IF(OR(A70="",E70=0),"",F70/E70)</x:f>
      </x:c>
      <x:c r="H70" s="7" t="str">
        <x:f>IF(OR(A70="",SUMIFS(Calculations!$H$2:$H$201,'Trial Rows'!$B$2:$B$201,'Trial Rows'!B70,'Trial Rows'!$C$2:$C$201,'Trial Rows'!C70,'Trial Rows'!$F$2:$F$201,'Trial Rows'!F70,'Trial Rows'!$Y$2:$Y$201,'Trial Rows'!Y70)=0),"",SUMIFS(Calculations!$I$2:$I$201,'Trial Rows'!$B$2:$B$201,'Trial Rows'!B70,'Trial Rows'!$C$2:$C$201,'Trial Rows'!C70,'Trial Rows'!$F$2:$F$201,'Trial Rows'!F70,'Trial Rows'!$Y$2:$Y$201,'Trial Rows'!Y70)/SUMIFS(Calculations!$H$2:$H$201,'Trial Rows'!$B$2:$B$201,'Trial Rows'!B70,'Trial Rows'!$C$2:$C$201,'Trial Rows'!C70,'Trial Rows'!$F$2:$F$201,'Trial Rows'!F70,'Trial Rows'!$Y$2:$Y$201,'Trial Rows'!Y70))</x:f>
      </x:c>
      <x:c r="I70" s="2" t="str">
        <x:f>IF(AND(A70&lt;&gt;"",COUNTIFS('Trial Rows'!$B$2:$B$201,'Trial Rows'!B70,'Trial Rows'!$C$2:$C$201,'Trial Rows'!C70,'Trial Rows'!$F$2:$F$201,'Trial Rows'!F70,'Trial Rows'!$Y$2:$Y$201,'Trial Rows'!Y70,'Trial Rows'!$G$2:$G$201,"A",Calculations!$R$2:$R$201,"&gt;=0",Calculations!$R$2:$R$201,"&lt;&gt;")=1),SUMIFS(Calculations!$R$2:$R$201,'Trial Rows'!$B$2:$B$201,'Trial Rows'!B70,'Trial Rows'!$C$2:$C$201,'Trial Rows'!C70,'Trial Rows'!$F$2:$F$201,'Trial Rows'!F70,'Trial Rows'!$Y$2:$Y$201,'Trial Rows'!Y70,'Trial Rows'!$G$2:$G$201,"A"),"")</x:f>
      </x:c>
      <x:c r="J70" s="2" t="str">
        <x:f>IF(AND(A70&lt;&gt;"",COUNTIFS('Trial Rows'!$B$2:$B$201,'Trial Rows'!B70,'Trial Rows'!$C$2:$C$201,'Trial Rows'!C70,'Trial Rows'!$F$2:$F$201,'Trial Rows'!F70,'Trial Rows'!$Y$2:$Y$201,'Trial Rows'!Y70,'Trial Rows'!$G$2:$G$201,"B",Calculations!$R$2:$R$201,"&gt;=0",Calculations!$R$2:$R$201,"&lt;&gt;")=1),SUMIFS(Calculations!$R$2:$R$201,'Trial Rows'!$B$2:$B$201,'Trial Rows'!B70,'Trial Rows'!$C$2:$C$201,'Trial Rows'!C70,'Trial Rows'!$F$2:$F$201,'Trial Rows'!F70,'Trial Rows'!$Y$2:$Y$201,'Trial Rows'!Y70,'Trial Rows'!$G$2:$G$201,"B"),"")</x:f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 t="str">
        <x:f>IF(AND(Calculations!B71=1,'Trial Rows'!G71="B",'Trial Rows'!I71=1,Calculations!D71=1),'Trial Rows'!C71,"")</x:f>
      </x:c>
      <x:c r="B71" s="2" t="str">
        <x:f>IF(A71="","",'Trial Rows'!B71)</x:f>
      </x:c>
      <x:c r="C71" s="2" t="str">
        <x:f>IF(A71="","",'Trial Rows'!F71)</x:f>
      </x:c>
      <x:c r="D71" s="2" t="str">
        <x:f>IF(A71="","",'Trial Rows'!H71)</x:f>
      </x:c>
      <x:c r="E71" s="2" t="str">
        <x:f>IF(A71="","",SUMIFS(Calculations!$F$2:$F$201,'Trial Rows'!$B$2:$B$201,'Trial Rows'!B71,'Trial Rows'!$C$2:$C$201,'Trial Rows'!C71,'Trial Rows'!$F$2:$F$201,'Trial Rows'!F71,'Trial Rows'!$Y$2:$Y$201,'Trial Rows'!Y71))</x:f>
      </x:c>
      <x:c r="F71" s="2" t="str">
        <x:f>IF(A71="","",SUMIFS(Calculations!$G$2:$G$201,'Trial Rows'!$B$2:$B$201,'Trial Rows'!B71,'Trial Rows'!$C$2:$C$201,'Trial Rows'!C71,'Trial Rows'!$F$2:$F$201,'Trial Rows'!F71,'Trial Rows'!$Y$2:$Y$201,'Trial Rows'!Y71))</x:f>
      </x:c>
      <x:c r="G71" s="7" t="str">
        <x:f>IF(OR(A71="",E71=0),"",F71/E71)</x:f>
      </x:c>
      <x:c r="H71" s="7" t="str">
        <x:f>IF(OR(A71="",SUMIFS(Calculations!$H$2:$H$201,'Trial Rows'!$B$2:$B$201,'Trial Rows'!B71,'Trial Rows'!$C$2:$C$201,'Trial Rows'!C71,'Trial Rows'!$F$2:$F$201,'Trial Rows'!F71,'Trial Rows'!$Y$2:$Y$201,'Trial Rows'!Y71)=0),"",SUMIFS(Calculations!$I$2:$I$201,'Trial Rows'!$B$2:$B$201,'Trial Rows'!B71,'Trial Rows'!$C$2:$C$201,'Trial Rows'!C71,'Trial Rows'!$F$2:$F$201,'Trial Rows'!F71,'Trial Rows'!$Y$2:$Y$201,'Trial Rows'!Y71)/SUMIFS(Calculations!$H$2:$H$201,'Trial Rows'!$B$2:$B$201,'Trial Rows'!B71,'Trial Rows'!$C$2:$C$201,'Trial Rows'!C71,'Trial Rows'!$F$2:$F$201,'Trial Rows'!F71,'Trial Rows'!$Y$2:$Y$201,'Trial Rows'!Y71))</x:f>
      </x:c>
      <x:c r="I71" s="2" t="str">
        <x:f>IF(AND(A71&lt;&gt;"",COUNTIFS('Trial Rows'!$B$2:$B$201,'Trial Rows'!B71,'Trial Rows'!$C$2:$C$201,'Trial Rows'!C71,'Trial Rows'!$F$2:$F$201,'Trial Rows'!F71,'Trial Rows'!$Y$2:$Y$201,'Trial Rows'!Y71,'Trial Rows'!$G$2:$G$201,"A",Calculations!$R$2:$R$201,"&gt;=0",Calculations!$R$2:$R$201,"&lt;&gt;")=1),SUMIFS(Calculations!$R$2:$R$201,'Trial Rows'!$B$2:$B$201,'Trial Rows'!B71,'Trial Rows'!$C$2:$C$201,'Trial Rows'!C71,'Trial Rows'!$F$2:$F$201,'Trial Rows'!F71,'Trial Rows'!$Y$2:$Y$201,'Trial Rows'!Y71,'Trial Rows'!$G$2:$G$201,"A"),"")</x:f>
      </x:c>
      <x:c r="J71" s="2" t="str">
        <x:f>IF(AND(A71&lt;&gt;"",COUNTIFS('Trial Rows'!$B$2:$B$201,'Trial Rows'!B71,'Trial Rows'!$C$2:$C$201,'Trial Rows'!C71,'Trial Rows'!$F$2:$F$201,'Trial Rows'!F71,'Trial Rows'!$Y$2:$Y$201,'Trial Rows'!Y71,'Trial Rows'!$G$2:$G$201,"B",Calculations!$R$2:$R$201,"&gt;=0",Calculations!$R$2:$R$201,"&lt;&gt;")=1),SUMIFS(Calculations!$R$2:$R$201,'Trial Rows'!$B$2:$B$201,'Trial Rows'!B71,'Trial Rows'!$C$2:$C$201,'Trial Rows'!C71,'Trial Rows'!$F$2:$F$201,'Trial Rows'!F71,'Trial Rows'!$Y$2:$Y$201,'Trial Rows'!Y71,'Trial Rows'!$G$2:$G$201,"B"),"")</x:f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 t="str">
        <x:f>IF(AND(Calculations!B72=1,'Trial Rows'!G72="B",'Trial Rows'!I72=1,Calculations!D72=1),'Trial Rows'!C72,"")</x:f>
      </x:c>
      <x:c r="B72" s="2" t="str">
        <x:f>IF(A72="","",'Trial Rows'!B72)</x:f>
      </x:c>
      <x:c r="C72" s="2" t="str">
        <x:f>IF(A72="","",'Trial Rows'!F72)</x:f>
      </x:c>
      <x:c r="D72" s="2" t="str">
        <x:f>IF(A72="","",'Trial Rows'!H72)</x:f>
      </x:c>
      <x:c r="E72" s="2" t="str">
        <x:f>IF(A72="","",SUMIFS(Calculations!$F$2:$F$201,'Trial Rows'!$B$2:$B$201,'Trial Rows'!B72,'Trial Rows'!$C$2:$C$201,'Trial Rows'!C72,'Trial Rows'!$F$2:$F$201,'Trial Rows'!F72,'Trial Rows'!$Y$2:$Y$201,'Trial Rows'!Y72))</x:f>
      </x:c>
      <x:c r="F72" s="2" t="str">
        <x:f>IF(A72="","",SUMIFS(Calculations!$G$2:$G$201,'Trial Rows'!$B$2:$B$201,'Trial Rows'!B72,'Trial Rows'!$C$2:$C$201,'Trial Rows'!C72,'Trial Rows'!$F$2:$F$201,'Trial Rows'!F72,'Trial Rows'!$Y$2:$Y$201,'Trial Rows'!Y72))</x:f>
      </x:c>
      <x:c r="G72" s="7" t="str">
        <x:f>IF(OR(A72="",E72=0),"",F72/E72)</x:f>
      </x:c>
      <x:c r="H72" s="7" t="str">
        <x:f>IF(OR(A72="",SUMIFS(Calculations!$H$2:$H$201,'Trial Rows'!$B$2:$B$201,'Trial Rows'!B72,'Trial Rows'!$C$2:$C$201,'Trial Rows'!C72,'Trial Rows'!$F$2:$F$201,'Trial Rows'!F72,'Trial Rows'!$Y$2:$Y$201,'Trial Rows'!Y72)=0),"",SUMIFS(Calculations!$I$2:$I$201,'Trial Rows'!$B$2:$B$201,'Trial Rows'!B72,'Trial Rows'!$C$2:$C$201,'Trial Rows'!C72,'Trial Rows'!$F$2:$F$201,'Trial Rows'!F72,'Trial Rows'!$Y$2:$Y$201,'Trial Rows'!Y72)/SUMIFS(Calculations!$H$2:$H$201,'Trial Rows'!$B$2:$B$201,'Trial Rows'!B72,'Trial Rows'!$C$2:$C$201,'Trial Rows'!C72,'Trial Rows'!$F$2:$F$201,'Trial Rows'!F72,'Trial Rows'!$Y$2:$Y$201,'Trial Rows'!Y72))</x:f>
      </x:c>
      <x:c r="I72" s="2" t="str">
        <x:f>IF(AND(A72&lt;&gt;"",COUNTIFS('Trial Rows'!$B$2:$B$201,'Trial Rows'!B72,'Trial Rows'!$C$2:$C$201,'Trial Rows'!C72,'Trial Rows'!$F$2:$F$201,'Trial Rows'!F72,'Trial Rows'!$Y$2:$Y$201,'Trial Rows'!Y72,'Trial Rows'!$G$2:$G$201,"A",Calculations!$R$2:$R$201,"&gt;=0",Calculations!$R$2:$R$201,"&lt;&gt;")=1),SUMIFS(Calculations!$R$2:$R$201,'Trial Rows'!$B$2:$B$201,'Trial Rows'!B72,'Trial Rows'!$C$2:$C$201,'Trial Rows'!C72,'Trial Rows'!$F$2:$F$201,'Trial Rows'!F72,'Trial Rows'!$Y$2:$Y$201,'Trial Rows'!Y72,'Trial Rows'!$G$2:$G$201,"A"),"")</x:f>
      </x:c>
      <x:c r="J72" s="2" t="str">
        <x:f>IF(AND(A72&lt;&gt;"",COUNTIFS('Trial Rows'!$B$2:$B$201,'Trial Rows'!B72,'Trial Rows'!$C$2:$C$201,'Trial Rows'!C72,'Trial Rows'!$F$2:$F$201,'Trial Rows'!F72,'Trial Rows'!$Y$2:$Y$201,'Trial Rows'!Y72,'Trial Rows'!$G$2:$G$201,"B",Calculations!$R$2:$R$201,"&gt;=0",Calculations!$R$2:$R$201,"&lt;&gt;")=1),SUMIFS(Calculations!$R$2:$R$201,'Trial Rows'!$B$2:$B$201,'Trial Rows'!B72,'Trial Rows'!$C$2:$C$201,'Trial Rows'!C72,'Trial Rows'!$F$2:$F$201,'Trial Rows'!F72,'Trial Rows'!$Y$2:$Y$201,'Trial Rows'!Y72,'Trial Rows'!$G$2:$G$201,"B"),"")</x:f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 t="str">
        <x:f>IF(AND(Calculations!B73=1,'Trial Rows'!G73="B",'Trial Rows'!I73=1,Calculations!D73=1),'Trial Rows'!C73,"")</x:f>
      </x:c>
      <x:c r="B73" s="2" t="str">
        <x:f>IF(A73="","",'Trial Rows'!B73)</x:f>
      </x:c>
      <x:c r="C73" s="2" t="str">
        <x:f>IF(A73="","",'Trial Rows'!F73)</x:f>
      </x:c>
      <x:c r="D73" s="2" t="str">
        <x:f>IF(A73="","",'Trial Rows'!H73)</x:f>
      </x:c>
      <x:c r="E73" s="2" t="str">
        <x:f>IF(A73="","",SUMIFS(Calculations!$F$2:$F$201,'Trial Rows'!$B$2:$B$201,'Trial Rows'!B73,'Trial Rows'!$C$2:$C$201,'Trial Rows'!C73,'Trial Rows'!$F$2:$F$201,'Trial Rows'!F73,'Trial Rows'!$Y$2:$Y$201,'Trial Rows'!Y73))</x:f>
      </x:c>
      <x:c r="F73" s="2" t="str">
        <x:f>IF(A73="","",SUMIFS(Calculations!$G$2:$G$201,'Trial Rows'!$B$2:$B$201,'Trial Rows'!B73,'Trial Rows'!$C$2:$C$201,'Trial Rows'!C73,'Trial Rows'!$F$2:$F$201,'Trial Rows'!F73,'Trial Rows'!$Y$2:$Y$201,'Trial Rows'!Y73))</x:f>
      </x:c>
      <x:c r="G73" s="7" t="str">
        <x:f>IF(OR(A73="",E73=0),"",F73/E73)</x:f>
      </x:c>
      <x:c r="H73" s="7" t="str">
        <x:f>IF(OR(A73="",SUMIFS(Calculations!$H$2:$H$201,'Trial Rows'!$B$2:$B$201,'Trial Rows'!B73,'Trial Rows'!$C$2:$C$201,'Trial Rows'!C73,'Trial Rows'!$F$2:$F$201,'Trial Rows'!F73,'Trial Rows'!$Y$2:$Y$201,'Trial Rows'!Y73)=0),"",SUMIFS(Calculations!$I$2:$I$201,'Trial Rows'!$B$2:$B$201,'Trial Rows'!B73,'Trial Rows'!$C$2:$C$201,'Trial Rows'!C73,'Trial Rows'!$F$2:$F$201,'Trial Rows'!F73,'Trial Rows'!$Y$2:$Y$201,'Trial Rows'!Y73)/SUMIFS(Calculations!$H$2:$H$201,'Trial Rows'!$B$2:$B$201,'Trial Rows'!B73,'Trial Rows'!$C$2:$C$201,'Trial Rows'!C73,'Trial Rows'!$F$2:$F$201,'Trial Rows'!F73,'Trial Rows'!$Y$2:$Y$201,'Trial Rows'!Y73))</x:f>
      </x:c>
      <x:c r="I73" s="2" t="str">
        <x:f>IF(AND(A73&lt;&gt;"",COUNTIFS('Trial Rows'!$B$2:$B$201,'Trial Rows'!B73,'Trial Rows'!$C$2:$C$201,'Trial Rows'!C73,'Trial Rows'!$F$2:$F$201,'Trial Rows'!F73,'Trial Rows'!$Y$2:$Y$201,'Trial Rows'!Y73,'Trial Rows'!$G$2:$G$201,"A",Calculations!$R$2:$R$201,"&gt;=0",Calculations!$R$2:$R$201,"&lt;&gt;")=1),SUMIFS(Calculations!$R$2:$R$201,'Trial Rows'!$B$2:$B$201,'Trial Rows'!B73,'Trial Rows'!$C$2:$C$201,'Trial Rows'!C73,'Trial Rows'!$F$2:$F$201,'Trial Rows'!F73,'Trial Rows'!$Y$2:$Y$201,'Trial Rows'!Y73,'Trial Rows'!$G$2:$G$201,"A"),"")</x:f>
      </x:c>
      <x:c r="J73" s="2" t="str">
        <x:f>IF(AND(A73&lt;&gt;"",COUNTIFS('Trial Rows'!$B$2:$B$201,'Trial Rows'!B73,'Trial Rows'!$C$2:$C$201,'Trial Rows'!C73,'Trial Rows'!$F$2:$F$201,'Trial Rows'!F73,'Trial Rows'!$Y$2:$Y$201,'Trial Rows'!Y73,'Trial Rows'!$G$2:$G$201,"B",Calculations!$R$2:$R$201,"&gt;=0",Calculations!$R$2:$R$201,"&lt;&gt;")=1),SUMIFS(Calculations!$R$2:$R$201,'Trial Rows'!$B$2:$B$201,'Trial Rows'!B73,'Trial Rows'!$C$2:$C$201,'Trial Rows'!C73,'Trial Rows'!$F$2:$F$201,'Trial Rows'!F73,'Trial Rows'!$Y$2:$Y$201,'Trial Rows'!Y73,'Trial Rows'!$G$2:$G$201,"B"),"")</x:f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 t="str">
        <x:f>IF(AND(Calculations!B74=1,'Trial Rows'!G74="B",'Trial Rows'!I74=1,Calculations!D74=1),'Trial Rows'!C74,"")</x:f>
      </x:c>
      <x:c r="B74" s="2" t="str">
        <x:f>IF(A74="","",'Trial Rows'!B74)</x:f>
      </x:c>
      <x:c r="C74" s="2" t="str">
        <x:f>IF(A74="","",'Trial Rows'!F74)</x:f>
      </x:c>
      <x:c r="D74" s="2" t="str">
        <x:f>IF(A74="","",'Trial Rows'!H74)</x:f>
      </x:c>
      <x:c r="E74" s="2" t="str">
        <x:f>IF(A74="","",SUMIFS(Calculations!$F$2:$F$201,'Trial Rows'!$B$2:$B$201,'Trial Rows'!B74,'Trial Rows'!$C$2:$C$201,'Trial Rows'!C74,'Trial Rows'!$F$2:$F$201,'Trial Rows'!F74,'Trial Rows'!$Y$2:$Y$201,'Trial Rows'!Y74))</x:f>
      </x:c>
      <x:c r="F74" s="2" t="str">
        <x:f>IF(A74="","",SUMIFS(Calculations!$G$2:$G$201,'Trial Rows'!$B$2:$B$201,'Trial Rows'!B74,'Trial Rows'!$C$2:$C$201,'Trial Rows'!C74,'Trial Rows'!$F$2:$F$201,'Trial Rows'!F74,'Trial Rows'!$Y$2:$Y$201,'Trial Rows'!Y74))</x:f>
      </x:c>
      <x:c r="G74" s="7" t="str">
        <x:f>IF(OR(A74="",E74=0),"",F74/E74)</x:f>
      </x:c>
      <x:c r="H74" s="7" t="str">
        <x:f>IF(OR(A74="",SUMIFS(Calculations!$H$2:$H$201,'Trial Rows'!$B$2:$B$201,'Trial Rows'!B74,'Trial Rows'!$C$2:$C$201,'Trial Rows'!C74,'Trial Rows'!$F$2:$F$201,'Trial Rows'!F74,'Trial Rows'!$Y$2:$Y$201,'Trial Rows'!Y74)=0),"",SUMIFS(Calculations!$I$2:$I$201,'Trial Rows'!$B$2:$B$201,'Trial Rows'!B74,'Trial Rows'!$C$2:$C$201,'Trial Rows'!C74,'Trial Rows'!$F$2:$F$201,'Trial Rows'!F74,'Trial Rows'!$Y$2:$Y$201,'Trial Rows'!Y74)/SUMIFS(Calculations!$H$2:$H$201,'Trial Rows'!$B$2:$B$201,'Trial Rows'!B74,'Trial Rows'!$C$2:$C$201,'Trial Rows'!C74,'Trial Rows'!$F$2:$F$201,'Trial Rows'!F74,'Trial Rows'!$Y$2:$Y$201,'Trial Rows'!Y74))</x:f>
      </x:c>
      <x:c r="I74" s="2" t="str">
        <x:f>IF(AND(A74&lt;&gt;"",COUNTIFS('Trial Rows'!$B$2:$B$201,'Trial Rows'!B74,'Trial Rows'!$C$2:$C$201,'Trial Rows'!C74,'Trial Rows'!$F$2:$F$201,'Trial Rows'!F74,'Trial Rows'!$Y$2:$Y$201,'Trial Rows'!Y74,'Trial Rows'!$G$2:$G$201,"A",Calculations!$R$2:$R$201,"&gt;=0",Calculations!$R$2:$R$201,"&lt;&gt;")=1),SUMIFS(Calculations!$R$2:$R$201,'Trial Rows'!$B$2:$B$201,'Trial Rows'!B74,'Trial Rows'!$C$2:$C$201,'Trial Rows'!C74,'Trial Rows'!$F$2:$F$201,'Trial Rows'!F74,'Trial Rows'!$Y$2:$Y$201,'Trial Rows'!Y74,'Trial Rows'!$G$2:$G$201,"A"),"")</x:f>
      </x:c>
      <x:c r="J74" s="2" t="str">
        <x:f>IF(AND(A74&lt;&gt;"",COUNTIFS('Trial Rows'!$B$2:$B$201,'Trial Rows'!B74,'Trial Rows'!$C$2:$C$201,'Trial Rows'!C74,'Trial Rows'!$F$2:$F$201,'Trial Rows'!F74,'Trial Rows'!$Y$2:$Y$201,'Trial Rows'!Y74,'Trial Rows'!$G$2:$G$201,"B",Calculations!$R$2:$R$201,"&gt;=0",Calculations!$R$2:$R$201,"&lt;&gt;")=1),SUMIFS(Calculations!$R$2:$R$201,'Trial Rows'!$B$2:$B$201,'Trial Rows'!B74,'Trial Rows'!$C$2:$C$201,'Trial Rows'!C74,'Trial Rows'!$F$2:$F$201,'Trial Rows'!F74,'Trial Rows'!$Y$2:$Y$201,'Trial Rows'!Y74,'Trial Rows'!$G$2:$G$201,"B"),"")</x:f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 t="str">
        <x:f>IF(AND(Calculations!B75=1,'Trial Rows'!G75="B",'Trial Rows'!I75=1,Calculations!D75=1),'Trial Rows'!C75,"")</x:f>
      </x:c>
      <x:c r="B75" s="2" t="str">
        <x:f>IF(A75="","",'Trial Rows'!B75)</x:f>
      </x:c>
      <x:c r="C75" s="2" t="str">
        <x:f>IF(A75="","",'Trial Rows'!F75)</x:f>
      </x:c>
      <x:c r="D75" s="2" t="str">
        <x:f>IF(A75="","",'Trial Rows'!H75)</x:f>
      </x:c>
      <x:c r="E75" s="2" t="str">
        <x:f>IF(A75="","",SUMIFS(Calculations!$F$2:$F$201,'Trial Rows'!$B$2:$B$201,'Trial Rows'!B75,'Trial Rows'!$C$2:$C$201,'Trial Rows'!C75,'Trial Rows'!$F$2:$F$201,'Trial Rows'!F75,'Trial Rows'!$Y$2:$Y$201,'Trial Rows'!Y75))</x:f>
      </x:c>
      <x:c r="F75" s="2" t="str">
        <x:f>IF(A75="","",SUMIFS(Calculations!$G$2:$G$201,'Trial Rows'!$B$2:$B$201,'Trial Rows'!B75,'Trial Rows'!$C$2:$C$201,'Trial Rows'!C75,'Trial Rows'!$F$2:$F$201,'Trial Rows'!F75,'Trial Rows'!$Y$2:$Y$201,'Trial Rows'!Y75))</x:f>
      </x:c>
      <x:c r="G75" s="7" t="str">
        <x:f>IF(OR(A75="",E75=0),"",F75/E75)</x:f>
      </x:c>
      <x:c r="H75" s="7" t="str">
        <x:f>IF(OR(A75="",SUMIFS(Calculations!$H$2:$H$201,'Trial Rows'!$B$2:$B$201,'Trial Rows'!B75,'Trial Rows'!$C$2:$C$201,'Trial Rows'!C75,'Trial Rows'!$F$2:$F$201,'Trial Rows'!F75,'Trial Rows'!$Y$2:$Y$201,'Trial Rows'!Y75)=0),"",SUMIFS(Calculations!$I$2:$I$201,'Trial Rows'!$B$2:$B$201,'Trial Rows'!B75,'Trial Rows'!$C$2:$C$201,'Trial Rows'!C75,'Trial Rows'!$F$2:$F$201,'Trial Rows'!F75,'Trial Rows'!$Y$2:$Y$201,'Trial Rows'!Y75)/SUMIFS(Calculations!$H$2:$H$201,'Trial Rows'!$B$2:$B$201,'Trial Rows'!B75,'Trial Rows'!$C$2:$C$201,'Trial Rows'!C75,'Trial Rows'!$F$2:$F$201,'Trial Rows'!F75,'Trial Rows'!$Y$2:$Y$201,'Trial Rows'!Y75))</x:f>
      </x:c>
      <x:c r="I75" s="2" t="str">
        <x:f>IF(AND(A75&lt;&gt;"",COUNTIFS('Trial Rows'!$B$2:$B$201,'Trial Rows'!B75,'Trial Rows'!$C$2:$C$201,'Trial Rows'!C75,'Trial Rows'!$F$2:$F$201,'Trial Rows'!F75,'Trial Rows'!$Y$2:$Y$201,'Trial Rows'!Y75,'Trial Rows'!$G$2:$G$201,"A",Calculations!$R$2:$R$201,"&gt;=0",Calculations!$R$2:$R$201,"&lt;&gt;")=1),SUMIFS(Calculations!$R$2:$R$201,'Trial Rows'!$B$2:$B$201,'Trial Rows'!B75,'Trial Rows'!$C$2:$C$201,'Trial Rows'!C75,'Trial Rows'!$F$2:$F$201,'Trial Rows'!F75,'Trial Rows'!$Y$2:$Y$201,'Trial Rows'!Y75,'Trial Rows'!$G$2:$G$201,"A"),"")</x:f>
      </x:c>
      <x:c r="J75" s="2" t="str">
        <x:f>IF(AND(A75&lt;&gt;"",COUNTIFS('Trial Rows'!$B$2:$B$201,'Trial Rows'!B75,'Trial Rows'!$C$2:$C$201,'Trial Rows'!C75,'Trial Rows'!$F$2:$F$201,'Trial Rows'!F75,'Trial Rows'!$Y$2:$Y$201,'Trial Rows'!Y75,'Trial Rows'!$G$2:$G$201,"B",Calculations!$R$2:$R$201,"&gt;=0",Calculations!$R$2:$R$201,"&lt;&gt;")=1),SUMIFS(Calculations!$R$2:$R$201,'Trial Rows'!$B$2:$B$201,'Trial Rows'!B75,'Trial Rows'!$C$2:$C$201,'Trial Rows'!C75,'Trial Rows'!$F$2:$F$201,'Trial Rows'!F75,'Trial Rows'!$Y$2:$Y$201,'Trial Rows'!Y75,'Trial Rows'!$G$2:$G$201,"B"),"")</x:f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 t="str">
        <x:f>IF(AND(Calculations!B76=1,'Trial Rows'!G76="B",'Trial Rows'!I76=1,Calculations!D76=1),'Trial Rows'!C76,"")</x:f>
      </x:c>
      <x:c r="B76" s="2" t="str">
        <x:f>IF(A76="","",'Trial Rows'!B76)</x:f>
      </x:c>
      <x:c r="C76" s="2" t="str">
        <x:f>IF(A76="","",'Trial Rows'!F76)</x:f>
      </x:c>
      <x:c r="D76" s="2" t="str">
        <x:f>IF(A76="","",'Trial Rows'!H76)</x:f>
      </x:c>
      <x:c r="E76" s="2" t="str">
        <x:f>IF(A76="","",SUMIFS(Calculations!$F$2:$F$201,'Trial Rows'!$B$2:$B$201,'Trial Rows'!B76,'Trial Rows'!$C$2:$C$201,'Trial Rows'!C76,'Trial Rows'!$F$2:$F$201,'Trial Rows'!F76,'Trial Rows'!$Y$2:$Y$201,'Trial Rows'!Y76))</x:f>
      </x:c>
      <x:c r="F76" s="2" t="str">
        <x:f>IF(A76="","",SUMIFS(Calculations!$G$2:$G$201,'Trial Rows'!$B$2:$B$201,'Trial Rows'!B76,'Trial Rows'!$C$2:$C$201,'Trial Rows'!C76,'Trial Rows'!$F$2:$F$201,'Trial Rows'!F76,'Trial Rows'!$Y$2:$Y$201,'Trial Rows'!Y76))</x:f>
      </x:c>
      <x:c r="G76" s="7" t="str">
        <x:f>IF(OR(A76="",E76=0),"",F76/E76)</x:f>
      </x:c>
      <x:c r="H76" s="7" t="str">
        <x:f>IF(OR(A76="",SUMIFS(Calculations!$H$2:$H$201,'Trial Rows'!$B$2:$B$201,'Trial Rows'!B76,'Trial Rows'!$C$2:$C$201,'Trial Rows'!C76,'Trial Rows'!$F$2:$F$201,'Trial Rows'!F76,'Trial Rows'!$Y$2:$Y$201,'Trial Rows'!Y76)=0),"",SUMIFS(Calculations!$I$2:$I$201,'Trial Rows'!$B$2:$B$201,'Trial Rows'!B76,'Trial Rows'!$C$2:$C$201,'Trial Rows'!C76,'Trial Rows'!$F$2:$F$201,'Trial Rows'!F76,'Trial Rows'!$Y$2:$Y$201,'Trial Rows'!Y76)/SUMIFS(Calculations!$H$2:$H$201,'Trial Rows'!$B$2:$B$201,'Trial Rows'!B76,'Trial Rows'!$C$2:$C$201,'Trial Rows'!C76,'Trial Rows'!$F$2:$F$201,'Trial Rows'!F76,'Trial Rows'!$Y$2:$Y$201,'Trial Rows'!Y76))</x:f>
      </x:c>
      <x:c r="I76" s="2" t="str">
        <x:f>IF(AND(A76&lt;&gt;"",COUNTIFS('Trial Rows'!$B$2:$B$201,'Trial Rows'!B76,'Trial Rows'!$C$2:$C$201,'Trial Rows'!C76,'Trial Rows'!$F$2:$F$201,'Trial Rows'!F76,'Trial Rows'!$Y$2:$Y$201,'Trial Rows'!Y76,'Trial Rows'!$G$2:$G$201,"A",Calculations!$R$2:$R$201,"&gt;=0",Calculations!$R$2:$R$201,"&lt;&gt;")=1),SUMIFS(Calculations!$R$2:$R$201,'Trial Rows'!$B$2:$B$201,'Trial Rows'!B76,'Trial Rows'!$C$2:$C$201,'Trial Rows'!C76,'Trial Rows'!$F$2:$F$201,'Trial Rows'!F76,'Trial Rows'!$Y$2:$Y$201,'Trial Rows'!Y76,'Trial Rows'!$G$2:$G$201,"A"),"")</x:f>
      </x:c>
      <x:c r="J76" s="2" t="str">
        <x:f>IF(AND(A76&lt;&gt;"",COUNTIFS('Trial Rows'!$B$2:$B$201,'Trial Rows'!B76,'Trial Rows'!$C$2:$C$201,'Trial Rows'!C76,'Trial Rows'!$F$2:$F$201,'Trial Rows'!F76,'Trial Rows'!$Y$2:$Y$201,'Trial Rows'!Y76,'Trial Rows'!$G$2:$G$201,"B",Calculations!$R$2:$R$201,"&gt;=0",Calculations!$R$2:$R$201,"&lt;&gt;")=1),SUMIFS(Calculations!$R$2:$R$201,'Trial Rows'!$B$2:$B$201,'Trial Rows'!B76,'Trial Rows'!$C$2:$C$201,'Trial Rows'!C76,'Trial Rows'!$F$2:$F$201,'Trial Rows'!F76,'Trial Rows'!$Y$2:$Y$201,'Trial Rows'!Y76,'Trial Rows'!$G$2:$G$201,"B"),"")</x:f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 t="str">
        <x:f>IF(AND(Calculations!B77=1,'Trial Rows'!G77="B",'Trial Rows'!I77=1,Calculations!D77=1),'Trial Rows'!C77,"")</x:f>
      </x:c>
      <x:c r="B77" s="2" t="str">
        <x:f>IF(A77="","",'Trial Rows'!B77)</x:f>
      </x:c>
      <x:c r="C77" s="2" t="str">
        <x:f>IF(A77="","",'Trial Rows'!F77)</x:f>
      </x:c>
      <x:c r="D77" s="2" t="str">
        <x:f>IF(A77="","",'Trial Rows'!H77)</x:f>
      </x:c>
      <x:c r="E77" s="2" t="str">
        <x:f>IF(A77="","",SUMIFS(Calculations!$F$2:$F$201,'Trial Rows'!$B$2:$B$201,'Trial Rows'!B77,'Trial Rows'!$C$2:$C$201,'Trial Rows'!C77,'Trial Rows'!$F$2:$F$201,'Trial Rows'!F77,'Trial Rows'!$Y$2:$Y$201,'Trial Rows'!Y77))</x:f>
      </x:c>
      <x:c r="F77" s="2" t="str">
        <x:f>IF(A77="","",SUMIFS(Calculations!$G$2:$G$201,'Trial Rows'!$B$2:$B$201,'Trial Rows'!B77,'Trial Rows'!$C$2:$C$201,'Trial Rows'!C77,'Trial Rows'!$F$2:$F$201,'Trial Rows'!F77,'Trial Rows'!$Y$2:$Y$201,'Trial Rows'!Y77))</x:f>
      </x:c>
      <x:c r="G77" s="7" t="str">
        <x:f>IF(OR(A77="",E77=0),"",F77/E77)</x:f>
      </x:c>
      <x:c r="H77" s="7" t="str">
        <x:f>IF(OR(A77="",SUMIFS(Calculations!$H$2:$H$201,'Trial Rows'!$B$2:$B$201,'Trial Rows'!B77,'Trial Rows'!$C$2:$C$201,'Trial Rows'!C77,'Trial Rows'!$F$2:$F$201,'Trial Rows'!F77,'Trial Rows'!$Y$2:$Y$201,'Trial Rows'!Y77)=0),"",SUMIFS(Calculations!$I$2:$I$201,'Trial Rows'!$B$2:$B$201,'Trial Rows'!B77,'Trial Rows'!$C$2:$C$201,'Trial Rows'!C77,'Trial Rows'!$F$2:$F$201,'Trial Rows'!F77,'Trial Rows'!$Y$2:$Y$201,'Trial Rows'!Y77)/SUMIFS(Calculations!$H$2:$H$201,'Trial Rows'!$B$2:$B$201,'Trial Rows'!B77,'Trial Rows'!$C$2:$C$201,'Trial Rows'!C77,'Trial Rows'!$F$2:$F$201,'Trial Rows'!F77,'Trial Rows'!$Y$2:$Y$201,'Trial Rows'!Y77))</x:f>
      </x:c>
      <x:c r="I77" s="2" t="str">
        <x:f>IF(AND(A77&lt;&gt;"",COUNTIFS('Trial Rows'!$B$2:$B$201,'Trial Rows'!B77,'Trial Rows'!$C$2:$C$201,'Trial Rows'!C77,'Trial Rows'!$F$2:$F$201,'Trial Rows'!F77,'Trial Rows'!$Y$2:$Y$201,'Trial Rows'!Y77,'Trial Rows'!$G$2:$G$201,"A",Calculations!$R$2:$R$201,"&gt;=0",Calculations!$R$2:$R$201,"&lt;&gt;")=1),SUMIFS(Calculations!$R$2:$R$201,'Trial Rows'!$B$2:$B$201,'Trial Rows'!B77,'Trial Rows'!$C$2:$C$201,'Trial Rows'!C77,'Trial Rows'!$F$2:$F$201,'Trial Rows'!F77,'Trial Rows'!$Y$2:$Y$201,'Trial Rows'!Y77,'Trial Rows'!$G$2:$G$201,"A"),"")</x:f>
      </x:c>
      <x:c r="J77" s="2" t="str">
        <x:f>IF(AND(A77&lt;&gt;"",COUNTIFS('Trial Rows'!$B$2:$B$201,'Trial Rows'!B77,'Trial Rows'!$C$2:$C$201,'Trial Rows'!C77,'Trial Rows'!$F$2:$F$201,'Trial Rows'!F77,'Trial Rows'!$Y$2:$Y$201,'Trial Rows'!Y77,'Trial Rows'!$G$2:$G$201,"B",Calculations!$R$2:$R$201,"&gt;=0",Calculations!$R$2:$R$201,"&lt;&gt;")=1),SUMIFS(Calculations!$R$2:$R$201,'Trial Rows'!$B$2:$B$201,'Trial Rows'!B77,'Trial Rows'!$C$2:$C$201,'Trial Rows'!C77,'Trial Rows'!$F$2:$F$201,'Trial Rows'!F77,'Trial Rows'!$Y$2:$Y$201,'Trial Rows'!Y77,'Trial Rows'!$G$2:$G$201,"B"),"")</x:f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 t="str">
        <x:f>IF(AND(Calculations!B78=1,'Trial Rows'!G78="B",'Trial Rows'!I78=1,Calculations!D78=1),'Trial Rows'!C78,"")</x:f>
      </x:c>
      <x:c r="B78" s="2" t="str">
        <x:f>IF(A78="","",'Trial Rows'!B78)</x:f>
      </x:c>
      <x:c r="C78" s="2" t="str">
        <x:f>IF(A78="","",'Trial Rows'!F78)</x:f>
      </x:c>
      <x:c r="D78" s="2" t="str">
        <x:f>IF(A78="","",'Trial Rows'!H78)</x:f>
      </x:c>
      <x:c r="E78" s="2" t="str">
        <x:f>IF(A78="","",SUMIFS(Calculations!$F$2:$F$201,'Trial Rows'!$B$2:$B$201,'Trial Rows'!B78,'Trial Rows'!$C$2:$C$201,'Trial Rows'!C78,'Trial Rows'!$F$2:$F$201,'Trial Rows'!F78,'Trial Rows'!$Y$2:$Y$201,'Trial Rows'!Y78))</x:f>
      </x:c>
      <x:c r="F78" s="2" t="str">
        <x:f>IF(A78="","",SUMIFS(Calculations!$G$2:$G$201,'Trial Rows'!$B$2:$B$201,'Trial Rows'!B78,'Trial Rows'!$C$2:$C$201,'Trial Rows'!C78,'Trial Rows'!$F$2:$F$201,'Trial Rows'!F78,'Trial Rows'!$Y$2:$Y$201,'Trial Rows'!Y78))</x:f>
      </x:c>
      <x:c r="G78" s="7" t="str">
        <x:f>IF(OR(A78="",E78=0),"",F78/E78)</x:f>
      </x:c>
      <x:c r="H78" s="7" t="str">
        <x:f>IF(OR(A78="",SUMIFS(Calculations!$H$2:$H$201,'Trial Rows'!$B$2:$B$201,'Trial Rows'!B78,'Trial Rows'!$C$2:$C$201,'Trial Rows'!C78,'Trial Rows'!$F$2:$F$201,'Trial Rows'!F78,'Trial Rows'!$Y$2:$Y$201,'Trial Rows'!Y78)=0),"",SUMIFS(Calculations!$I$2:$I$201,'Trial Rows'!$B$2:$B$201,'Trial Rows'!B78,'Trial Rows'!$C$2:$C$201,'Trial Rows'!C78,'Trial Rows'!$F$2:$F$201,'Trial Rows'!F78,'Trial Rows'!$Y$2:$Y$201,'Trial Rows'!Y78)/SUMIFS(Calculations!$H$2:$H$201,'Trial Rows'!$B$2:$B$201,'Trial Rows'!B78,'Trial Rows'!$C$2:$C$201,'Trial Rows'!C78,'Trial Rows'!$F$2:$F$201,'Trial Rows'!F78,'Trial Rows'!$Y$2:$Y$201,'Trial Rows'!Y78))</x:f>
      </x:c>
      <x:c r="I78" s="2" t="str">
        <x:f>IF(AND(A78&lt;&gt;"",COUNTIFS('Trial Rows'!$B$2:$B$201,'Trial Rows'!B78,'Trial Rows'!$C$2:$C$201,'Trial Rows'!C78,'Trial Rows'!$F$2:$F$201,'Trial Rows'!F78,'Trial Rows'!$Y$2:$Y$201,'Trial Rows'!Y78,'Trial Rows'!$G$2:$G$201,"A",Calculations!$R$2:$R$201,"&gt;=0",Calculations!$R$2:$R$201,"&lt;&gt;")=1),SUMIFS(Calculations!$R$2:$R$201,'Trial Rows'!$B$2:$B$201,'Trial Rows'!B78,'Trial Rows'!$C$2:$C$201,'Trial Rows'!C78,'Trial Rows'!$F$2:$F$201,'Trial Rows'!F78,'Trial Rows'!$Y$2:$Y$201,'Trial Rows'!Y78,'Trial Rows'!$G$2:$G$201,"A"),"")</x:f>
      </x:c>
      <x:c r="J78" s="2" t="str">
        <x:f>IF(AND(A78&lt;&gt;"",COUNTIFS('Trial Rows'!$B$2:$B$201,'Trial Rows'!B78,'Trial Rows'!$C$2:$C$201,'Trial Rows'!C78,'Trial Rows'!$F$2:$F$201,'Trial Rows'!F78,'Trial Rows'!$Y$2:$Y$201,'Trial Rows'!Y78,'Trial Rows'!$G$2:$G$201,"B",Calculations!$R$2:$R$201,"&gt;=0",Calculations!$R$2:$R$201,"&lt;&gt;")=1),SUMIFS(Calculations!$R$2:$R$201,'Trial Rows'!$B$2:$B$201,'Trial Rows'!B78,'Trial Rows'!$C$2:$C$201,'Trial Rows'!C78,'Trial Rows'!$F$2:$F$201,'Trial Rows'!F78,'Trial Rows'!$Y$2:$Y$201,'Trial Rows'!Y78,'Trial Rows'!$G$2:$G$201,"B"),"")</x:f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 t="str">
        <x:f>IF(AND(Calculations!B79=1,'Trial Rows'!G79="B",'Trial Rows'!I79=1,Calculations!D79=1),'Trial Rows'!C79,"")</x:f>
      </x:c>
      <x:c r="B79" s="2" t="str">
        <x:f>IF(A79="","",'Trial Rows'!B79)</x:f>
      </x:c>
      <x:c r="C79" s="2" t="str">
        <x:f>IF(A79="","",'Trial Rows'!F79)</x:f>
      </x:c>
      <x:c r="D79" s="2" t="str">
        <x:f>IF(A79="","",'Trial Rows'!H79)</x:f>
      </x:c>
      <x:c r="E79" s="2" t="str">
        <x:f>IF(A79="","",SUMIFS(Calculations!$F$2:$F$201,'Trial Rows'!$B$2:$B$201,'Trial Rows'!B79,'Trial Rows'!$C$2:$C$201,'Trial Rows'!C79,'Trial Rows'!$F$2:$F$201,'Trial Rows'!F79,'Trial Rows'!$Y$2:$Y$201,'Trial Rows'!Y79))</x:f>
      </x:c>
      <x:c r="F79" s="2" t="str">
        <x:f>IF(A79="","",SUMIFS(Calculations!$G$2:$G$201,'Trial Rows'!$B$2:$B$201,'Trial Rows'!B79,'Trial Rows'!$C$2:$C$201,'Trial Rows'!C79,'Trial Rows'!$F$2:$F$201,'Trial Rows'!F79,'Trial Rows'!$Y$2:$Y$201,'Trial Rows'!Y79))</x:f>
      </x:c>
      <x:c r="G79" s="7" t="str">
        <x:f>IF(OR(A79="",E79=0),"",F79/E79)</x:f>
      </x:c>
      <x:c r="H79" s="7" t="str">
        <x:f>IF(OR(A79="",SUMIFS(Calculations!$H$2:$H$201,'Trial Rows'!$B$2:$B$201,'Trial Rows'!B79,'Trial Rows'!$C$2:$C$201,'Trial Rows'!C79,'Trial Rows'!$F$2:$F$201,'Trial Rows'!F79,'Trial Rows'!$Y$2:$Y$201,'Trial Rows'!Y79)=0),"",SUMIFS(Calculations!$I$2:$I$201,'Trial Rows'!$B$2:$B$201,'Trial Rows'!B79,'Trial Rows'!$C$2:$C$201,'Trial Rows'!C79,'Trial Rows'!$F$2:$F$201,'Trial Rows'!F79,'Trial Rows'!$Y$2:$Y$201,'Trial Rows'!Y79)/SUMIFS(Calculations!$H$2:$H$201,'Trial Rows'!$B$2:$B$201,'Trial Rows'!B79,'Trial Rows'!$C$2:$C$201,'Trial Rows'!C79,'Trial Rows'!$F$2:$F$201,'Trial Rows'!F79,'Trial Rows'!$Y$2:$Y$201,'Trial Rows'!Y79))</x:f>
      </x:c>
      <x:c r="I79" s="2" t="str">
        <x:f>IF(AND(A79&lt;&gt;"",COUNTIFS('Trial Rows'!$B$2:$B$201,'Trial Rows'!B79,'Trial Rows'!$C$2:$C$201,'Trial Rows'!C79,'Trial Rows'!$F$2:$F$201,'Trial Rows'!F79,'Trial Rows'!$Y$2:$Y$201,'Trial Rows'!Y79,'Trial Rows'!$G$2:$G$201,"A",Calculations!$R$2:$R$201,"&gt;=0",Calculations!$R$2:$R$201,"&lt;&gt;")=1),SUMIFS(Calculations!$R$2:$R$201,'Trial Rows'!$B$2:$B$201,'Trial Rows'!B79,'Trial Rows'!$C$2:$C$201,'Trial Rows'!C79,'Trial Rows'!$F$2:$F$201,'Trial Rows'!F79,'Trial Rows'!$Y$2:$Y$201,'Trial Rows'!Y79,'Trial Rows'!$G$2:$G$201,"A"),"")</x:f>
      </x:c>
      <x:c r="J79" s="2" t="str">
        <x:f>IF(AND(A79&lt;&gt;"",COUNTIFS('Trial Rows'!$B$2:$B$201,'Trial Rows'!B79,'Trial Rows'!$C$2:$C$201,'Trial Rows'!C79,'Trial Rows'!$F$2:$F$201,'Trial Rows'!F79,'Trial Rows'!$Y$2:$Y$201,'Trial Rows'!Y79,'Trial Rows'!$G$2:$G$201,"B",Calculations!$R$2:$R$201,"&gt;=0",Calculations!$R$2:$R$201,"&lt;&gt;")=1),SUMIFS(Calculations!$R$2:$R$201,'Trial Rows'!$B$2:$B$201,'Trial Rows'!B79,'Trial Rows'!$C$2:$C$201,'Trial Rows'!C79,'Trial Rows'!$F$2:$F$201,'Trial Rows'!F79,'Trial Rows'!$Y$2:$Y$201,'Trial Rows'!Y79,'Trial Rows'!$G$2:$G$201,"B"),"")</x:f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 t="str">
        <x:f>IF(AND(Calculations!B80=1,'Trial Rows'!G80="B",'Trial Rows'!I80=1,Calculations!D80=1),'Trial Rows'!C80,"")</x:f>
      </x:c>
      <x:c r="B80" s="2" t="str">
        <x:f>IF(A80="","",'Trial Rows'!B80)</x:f>
      </x:c>
      <x:c r="C80" s="2" t="str">
        <x:f>IF(A80="","",'Trial Rows'!F80)</x:f>
      </x:c>
      <x:c r="D80" s="2" t="str">
        <x:f>IF(A80="","",'Trial Rows'!H80)</x:f>
      </x:c>
      <x:c r="E80" s="2" t="str">
        <x:f>IF(A80="","",SUMIFS(Calculations!$F$2:$F$201,'Trial Rows'!$B$2:$B$201,'Trial Rows'!B80,'Trial Rows'!$C$2:$C$201,'Trial Rows'!C80,'Trial Rows'!$F$2:$F$201,'Trial Rows'!F80,'Trial Rows'!$Y$2:$Y$201,'Trial Rows'!Y80))</x:f>
      </x:c>
      <x:c r="F80" s="2" t="str">
        <x:f>IF(A80="","",SUMIFS(Calculations!$G$2:$G$201,'Trial Rows'!$B$2:$B$201,'Trial Rows'!B80,'Trial Rows'!$C$2:$C$201,'Trial Rows'!C80,'Trial Rows'!$F$2:$F$201,'Trial Rows'!F80,'Trial Rows'!$Y$2:$Y$201,'Trial Rows'!Y80))</x:f>
      </x:c>
      <x:c r="G80" s="7" t="str">
        <x:f>IF(OR(A80="",E80=0),"",F80/E80)</x:f>
      </x:c>
      <x:c r="H80" s="7" t="str">
        <x:f>IF(OR(A80="",SUMIFS(Calculations!$H$2:$H$201,'Trial Rows'!$B$2:$B$201,'Trial Rows'!B80,'Trial Rows'!$C$2:$C$201,'Trial Rows'!C80,'Trial Rows'!$F$2:$F$201,'Trial Rows'!F80,'Trial Rows'!$Y$2:$Y$201,'Trial Rows'!Y80)=0),"",SUMIFS(Calculations!$I$2:$I$201,'Trial Rows'!$B$2:$B$201,'Trial Rows'!B80,'Trial Rows'!$C$2:$C$201,'Trial Rows'!C80,'Trial Rows'!$F$2:$F$201,'Trial Rows'!F80,'Trial Rows'!$Y$2:$Y$201,'Trial Rows'!Y80)/SUMIFS(Calculations!$H$2:$H$201,'Trial Rows'!$B$2:$B$201,'Trial Rows'!B80,'Trial Rows'!$C$2:$C$201,'Trial Rows'!C80,'Trial Rows'!$F$2:$F$201,'Trial Rows'!F80,'Trial Rows'!$Y$2:$Y$201,'Trial Rows'!Y80))</x:f>
      </x:c>
      <x:c r="I80" s="2" t="str">
        <x:f>IF(AND(A80&lt;&gt;"",COUNTIFS('Trial Rows'!$B$2:$B$201,'Trial Rows'!B80,'Trial Rows'!$C$2:$C$201,'Trial Rows'!C80,'Trial Rows'!$F$2:$F$201,'Trial Rows'!F80,'Trial Rows'!$Y$2:$Y$201,'Trial Rows'!Y80,'Trial Rows'!$G$2:$G$201,"A",Calculations!$R$2:$R$201,"&gt;=0",Calculations!$R$2:$R$201,"&lt;&gt;")=1),SUMIFS(Calculations!$R$2:$R$201,'Trial Rows'!$B$2:$B$201,'Trial Rows'!B80,'Trial Rows'!$C$2:$C$201,'Trial Rows'!C80,'Trial Rows'!$F$2:$F$201,'Trial Rows'!F80,'Trial Rows'!$Y$2:$Y$201,'Trial Rows'!Y80,'Trial Rows'!$G$2:$G$201,"A"),"")</x:f>
      </x:c>
      <x:c r="J80" s="2" t="str">
        <x:f>IF(AND(A80&lt;&gt;"",COUNTIFS('Trial Rows'!$B$2:$B$201,'Trial Rows'!B80,'Trial Rows'!$C$2:$C$201,'Trial Rows'!C80,'Trial Rows'!$F$2:$F$201,'Trial Rows'!F80,'Trial Rows'!$Y$2:$Y$201,'Trial Rows'!Y80,'Trial Rows'!$G$2:$G$201,"B",Calculations!$R$2:$R$201,"&gt;=0",Calculations!$R$2:$R$201,"&lt;&gt;")=1),SUMIFS(Calculations!$R$2:$R$201,'Trial Rows'!$B$2:$B$201,'Trial Rows'!B80,'Trial Rows'!$C$2:$C$201,'Trial Rows'!C80,'Trial Rows'!$F$2:$F$201,'Trial Rows'!F80,'Trial Rows'!$Y$2:$Y$201,'Trial Rows'!Y80,'Trial Rows'!$G$2:$G$201,"B"),"")</x:f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 t="str">
        <x:f>IF(AND(Calculations!B81=1,'Trial Rows'!G81="B",'Trial Rows'!I81=1,Calculations!D81=1),'Trial Rows'!C81,"")</x:f>
      </x:c>
      <x:c r="B81" s="2" t="str">
        <x:f>IF(A81="","",'Trial Rows'!B81)</x:f>
      </x:c>
      <x:c r="C81" s="2" t="str">
        <x:f>IF(A81="","",'Trial Rows'!F81)</x:f>
      </x:c>
      <x:c r="D81" s="2" t="str">
        <x:f>IF(A81="","",'Trial Rows'!H81)</x:f>
      </x:c>
      <x:c r="E81" s="2" t="str">
        <x:f>IF(A81="","",SUMIFS(Calculations!$F$2:$F$201,'Trial Rows'!$B$2:$B$201,'Trial Rows'!B81,'Trial Rows'!$C$2:$C$201,'Trial Rows'!C81,'Trial Rows'!$F$2:$F$201,'Trial Rows'!F81,'Trial Rows'!$Y$2:$Y$201,'Trial Rows'!Y81))</x:f>
      </x:c>
      <x:c r="F81" s="2" t="str">
        <x:f>IF(A81="","",SUMIFS(Calculations!$G$2:$G$201,'Trial Rows'!$B$2:$B$201,'Trial Rows'!B81,'Trial Rows'!$C$2:$C$201,'Trial Rows'!C81,'Trial Rows'!$F$2:$F$201,'Trial Rows'!F81,'Trial Rows'!$Y$2:$Y$201,'Trial Rows'!Y81))</x:f>
      </x:c>
      <x:c r="G81" s="7" t="str">
        <x:f>IF(OR(A81="",E81=0),"",F81/E81)</x:f>
      </x:c>
      <x:c r="H81" s="7" t="str">
        <x:f>IF(OR(A81="",SUMIFS(Calculations!$H$2:$H$201,'Trial Rows'!$B$2:$B$201,'Trial Rows'!B81,'Trial Rows'!$C$2:$C$201,'Trial Rows'!C81,'Trial Rows'!$F$2:$F$201,'Trial Rows'!F81,'Trial Rows'!$Y$2:$Y$201,'Trial Rows'!Y81)=0),"",SUMIFS(Calculations!$I$2:$I$201,'Trial Rows'!$B$2:$B$201,'Trial Rows'!B81,'Trial Rows'!$C$2:$C$201,'Trial Rows'!C81,'Trial Rows'!$F$2:$F$201,'Trial Rows'!F81,'Trial Rows'!$Y$2:$Y$201,'Trial Rows'!Y81)/SUMIFS(Calculations!$H$2:$H$201,'Trial Rows'!$B$2:$B$201,'Trial Rows'!B81,'Trial Rows'!$C$2:$C$201,'Trial Rows'!C81,'Trial Rows'!$F$2:$F$201,'Trial Rows'!F81,'Trial Rows'!$Y$2:$Y$201,'Trial Rows'!Y81))</x:f>
      </x:c>
      <x:c r="I81" s="2" t="str">
        <x:f>IF(AND(A81&lt;&gt;"",COUNTIFS('Trial Rows'!$B$2:$B$201,'Trial Rows'!B81,'Trial Rows'!$C$2:$C$201,'Trial Rows'!C81,'Trial Rows'!$F$2:$F$201,'Trial Rows'!F81,'Trial Rows'!$Y$2:$Y$201,'Trial Rows'!Y81,'Trial Rows'!$G$2:$G$201,"A",Calculations!$R$2:$R$201,"&gt;=0",Calculations!$R$2:$R$201,"&lt;&gt;")=1),SUMIFS(Calculations!$R$2:$R$201,'Trial Rows'!$B$2:$B$201,'Trial Rows'!B81,'Trial Rows'!$C$2:$C$201,'Trial Rows'!C81,'Trial Rows'!$F$2:$F$201,'Trial Rows'!F81,'Trial Rows'!$Y$2:$Y$201,'Trial Rows'!Y81,'Trial Rows'!$G$2:$G$201,"A"),"")</x:f>
      </x:c>
      <x:c r="J81" s="2" t="str">
        <x:f>IF(AND(A81&lt;&gt;"",COUNTIFS('Trial Rows'!$B$2:$B$201,'Trial Rows'!B81,'Trial Rows'!$C$2:$C$201,'Trial Rows'!C81,'Trial Rows'!$F$2:$F$201,'Trial Rows'!F81,'Trial Rows'!$Y$2:$Y$201,'Trial Rows'!Y81,'Trial Rows'!$G$2:$G$201,"B",Calculations!$R$2:$R$201,"&gt;=0",Calculations!$R$2:$R$201,"&lt;&gt;")=1),SUMIFS(Calculations!$R$2:$R$201,'Trial Rows'!$B$2:$B$201,'Trial Rows'!B81,'Trial Rows'!$C$2:$C$201,'Trial Rows'!C81,'Trial Rows'!$F$2:$F$201,'Trial Rows'!F81,'Trial Rows'!$Y$2:$Y$201,'Trial Rows'!Y81,'Trial Rows'!$G$2:$G$201,"B"),"")</x:f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 t="str">
        <x:f>IF(AND(Calculations!B82=1,'Trial Rows'!G82="B",'Trial Rows'!I82=1,Calculations!D82=1),'Trial Rows'!C82,"")</x:f>
      </x:c>
      <x:c r="B82" s="2" t="str">
        <x:f>IF(A82="","",'Trial Rows'!B82)</x:f>
      </x:c>
      <x:c r="C82" s="2" t="str">
        <x:f>IF(A82="","",'Trial Rows'!F82)</x:f>
      </x:c>
      <x:c r="D82" s="2" t="str">
        <x:f>IF(A82="","",'Trial Rows'!H82)</x:f>
      </x:c>
      <x:c r="E82" s="2" t="str">
        <x:f>IF(A82="","",SUMIFS(Calculations!$F$2:$F$201,'Trial Rows'!$B$2:$B$201,'Trial Rows'!B82,'Trial Rows'!$C$2:$C$201,'Trial Rows'!C82,'Trial Rows'!$F$2:$F$201,'Trial Rows'!F82,'Trial Rows'!$Y$2:$Y$201,'Trial Rows'!Y82))</x:f>
      </x:c>
      <x:c r="F82" s="2" t="str">
        <x:f>IF(A82="","",SUMIFS(Calculations!$G$2:$G$201,'Trial Rows'!$B$2:$B$201,'Trial Rows'!B82,'Trial Rows'!$C$2:$C$201,'Trial Rows'!C82,'Trial Rows'!$F$2:$F$201,'Trial Rows'!F82,'Trial Rows'!$Y$2:$Y$201,'Trial Rows'!Y82))</x:f>
      </x:c>
      <x:c r="G82" s="7" t="str">
        <x:f>IF(OR(A82="",E82=0),"",F82/E82)</x:f>
      </x:c>
      <x:c r="H82" s="7" t="str">
        <x:f>IF(OR(A82="",SUMIFS(Calculations!$H$2:$H$201,'Trial Rows'!$B$2:$B$201,'Trial Rows'!B82,'Trial Rows'!$C$2:$C$201,'Trial Rows'!C82,'Trial Rows'!$F$2:$F$201,'Trial Rows'!F82,'Trial Rows'!$Y$2:$Y$201,'Trial Rows'!Y82)=0),"",SUMIFS(Calculations!$I$2:$I$201,'Trial Rows'!$B$2:$B$201,'Trial Rows'!B82,'Trial Rows'!$C$2:$C$201,'Trial Rows'!C82,'Trial Rows'!$F$2:$F$201,'Trial Rows'!F82,'Trial Rows'!$Y$2:$Y$201,'Trial Rows'!Y82)/SUMIFS(Calculations!$H$2:$H$201,'Trial Rows'!$B$2:$B$201,'Trial Rows'!B82,'Trial Rows'!$C$2:$C$201,'Trial Rows'!C82,'Trial Rows'!$F$2:$F$201,'Trial Rows'!F82,'Trial Rows'!$Y$2:$Y$201,'Trial Rows'!Y82))</x:f>
      </x:c>
      <x:c r="I82" s="2" t="str">
        <x:f>IF(AND(A82&lt;&gt;"",COUNTIFS('Trial Rows'!$B$2:$B$201,'Trial Rows'!B82,'Trial Rows'!$C$2:$C$201,'Trial Rows'!C82,'Trial Rows'!$F$2:$F$201,'Trial Rows'!F82,'Trial Rows'!$Y$2:$Y$201,'Trial Rows'!Y82,'Trial Rows'!$G$2:$G$201,"A",Calculations!$R$2:$R$201,"&gt;=0",Calculations!$R$2:$R$201,"&lt;&gt;")=1),SUMIFS(Calculations!$R$2:$R$201,'Trial Rows'!$B$2:$B$201,'Trial Rows'!B82,'Trial Rows'!$C$2:$C$201,'Trial Rows'!C82,'Trial Rows'!$F$2:$F$201,'Trial Rows'!F82,'Trial Rows'!$Y$2:$Y$201,'Trial Rows'!Y82,'Trial Rows'!$G$2:$G$201,"A"),"")</x:f>
      </x:c>
      <x:c r="J82" s="2" t="str">
        <x:f>IF(AND(A82&lt;&gt;"",COUNTIFS('Trial Rows'!$B$2:$B$201,'Trial Rows'!B82,'Trial Rows'!$C$2:$C$201,'Trial Rows'!C82,'Trial Rows'!$F$2:$F$201,'Trial Rows'!F82,'Trial Rows'!$Y$2:$Y$201,'Trial Rows'!Y82,'Trial Rows'!$G$2:$G$201,"B",Calculations!$R$2:$R$201,"&gt;=0",Calculations!$R$2:$R$201,"&lt;&gt;")=1),SUMIFS(Calculations!$R$2:$R$201,'Trial Rows'!$B$2:$B$201,'Trial Rows'!B82,'Trial Rows'!$C$2:$C$201,'Trial Rows'!C82,'Trial Rows'!$F$2:$F$201,'Trial Rows'!F82,'Trial Rows'!$Y$2:$Y$201,'Trial Rows'!Y82,'Trial Rows'!$G$2:$G$201,"B"),"")</x:f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 t="str">
        <x:f>IF(AND(Calculations!B83=1,'Trial Rows'!G83="B",'Trial Rows'!I83=1,Calculations!D83=1),'Trial Rows'!C83,"")</x:f>
      </x:c>
      <x:c r="B83" s="2" t="str">
        <x:f>IF(A83="","",'Trial Rows'!B83)</x:f>
      </x:c>
      <x:c r="C83" s="2" t="str">
        <x:f>IF(A83="","",'Trial Rows'!F83)</x:f>
      </x:c>
      <x:c r="D83" s="2" t="str">
        <x:f>IF(A83="","",'Trial Rows'!H83)</x:f>
      </x:c>
      <x:c r="E83" s="2" t="str">
        <x:f>IF(A83="","",SUMIFS(Calculations!$F$2:$F$201,'Trial Rows'!$B$2:$B$201,'Trial Rows'!B83,'Trial Rows'!$C$2:$C$201,'Trial Rows'!C83,'Trial Rows'!$F$2:$F$201,'Trial Rows'!F83,'Trial Rows'!$Y$2:$Y$201,'Trial Rows'!Y83))</x:f>
      </x:c>
      <x:c r="F83" s="2" t="str">
        <x:f>IF(A83="","",SUMIFS(Calculations!$G$2:$G$201,'Trial Rows'!$B$2:$B$201,'Trial Rows'!B83,'Trial Rows'!$C$2:$C$201,'Trial Rows'!C83,'Trial Rows'!$F$2:$F$201,'Trial Rows'!F83,'Trial Rows'!$Y$2:$Y$201,'Trial Rows'!Y83))</x:f>
      </x:c>
      <x:c r="G83" s="7" t="str">
        <x:f>IF(OR(A83="",E83=0),"",F83/E83)</x:f>
      </x:c>
      <x:c r="H83" s="7" t="str">
        <x:f>IF(OR(A83="",SUMIFS(Calculations!$H$2:$H$201,'Trial Rows'!$B$2:$B$201,'Trial Rows'!B83,'Trial Rows'!$C$2:$C$201,'Trial Rows'!C83,'Trial Rows'!$F$2:$F$201,'Trial Rows'!F83,'Trial Rows'!$Y$2:$Y$201,'Trial Rows'!Y83)=0),"",SUMIFS(Calculations!$I$2:$I$201,'Trial Rows'!$B$2:$B$201,'Trial Rows'!B83,'Trial Rows'!$C$2:$C$201,'Trial Rows'!C83,'Trial Rows'!$F$2:$F$201,'Trial Rows'!F83,'Trial Rows'!$Y$2:$Y$201,'Trial Rows'!Y83)/SUMIFS(Calculations!$H$2:$H$201,'Trial Rows'!$B$2:$B$201,'Trial Rows'!B83,'Trial Rows'!$C$2:$C$201,'Trial Rows'!C83,'Trial Rows'!$F$2:$F$201,'Trial Rows'!F83,'Trial Rows'!$Y$2:$Y$201,'Trial Rows'!Y83))</x:f>
      </x:c>
      <x:c r="I83" s="2" t="str">
        <x:f>IF(AND(A83&lt;&gt;"",COUNTIFS('Trial Rows'!$B$2:$B$201,'Trial Rows'!B83,'Trial Rows'!$C$2:$C$201,'Trial Rows'!C83,'Trial Rows'!$F$2:$F$201,'Trial Rows'!F83,'Trial Rows'!$Y$2:$Y$201,'Trial Rows'!Y83,'Trial Rows'!$G$2:$G$201,"A",Calculations!$R$2:$R$201,"&gt;=0",Calculations!$R$2:$R$201,"&lt;&gt;")=1),SUMIFS(Calculations!$R$2:$R$201,'Trial Rows'!$B$2:$B$201,'Trial Rows'!B83,'Trial Rows'!$C$2:$C$201,'Trial Rows'!C83,'Trial Rows'!$F$2:$F$201,'Trial Rows'!F83,'Trial Rows'!$Y$2:$Y$201,'Trial Rows'!Y83,'Trial Rows'!$G$2:$G$201,"A"),"")</x:f>
      </x:c>
      <x:c r="J83" s="2" t="str">
        <x:f>IF(AND(A83&lt;&gt;"",COUNTIFS('Trial Rows'!$B$2:$B$201,'Trial Rows'!B83,'Trial Rows'!$C$2:$C$201,'Trial Rows'!C83,'Trial Rows'!$F$2:$F$201,'Trial Rows'!F83,'Trial Rows'!$Y$2:$Y$201,'Trial Rows'!Y83,'Trial Rows'!$G$2:$G$201,"B",Calculations!$R$2:$R$201,"&gt;=0",Calculations!$R$2:$R$201,"&lt;&gt;")=1),SUMIFS(Calculations!$R$2:$R$201,'Trial Rows'!$B$2:$B$201,'Trial Rows'!B83,'Trial Rows'!$C$2:$C$201,'Trial Rows'!C83,'Trial Rows'!$F$2:$F$201,'Trial Rows'!F83,'Trial Rows'!$Y$2:$Y$201,'Trial Rows'!Y83,'Trial Rows'!$G$2:$G$201,"B"),"")</x:f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 t="str">
        <x:f>IF(AND(Calculations!B84=1,'Trial Rows'!G84="B",'Trial Rows'!I84=1,Calculations!D84=1),'Trial Rows'!C84,"")</x:f>
      </x:c>
      <x:c r="B84" s="2" t="str">
        <x:f>IF(A84="","",'Trial Rows'!B84)</x:f>
      </x:c>
      <x:c r="C84" s="2" t="str">
        <x:f>IF(A84="","",'Trial Rows'!F84)</x:f>
      </x:c>
      <x:c r="D84" s="2" t="str">
        <x:f>IF(A84="","",'Trial Rows'!H84)</x:f>
      </x:c>
      <x:c r="E84" s="2" t="str">
        <x:f>IF(A84="","",SUMIFS(Calculations!$F$2:$F$201,'Trial Rows'!$B$2:$B$201,'Trial Rows'!B84,'Trial Rows'!$C$2:$C$201,'Trial Rows'!C84,'Trial Rows'!$F$2:$F$201,'Trial Rows'!F84,'Trial Rows'!$Y$2:$Y$201,'Trial Rows'!Y84))</x:f>
      </x:c>
      <x:c r="F84" s="2" t="str">
        <x:f>IF(A84="","",SUMIFS(Calculations!$G$2:$G$201,'Trial Rows'!$B$2:$B$201,'Trial Rows'!B84,'Trial Rows'!$C$2:$C$201,'Trial Rows'!C84,'Trial Rows'!$F$2:$F$201,'Trial Rows'!F84,'Trial Rows'!$Y$2:$Y$201,'Trial Rows'!Y84))</x:f>
      </x:c>
      <x:c r="G84" s="7" t="str">
        <x:f>IF(OR(A84="",E84=0),"",F84/E84)</x:f>
      </x:c>
      <x:c r="H84" s="7" t="str">
        <x:f>IF(OR(A84="",SUMIFS(Calculations!$H$2:$H$201,'Trial Rows'!$B$2:$B$201,'Trial Rows'!B84,'Trial Rows'!$C$2:$C$201,'Trial Rows'!C84,'Trial Rows'!$F$2:$F$201,'Trial Rows'!F84,'Trial Rows'!$Y$2:$Y$201,'Trial Rows'!Y84)=0),"",SUMIFS(Calculations!$I$2:$I$201,'Trial Rows'!$B$2:$B$201,'Trial Rows'!B84,'Trial Rows'!$C$2:$C$201,'Trial Rows'!C84,'Trial Rows'!$F$2:$F$201,'Trial Rows'!F84,'Trial Rows'!$Y$2:$Y$201,'Trial Rows'!Y84)/SUMIFS(Calculations!$H$2:$H$201,'Trial Rows'!$B$2:$B$201,'Trial Rows'!B84,'Trial Rows'!$C$2:$C$201,'Trial Rows'!C84,'Trial Rows'!$F$2:$F$201,'Trial Rows'!F84,'Trial Rows'!$Y$2:$Y$201,'Trial Rows'!Y84))</x:f>
      </x:c>
      <x:c r="I84" s="2" t="str">
        <x:f>IF(AND(A84&lt;&gt;"",COUNTIFS('Trial Rows'!$B$2:$B$201,'Trial Rows'!B84,'Trial Rows'!$C$2:$C$201,'Trial Rows'!C84,'Trial Rows'!$F$2:$F$201,'Trial Rows'!F84,'Trial Rows'!$Y$2:$Y$201,'Trial Rows'!Y84,'Trial Rows'!$G$2:$G$201,"A",Calculations!$R$2:$R$201,"&gt;=0",Calculations!$R$2:$R$201,"&lt;&gt;")=1),SUMIFS(Calculations!$R$2:$R$201,'Trial Rows'!$B$2:$B$201,'Trial Rows'!B84,'Trial Rows'!$C$2:$C$201,'Trial Rows'!C84,'Trial Rows'!$F$2:$F$201,'Trial Rows'!F84,'Trial Rows'!$Y$2:$Y$201,'Trial Rows'!Y84,'Trial Rows'!$G$2:$G$201,"A"),"")</x:f>
      </x:c>
      <x:c r="J84" s="2" t="str">
        <x:f>IF(AND(A84&lt;&gt;"",COUNTIFS('Trial Rows'!$B$2:$B$201,'Trial Rows'!B84,'Trial Rows'!$C$2:$C$201,'Trial Rows'!C84,'Trial Rows'!$F$2:$F$201,'Trial Rows'!F84,'Trial Rows'!$Y$2:$Y$201,'Trial Rows'!Y84,'Trial Rows'!$G$2:$G$201,"B",Calculations!$R$2:$R$201,"&gt;=0",Calculations!$R$2:$R$201,"&lt;&gt;")=1),SUMIFS(Calculations!$R$2:$R$201,'Trial Rows'!$B$2:$B$201,'Trial Rows'!B84,'Trial Rows'!$C$2:$C$201,'Trial Rows'!C84,'Trial Rows'!$F$2:$F$201,'Trial Rows'!F84,'Trial Rows'!$Y$2:$Y$201,'Trial Rows'!Y84,'Trial Rows'!$G$2:$G$201,"B"),"")</x:f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 t="str">
        <x:f>IF(AND(Calculations!B85=1,'Trial Rows'!G85="B",'Trial Rows'!I85=1,Calculations!D85=1),'Trial Rows'!C85,"")</x:f>
      </x:c>
      <x:c r="B85" s="2" t="str">
        <x:f>IF(A85="","",'Trial Rows'!B85)</x:f>
      </x:c>
      <x:c r="C85" s="2" t="str">
        <x:f>IF(A85="","",'Trial Rows'!F85)</x:f>
      </x:c>
      <x:c r="D85" s="2" t="str">
        <x:f>IF(A85="","",'Trial Rows'!H85)</x:f>
      </x:c>
      <x:c r="E85" s="2" t="str">
        <x:f>IF(A85="","",SUMIFS(Calculations!$F$2:$F$201,'Trial Rows'!$B$2:$B$201,'Trial Rows'!B85,'Trial Rows'!$C$2:$C$201,'Trial Rows'!C85,'Trial Rows'!$F$2:$F$201,'Trial Rows'!F85,'Trial Rows'!$Y$2:$Y$201,'Trial Rows'!Y85))</x:f>
      </x:c>
      <x:c r="F85" s="2" t="str">
        <x:f>IF(A85="","",SUMIFS(Calculations!$G$2:$G$201,'Trial Rows'!$B$2:$B$201,'Trial Rows'!B85,'Trial Rows'!$C$2:$C$201,'Trial Rows'!C85,'Trial Rows'!$F$2:$F$201,'Trial Rows'!F85,'Trial Rows'!$Y$2:$Y$201,'Trial Rows'!Y85))</x:f>
      </x:c>
      <x:c r="G85" s="7" t="str">
        <x:f>IF(OR(A85="",E85=0),"",F85/E85)</x:f>
      </x:c>
      <x:c r="H85" s="7" t="str">
        <x:f>IF(OR(A85="",SUMIFS(Calculations!$H$2:$H$201,'Trial Rows'!$B$2:$B$201,'Trial Rows'!B85,'Trial Rows'!$C$2:$C$201,'Trial Rows'!C85,'Trial Rows'!$F$2:$F$201,'Trial Rows'!F85,'Trial Rows'!$Y$2:$Y$201,'Trial Rows'!Y85)=0),"",SUMIFS(Calculations!$I$2:$I$201,'Trial Rows'!$B$2:$B$201,'Trial Rows'!B85,'Trial Rows'!$C$2:$C$201,'Trial Rows'!C85,'Trial Rows'!$F$2:$F$201,'Trial Rows'!F85,'Trial Rows'!$Y$2:$Y$201,'Trial Rows'!Y85)/SUMIFS(Calculations!$H$2:$H$201,'Trial Rows'!$B$2:$B$201,'Trial Rows'!B85,'Trial Rows'!$C$2:$C$201,'Trial Rows'!C85,'Trial Rows'!$F$2:$F$201,'Trial Rows'!F85,'Trial Rows'!$Y$2:$Y$201,'Trial Rows'!Y85))</x:f>
      </x:c>
      <x:c r="I85" s="2" t="str">
        <x:f>IF(AND(A85&lt;&gt;"",COUNTIFS('Trial Rows'!$B$2:$B$201,'Trial Rows'!B85,'Trial Rows'!$C$2:$C$201,'Trial Rows'!C85,'Trial Rows'!$F$2:$F$201,'Trial Rows'!F85,'Trial Rows'!$Y$2:$Y$201,'Trial Rows'!Y85,'Trial Rows'!$G$2:$G$201,"A",Calculations!$R$2:$R$201,"&gt;=0",Calculations!$R$2:$R$201,"&lt;&gt;")=1),SUMIFS(Calculations!$R$2:$R$201,'Trial Rows'!$B$2:$B$201,'Trial Rows'!B85,'Trial Rows'!$C$2:$C$201,'Trial Rows'!C85,'Trial Rows'!$F$2:$F$201,'Trial Rows'!F85,'Trial Rows'!$Y$2:$Y$201,'Trial Rows'!Y85,'Trial Rows'!$G$2:$G$201,"A"),"")</x:f>
      </x:c>
      <x:c r="J85" s="2" t="str">
        <x:f>IF(AND(A85&lt;&gt;"",COUNTIFS('Trial Rows'!$B$2:$B$201,'Trial Rows'!B85,'Trial Rows'!$C$2:$C$201,'Trial Rows'!C85,'Trial Rows'!$F$2:$F$201,'Trial Rows'!F85,'Trial Rows'!$Y$2:$Y$201,'Trial Rows'!Y85,'Trial Rows'!$G$2:$G$201,"B",Calculations!$R$2:$R$201,"&gt;=0",Calculations!$R$2:$R$201,"&lt;&gt;")=1),SUMIFS(Calculations!$R$2:$R$201,'Trial Rows'!$B$2:$B$201,'Trial Rows'!B85,'Trial Rows'!$C$2:$C$201,'Trial Rows'!C85,'Trial Rows'!$F$2:$F$201,'Trial Rows'!F85,'Trial Rows'!$Y$2:$Y$201,'Trial Rows'!Y85,'Trial Rows'!$G$2:$G$201,"B"),"")</x:f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 t="str">
        <x:f>IF(AND(Calculations!B86=1,'Trial Rows'!G86="B",'Trial Rows'!I86=1,Calculations!D86=1),'Trial Rows'!C86,"")</x:f>
      </x:c>
      <x:c r="B86" s="2" t="str">
        <x:f>IF(A86="","",'Trial Rows'!B86)</x:f>
      </x:c>
      <x:c r="C86" s="2" t="str">
        <x:f>IF(A86="","",'Trial Rows'!F86)</x:f>
      </x:c>
      <x:c r="D86" s="2" t="str">
        <x:f>IF(A86="","",'Trial Rows'!H86)</x:f>
      </x:c>
      <x:c r="E86" s="2" t="str">
        <x:f>IF(A86="","",SUMIFS(Calculations!$F$2:$F$201,'Trial Rows'!$B$2:$B$201,'Trial Rows'!B86,'Trial Rows'!$C$2:$C$201,'Trial Rows'!C86,'Trial Rows'!$F$2:$F$201,'Trial Rows'!F86,'Trial Rows'!$Y$2:$Y$201,'Trial Rows'!Y86))</x:f>
      </x:c>
      <x:c r="F86" s="2" t="str">
        <x:f>IF(A86="","",SUMIFS(Calculations!$G$2:$G$201,'Trial Rows'!$B$2:$B$201,'Trial Rows'!B86,'Trial Rows'!$C$2:$C$201,'Trial Rows'!C86,'Trial Rows'!$F$2:$F$201,'Trial Rows'!F86,'Trial Rows'!$Y$2:$Y$201,'Trial Rows'!Y86))</x:f>
      </x:c>
      <x:c r="G86" s="7" t="str">
        <x:f>IF(OR(A86="",E86=0),"",F86/E86)</x:f>
      </x:c>
      <x:c r="H86" s="7" t="str">
        <x:f>IF(OR(A86="",SUMIFS(Calculations!$H$2:$H$201,'Trial Rows'!$B$2:$B$201,'Trial Rows'!B86,'Trial Rows'!$C$2:$C$201,'Trial Rows'!C86,'Trial Rows'!$F$2:$F$201,'Trial Rows'!F86,'Trial Rows'!$Y$2:$Y$201,'Trial Rows'!Y86)=0),"",SUMIFS(Calculations!$I$2:$I$201,'Trial Rows'!$B$2:$B$201,'Trial Rows'!B86,'Trial Rows'!$C$2:$C$201,'Trial Rows'!C86,'Trial Rows'!$F$2:$F$201,'Trial Rows'!F86,'Trial Rows'!$Y$2:$Y$201,'Trial Rows'!Y86)/SUMIFS(Calculations!$H$2:$H$201,'Trial Rows'!$B$2:$B$201,'Trial Rows'!B86,'Trial Rows'!$C$2:$C$201,'Trial Rows'!C86,'Trial Rows'!$F$2:$F$201,'Trial Rows'!F86,'Trial Rows'!$Y$2:$Y$201,'Trial Rows'!Y86))</x:f>
      </x:c>
      <x:c r="I86" s="2" t="str">
        <x:f>IF(AND(A86&lt;&gt;"",COUNTIFS('Trial Rows'!$B$2:$B$201,'Trial Rows'!B86,'Trial Rows'!$C$2:$C$201,'Trial Rows'!C86,'Trial Rows'!$F$2:$F$201,'Trial Rows'!F86,'Trial Rows'!$Y$2:$Y$201,'Trial Rows'!Y86,'Trial Rows'!$G$2:$G$201,"A",Calculations!$R$2:$R$201,"&gt;=0",Calculations!$R$2:$R$201,"&lt;&gt;")=1),SUMIFS(Calculations!$R$2:$R$201,'Trial Rows'!$B$2:$B$201,'Trial Rows'!B86,'Trial Rows'!$C$2:$C$201,'Trial Rows'!C86,'Trial Rows'!$F$2:$F$201,'Trial Rows'!F86,'Trial Rows'!$Y$2:$Y$201,'Trial Rows'!Y86,'Trial Rows'!$G$2:$G$201,"A"),"")</x:f>
      </x:c>
      <x:c r="J86" s="2" t="str">
        <x:f>IF(AND(A86&lt;&gt;"",COUNTIFS('Trial Rows'!$B$2:$B$201,'Trial Rows'!B86,'Trial Rows'!$C$2:$C$201,'Trial Rows'!C86,'Trial Rows'!$F$2:$F$201,'Trial Rows'!F86,'Trial Rows'!$Y$2:$Y$201,'Trial Rows'!Y86,'Trial Rows'!$G$2:$G$201,"B",Calculations!$R$2:$R$201,"&gt;=0",Calculations!$R$2:$R$201,"&lt;&gt;")=1),SUMIFS(Calculations!$R$2:$R$201,'Trial Rows'!$B$2:$B$201,'Trial Rows'!B86,'Trial Rows'!$C$2:$C$201,'Trial Rows'!C86,'Trial Rows'!$F$2:$F$201,'Trial Rows'!F86,'Trial Rows'!$Y$2:$Y$201,'Trial Rows'!Y86,'Trial Rows'!$G$2:$G$201,"B"),"")</x:f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 t="str">
        <x:f>IF(AND(Calculations!B87=1,'Trial Rows'!G87="B",'Trial Rows'!I87=1,Calculations!D87=1),'Trial Rows'!C87,"")</x:f>
      </x:c>
      <x:c r="B87" s="2" t="str">
        <x:f>IF(A87="","",'Trial Rows'!B87)</x:f>
      </x:c>
      <x:c r="C87" s="2" t="str">
        <x:f>IF(A87="","",'Trial Rows'!F87)</x:f>
      </x:c>
      <x:c r="D87" s="2" t="str">
        <x:f>IF(A87="","",'Trial Rows'!H87)</x:f>
      </x:c>
      <x:c r="E87" s="2" t="str">
        <x:f>IF(A87="","",SUMIFS(Calculations!$F$2:$F$201,'Trial Rows'!$B$2:$B$201,'Trial Rows'!B87,'Trial Rows'!$C$2:$C$201,'Trial Rows'!C87,'Trial Rows'!$F$2:$F$201,'Trial Rows'!F87,'Trial Rows'!$Y$2:$Y$201,'Trial Rows'!Y87))</x:f>
      </x:c>
      <x:c r="F87" s="2" t="str">
        <x:f>IF(A87="","",SUMIFS(Calculations!$G$2:$G$201,'Trial Rows'!$B$2:$B$201,'Trial Rows'!B87,'Trial Rows'!$C$2:$C$201,'Trial Rows'!C87,'Trial Rows'!$F$2:$F$201,'Trial Rows'!F87,'Trial Rows'!$Y$2:$Y$201,'Trial Rows'!Y87))</x:f>
      </x:c>
      <x:c r="G87" s="7" t="str">
        <x:f>IF(OR(A87="",E87=0),"",F87/E87)</x:f>
      </x:c>
      <x:c r="H87" s="7" t="str">
        <x:f>IF(OR(A87="",SUMIFS(Calculations!$H$2:$H$201,'Trial Rows'!$B$2:$B$201,'Trial Rows'!B87,'Trial Rows'!$C$2:$C$201,'Trial Rows'!C87,'Trial Rows'!$F$2:$F$201,'Trial Rows'!F87,'Trial Rows'!$Y$2:$Y$201,'Trial Rows'!Y87)=0),"",SUMIFS(Calculations!$I$2:$I$201,'Trial Rows'!$B$2:$B$201,'Trial Rows'!B87,'Trial Rows'!$C$2:$C$201,'Trial Rows'!C87,'Trial Rows'!$F$2:$F$201,'Trial Rows'!F87,'Trial Rows'!$Y$2:$Y$201,'Trial Rows'!Y87)/SUMIFS(Calculations!$H$2:$H$201,'Trial Rows'!$B$2:$B$201,'Trial Rows'!B87,'Trial Rows'!$C$2:$C$201,'Trial Rows'!C87,'Trial Rows'!$F$2:$F$201,'Trial Rows'!F87,'Trial Rows'!$Y$2:$Y$201,'Trial Rows'!Y87))</x:f>
      </x:c>
      <x:c r="I87" s="2" t="str">
        <x:f>IF(AND(A87&lt;&gt;"",COUNTIFS('Trial Rows'!$B$2:$B$201,'Trial Rows'!B87,'Trial Rows'!$C$2:$C$201,'Trial Rows'!C87,'Trial Rows'!$F$2:$F$201,'Trial Rows'!F87,'Trial Rows'!$Y$2:$Y$201,'Trial Rows'!Y87,'Trial Rows'!$G$2:$G$201,"A",Calculations!$R$2:$R$201,"&gt;=0",Calculations!$R$2:$R$201,"&lt;&gt;")=1),SUMIFS(Calculations!$R$2:$R$201,'Trial Rows'!$B$2:$B$201,'Trial Rows'!B87,'Trial Rows'!$C$2:$C$201,'Trial Rows'!C87,'Trial Rows'!$F$2:$F$201,'Trial Rows'!F87,'Trial Rows'!$Y$2:$Y$201,'Trial Rows'!Y87,'Trial Rows'!$G$2:$G$201,"A"),"")</x:f>
      </x:c>
      <x:c r="J87" s="2" t="str">
        <x:f>IF(AND(A87&lt;&gt;"",COUNTIFS('Trial Rows'!$B$2:$B$201,'Trial Rows'!B87,'Trial Rows'!$C$2:$C$201,'Trial Rows'!C87,'Trial Rows'!$F$2:$F$201,'Trial Rows'!F87,'Trial Rows'!$Y$2:$Y$201,'Trial Rows'!Y87,'Trial Rows'!$G$2:$G$201,"B",Calculations!$R$2:$R$201,"&gt;=0",Calculations!$R$2:$R$201,"&lt;&gt;")=1),SUMIFS(Calculations!$R$2:$R$201,'Trial Rows'!$B$2:$B$201,'Trial Rows'!B87,'Trial Rows'!$C$2:$C$201,'Trial Rows'!C87,'Trial Rows'!$F$2:$F$201,'Trial Rows'!F87,'Trial Rows'!$Y$2:$Y$201,'Trial Rows'!Y87,'Trial Rows'!$G$2:$G$201,"B"),"")</x:f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 t="str">
        <x:f>IF(AND(Calculations!B88=1,'Trial Rows'!G88="B",'Trial Rows'!I88=1,Calculations!D88=1),'Trial Rows'!C88,"")</x:f>
      </x:c>
      <x:c r="B88" s="2" t="str">
        <x:f>IF(A88="","",'Trial Rows'!B88)</x:f>
      </x:c>
      <x:c r="C88" s="2" t="str">
        <x:f>IF(A88="","",'Trial Rows'!F88)</x:f>
      </x:c>
      <x:c r="D88" s="2" t="str">
        <x:f>IF(A88="","",'Trial Rows'!H88)</x:f>
      </x:c>
      <x:c r="E88" s="2" t="str">
        <x:f>IF(A88="","",SUMIFS(Calculations!$F$2:$F$201,'Trial Rows'!$B$2:$B$201,'Trial Rows'!B88,'Trial Rows'!$C$2:$C$201,'Trial Rows'!C88,'Trial Rows'!$F$2:$F$201,'Trial Rows'!F88,'Trial Rows'!$Y$2:$Y$201,'Trial Rows'!Y88))</x:f>
      </x:c>
      <x:c r="F88" s="2" t="str">
        <x:f>IF(A88="","",SUMIFS(Calculations!$G$2:$G$201,'Trial Rows'!$B$2:$B$201,'Trial Rows'!B88,'Trial Rows'!$C$2:$C$201,'Trial Rows'!C88,'Trial Rows'!$F$2:$F$201,'Trial Rows'!F88,'Trial Rows'!$Y$2:$Y$201,'Trial Rows'!Y88))</x:f>
      </x:c>
      <x:c r="G88" s="7" t="str">
        <x:f>IF(OR(A88="",E88=0),"",F88/E88)</x:f>
      </x:c>
      <x:c r="H88" s="7" t="str">
        <x:f>IF(OR(A88="",SUMIFS(Calculations!$H$2:$H$201,'Trial Rows'!$B$2:$B$201,'Trial Rows'!B88,'Trial Rows'!$C$2:$C$201,'Trial Rows'!C88,'Trial Rows'!$F$2:$F$201,'Trial Rows'!F88,'Trial Rows'!$Y$2:$Y$201,'Trial Rows'!Y88)=0),"",SUMIFS(Calculations!$I$2:$I$201,'Trial Rows'!$B$2:$B$201,'Trial Rows'!B88,'Trial Rows'!$C$2:$C$201,'Trial Rows'!C88,'Trial Rows'!$F$2:$F$201,'Trial Rows'!F88,'Trial Rows'!$Y$2:$Y$201,'Trial Rows'!Y88)/SUMIFS(Calculations!$H$2:$H$201,'Trial Rows'!$B$2:$B$201,'Trial Rows'!B88,'Trial Rows'!$C$2:$C$201,'Trial Rows'!C88,'Trial Rows'!$F$2:$F$201,'Trial Rows'!F88,'Trial Rows'!$Y$2:$Y$201,'Trial Rows'!Y88))</x:f>
      </x:c>
      <x:c r="I88" s="2" t="str">
        <x:f>IF(AND(A88&lt;&gt;"",COUNTIFS('Trial Rows'!$B$2:$B$201,'Trial Rows'!B88,'Trial Rows'!$C$2:$C$201,'Trial Rows'!C88,'Trial Rows'!$F$2:$F$201,'Trial Rows'!F88,'Trial Rows'!$Y$2:$Y$201,'Trial Rows'!Y88,'Trial Rows'!$G$2:$G$201,"A",Calculations!$R$2:$R$201,"&gt;=0",Calculations!$R$2:$R$201,"&lt;&gt;")=1),SUMIFS(Calculations!$R$2:$R$201,'Trial Rows'!$B$2:$B$201,'Trial Rows'!B88,'Trial Rows'!$C$2:$C$201,'Trial Rows'!C88,'Trial Rows'!$F$2:$F$201,'Trial Rows'!F88,'Trial Rows'!$Y$2:$Y$201,'Trial Rows'!Y88,'Trial Rows'!$G$2:$G$201,"A"),"")</x:f>
      </x:c>
      <x:c r="J88" s="2" t="str">
        <x:f>IF(AND(A88&lt;&gt;"",COUNTIFS('Trial Rows'!$B$2:$B$201,'Trial Rows'!B88,'Trial Rows'!$C$2:$C$201,'Trial Rows'!C88,'Trial Rows'!$F$2:$F$201,'Trial Rows'!F88,'Trial Rows'!$Y$2:$Y$201,'Trial Rows'!Y88,'Trial Rows'!$G$2:$G$201,"B",Calculations!$R$2:$R$201,"&gt;=0",Calculations!$R$2:$R$201,"&lt;&gt;")=1),SUMIFS(Calculations!$R$2:$R$201,'Trial Rows'!$B$2:$B$201,'Trial Rows'!B88,'Trial Rows'!$C$2:$C$201,'Trial Rows'!C88,'Trial Rows'!$F$2:$F$201,'Trial Rows'!F88,'Trial Rows'!$Y$2:$Y$201,'Trial Rows'!Y88,'Trial Rows'!$G$2:$G$201,"B"),"")</x:f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 t="str">
        <x:f>IF(AND(Calculations!B89=1,'Trial Rows'!G89="B",'Trial Rows'!I89=1,Calculations!D89=1),'Trial Rows'!C89,"")</x:f>
      </x:c>
      <x:c r="B89" s="2" t="str">
        <x:f>IF(A89="","",'Trial Rows'!B89)</x:f>
      </x:c>
      <x:c r="C89" s="2" t="str">
        <x:f>IF(A89="","",'Trial Rows'!F89)</x:f>
      </x:c>
      <x:c r="D89" s="2" t="str">
        <x:f>IF(A89="","",'Trial Rows'!H89)</x:f>
      </x:c>
      <x:c r="E89" s="2" t="str">
        <x:f>IF(A89="","",SUMIFS(Calculations!$F$2:$F$201,'Trial Rows'!$B$2:$B$201,'Trial Rows'!B89,'Trial Rows'!$C$2:$C$201,'Trial Rows'!C89,'Trial Rows'!$F$2:$F$201,'Trial Rows'!F89,'Trial Rows'!$Y$2:$Y$201,'Trial Rows'!Y89))</x:f>
      </x:c>
      <x:c r="F89" s="2" t="str">
        <x:f>IF(A89="","",SUMIFS(Calculations!$G$2:$G$201,'Trial Rows'!$B$2:$B$201,'Trial Rows'!B89,'Trial Rows'!$C$2:$C$201,'Trial Rows'!C89,'Trial Rows'!$F$2:$F$201,'Trial Rows'!F89,'Trial Rows'!$Y$2:$Y$201,'Trial Rows'!Y89))</x:f>
      </x:c>
      <x:c r="G89" s="7" t="str">
        <x:f>IF(OR(A89="",E89=0),"",F89/E89)</x:f>
      </x:c>
      <x:c r="H89" s="7" t="str">
        <x:f>IF(OR(A89="",SUMIFS(Calculations!$H$2:$H$201,'Trial Rows'!$B$2:$B$201,'Trial Rows'!B89,'Trial Rows'!$C$2:$C$201,'Trial Rows'!C89,'Trial Rows'!$F$2:$F$201,'Trial Rows'!F89,'Trial Rows'!$Y$2:$Y$201,'Trial Rows'!Y89)=0),"",SUMIFS(Calculations!$I$2:$I$201,'Trial Rows'!$B$2:$B$201,'Trial Rows'!B89,'Trial Rows'!$C$2:$C$201,'Trial Rows'!C89,'Trial Rows'!$F$2:$F$201,'Trial Rows'!F89,'Trial Rows'!$Y$2:$Y$201,'Trial Rows'!Y89)/SUMIFS(Calculations!$H$2:$H$201,'Trial Rows'!$B$2:$B$201,'Trial Rows'!B89,'Trial Rows'!$C$2:$C$201,'Trial Rows'!C89,'Trial Rows'!$F$2:$F$201,'Trial Rows'!F89,'Trial Rows'!$Y$2:$Y$201,'Trial Rows'!Y89))</x:f>
      </x:c>
      <x:c r="I89" s="2" t="str">
        <x:f>IF(AND(A89&lt;&gt;"",COUNTIFS('Trial Rows'!$B$2:$B$201,'Trial Rows'!B89,'Trial Rows'!$C$2:$C$201,'Trial Rows'!C89,'Trial Rows'!$F$2:$F$201,'Trial Rows'!F89,'Trial Rows'!$Y$2:$Y$201,'Trial Rows'!Y89,'Trial Rows'!$G$2:$G$201,"A",Calculations!$R$2:$R$201,"&gt;=0",Calculations!$R$2:$R$201,"&lt;&gt;")=1),SUMIFS(Calculations!$R$2:$R$201,'Trial Rows'!$B$2:$B$201,'Trial Rows'!B89,'Trial Rows'!$C$2:$C$201,'Trial Rows'!C89,'Trial Rows'!$F$2:$F$201,'Trial Rows'!F89,'Trial Rows'!$Y$2:$Y$201,'Trial Rows'!Y89,'Trial Rows'!$G$2:$G$201,"A"),"")</x:f>
      </x:c>
      <x:c r="J89" s="2" t="str">
        <x:f>IF(AND(A89&lt;&gt;"",COUNTIFS('Trial Rows'!$B$2:$B$201,'Trial Rows'!B89,'Trial Rows'!$C$2:$C$201,'Trial Rows'!C89,'Trial Rows'!$F$2:$F$201,'Trial Rows'!F89,'Trial Rows'!$Y$2:$Y$201,'Trial Rows'!Y89,'Trial Rows'!$G$2:$G$201,"B",Calculations!$R$2:$R$201,"&gt;=0",Calculations!$R$2:$R$201,"&lt;&gt;")=1),SUMIFS(Calculations!$R$2:$R$201,'Trial Rows'!$B$2:$B$201,'Trial Rows'!B89,'Trial Rows'!$C$2:$C$201,'Trial Rows'!C89,'Trial Rows'!$F$2:$F$201,'Trial Rows'!F89,'Trial Rows'!$Y$2:$Y$201,'Trial Rows'!Y89,'Trial Rows'!$G$2:$G$201,"B"),"")</x:f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 t="str">
        <x:f>IF(AND(Calculations!B90=1,'Trial Rows'!G90="B",'Trial Rows'!I90=1,Calculations!D90=1),'Trial Rows'!C90,"")</x:f>
      </x:c>
      <x:c r="B90" s="2" t="str">
        <x:f>IF(A90="","",'Trial Rows'!B90)</x:f>
      </x:c>
      <x:c r="C90" s="2" t="str">
        <x:f>IF(A90="","",'Trial Rows'!F90)</x:f>
      </x:c>
      <x:c r="D90" s="2" t="str">
        <x:f>IF(A90="","",'Trial Rows'!H90)</x:f>
      </x:c>
      <x:c r="E90" s="2" t="str">
        <x:f>IF(A90="","",SUMIFS(Calculations!$F$2:$F$201,'Trial Rows'!$B$2:$B$201,'Trial Rows'!B90,'Trial Rows'!$C$2:$C$201,'Trial Rows'!C90,'Trial Rows'!$F$2:$F$201,'Trial Rows'!F90,'Trial Rows'!$Y$2:$Y$201,'Trial Rows'!Y90))</x:f>
      </x:c>
      <x:c r="F90" s="2" t="str">
        <x:f>IF(A90="","",SUMIFS(Calculations!$G$2:$G$201,'Trial Rows'!$B$2:$B$201,'Trial Rows'!B90,'Trial Rows'!$C$2:$C$201,'Trial Rows'!C90,'Trial Rows'!$F$2:$F$201,'Trial Rows'!F90,'Trial Rows'!$Y$2:$Y$201,'Trial Rows'!Y90))</x:f>
      </x:c>
      <x:c r="G90" s="7" t="str">
        <x:f>IF(OR(A90="",E90=0),"",F90/E90)</x:f>
      </x:c>
      <x:c r="H90" s="7" t="str">
        <x:f>IF(OR(A90="",SUMIFS(Calculations!$H$2:$H$201,'Trial Rows'!$B$2:$B$201,'Trial Rows'!B90,'Trial Rows'!$C$2:$C$201,'Trial Rows'!C90,'Trial Rows'!$F$2:$F$201,'Trial Rows'!F90,'Trial Rows'!$Y$2:$Y$201,'Trial Rows'!Y90)=0),"",SUMIFS(Calculations!$I$2:$I$201,'Trial Rows'!$B$2:$B$201,'Trial Rows'!B90,'Trial Rows'!$C$2:$C$201,'Trial Rows'!C90,'Trial Rows'!$F$2:$F$201,'Trial Rows'!F90,'Trial Rows'!$Y$2:$Y$201,'Trial Rows'!Y90)/SUMIFS(Calculations!$H$2:$H$201,'Trial Rows'!$B$2:$B$201,'Trial Rows'!B90,'Trial Rows'!$C$2:$C$201,'Trial Rows'!C90,'Trial Rows'!$F$2:$F$201,'Trial Rows'!F90,'Trial Rows'!$Y$2:$Y$201,'Trial Rows'!Y90))</x:f>
      </x:c>
      <x:c r="I90" s="2" t="str">
        <x:f>IF(AND(A90&lt;&gt;"",COUNTIFS('Trial Rows'!$B$2:$B$201,'Trial Rows'!B90,'Trial Rows'!$C$2:$C$201,'Trial Rows'!C90,'Trial Rows'!$F$2:$F$201,'Trial Rows'!F90,'Trial Rows'!$Y$2:$Y$201,'Trial Rows'!Y90,'Trial Rows'!$G$2:$G$201,"A",Calculations!$R$2:$R$201,"&gt;=0",Calculations!$R$2:$R$201,"&lt;&gt;")=1),SUMIFS(Calculations!$R$2:$R$201,'Trial Rows'!$B$2:$B$201,'Trial Rows'!B90,'Trial Rows'!$C$2:$C$201,'Trial Rows'!C90,'Trial Rows'!$F$2:$F$201,'Trial Rows'!F90,'Trial Rows'!$Y$2:$Y$201,'Trial Rows'!Y90,'Trial Rows'!$G$2:$G$201,"A"),"")</x:f>
      </x:c>
      <x:c r="J90" s="2" t="str">
        <x:f>IF(AND(A90&lt;&gt;"",COUNTIFS('Trial Rows'!$B$2:$B$201,'Trial Rows'!B90,'Trial Rows'!$C$2:$C$201,'Trial Rows'!C90,'Trial Rows'!$F$2:$F$201,'Trial Rows'!F90,'Trial Rows'!$Y$2:$Y$201,'Trial Rows'!Y90,'Trial Rows'!$G$2:$G$201,"B",Calculations!$R$2:$R$201,"&gt;=0",Calculations!$R$2:$R$201,"&lt;&gt;")=1),SUMIFS(Calculations!$R$2:$R$201,'Trial Rows'!$B$2:$B$201,'Trial Rows'!B90,'Trial Rows'!$C$2:$C$201,'Trial Rows'!C90,'Trial Rows'!$F$2:$F$201,'Trial Rows'!F90,'Trial Rows'!$Y$2:$Y$201,'Trial Rows'!Y90,'Trial Rows'!$G$2:$G$201,"B"),"")</x:f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 t="str">
        <x:f>IF(AND(Calculations!B91=1,'Trial Rows'!G91="B",'Trial Rows'!I91=1,Calculations!D91=1),'Trial Rows'!C91,"")</x:f>
      </x:c>
      <x:c r="B91" s="2" t="str">
        <x:f>IF(A91="","",'Trial Rows'!B91)</x:f>
      </x:c>
      <x:c r="C91" s="2" t="str">
        <x:f>IF(A91="","",'Trial Rows'!F91)</x:f>
      </x:c>
      <x:c r="D91" s="2" t="str">
        <x:f>IF(A91="","",'Trial Rows'!H91)</x:f>
      </x:c>
      <x:c r="E91" s="2" t="str">
        <x:f>IF(A91="","",SUMIFS(Calculations!$F$2:$F$201,'Trial Rows'!$B$2:$B$201,'Trial Rows'!B91,'Trial Rows'!$C$2:$C$201,'Trial Rows'!C91,'Trial Rows'!$F$2:$F$201,'Trial Rows'!F91,'Trial Rows'!$Y$2:$Y$201,'Trial Rows'!Y91))</x:f>
      </x:c>
      <x:c r="F91" s="2" t="str">
        <x:f>IF(A91="","",SUMIFS(Calculations!$G$2:$G$201,'Trial Rows'!$B$2:$B$201,'Trial Rows'!B91,'Trial Rows'!$C$2:$C$201,'Trial Rows'!C91,'Trial Rows'!$F$2:$F$201,'Trial Rows'!F91,'Trial Rows'!$Y$2:$Y$201,'Trial Rows'!Y91))</x:f>
      </x:c>
      <x:c r="G91" s="7" t="str">
        <x:f>IF(OR(A91="",E91=0),"",F91/E91)</x:f>
      </x:c>
      <x:c r="H91" s="7" t="str">
        <x:f>IF(OR(A91="",SUMIFS(Calculations!$H$2:$H$201,'Trial Rows'!$B$2:$B$201,'Trial Rows'!B91,'Trial Rows'!$C$2:$C$201,'Trial Rows'!C91,'Trial Rows'!$F$2:$F$201,'Trial Rows'!F91,'Trial Rows'!$Y$2:$Y$201,'Trial Rows'!Y91)=0),"",SUMIFS(Calculations!$I$2:$I$201,'Trial Rows'!$B$2:$B$201,'Trial Rows'!B91,'Trial Rows'!$C$2:$C$201,'Trial Rows'!C91,'Trial Rows'!$F$2:$F$201,'Trial Rows'!F91,'Trial Rows'!$Y$2:$Y$201,'Trial Rows'!Y91)/SUMIFS(Calculations!$H$2:$H$201,'Trial Rows'!$B$2:$B$201,'Trial Rows'!B91,'Trial Rows'!$C$2:$C$201,'Trial Rows'!C91,'Trial Rows'!$F$2:$F$201,'Trial Rows'!F91,'Trial Rows'!$Y$2:$Y$201,'Trial Rows'!Y91))</x:f>
      </x:c>
      <x:c r="I91" s="2" t="str">
        <x:f>IF(AND(A91&lt;&gt;"",COUNTIFS('Trial Rows'!$B$2:$B$201,'Trial Rows'!B91,'Trial Rows'!$C$2:$C$201,'Trial Rows'!C91,'Trial Rows'!$F$2:$F$201,'Trial Rows'!F91,'Trial Rows'!$Y$2:$Y$201,'Trial Rows'!Y91,'Trial Rows'!$G$2:$G$201,"A",Calculations!$R$2:$R$201,"&gt;=0",Calculations!$R$2:$R$201,"&lt;&gt;")=1),SUMIFS(Calculations!$R$2:$R$201,'Trial Rows'!$B$2:$B$201,'Trial Rows'!B91,'Trial Rows'!$C$2:$C$201,'Trial Rows'!C91,'Trial Rows'!$F$2:$F$201,'Trial Rows'!F91,'Trial Rows'!$Y$2:$Y$201,'Trial Rows'!Y91,'Trial Rows'!$G$2:$G$201,"A"),"")</x:f>
      </x:c>
      <x:c r="J91" s="2" t="str">
        <x:f>IF(AND(A91&lt;&gt;"",COUNTIFS('Trial Rows'!$B$2:$B$201,'Trial Rows'!B91,'Trial Rows'!$C$2:$C$201,'Trial Rows'!C91,'Trial Rows'!$F$2:$F$201,'Trial Rows'!F91,'Trial Rows'!$Y$2:$Y$201,'Trial Rows'!Y91,'Trial Rows'!$G$2:$G$201,"B",Calculations!$R$2:$R$201,"&gt;=0",Calculations!$R$2:$R$201,"&lt;&gt;")=1),SUMIFS(Calculations!$R$2:$R$201,'Trial Rows'!$B$2:$B$201,'Trial Rows'!B91,'Trial Rows'!$C$2:$C$201,'Trial Rows'!C91,'Trial Rows'!$F$2:$F$201,'Trial Rows'!F91,'Trial Rows'!$Y$2:$Y$201,'Trial Rows'!Y91,'Trial Rows'!$G$2:$G$201,"B"),"")</x:f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 t="str">
        <x:f>IF(AND(Calculations!B92=1,'Trial Rows'!G92="B",'Trial Rows'!I92=1,Calculations!D92=1),'Trial Rows'!C92,"")</x:f>
      </x:c>
      <x:c r="B92" s="2" t="str">
        <x:f>IF(A92="","",'Trial Rows'!B92)</x:f>
      </x:c>
      <x:c r="C92" s="2" t="str">
        <x:f>IF(A92="","",'Trial Rows'!F92)</x:f>
      </x:c>
      <x:c r="D92" s="2" t="str">
        <x:f>IF(A92="","",'Trial Rows'!H92)</x:f>
      </x:c>
      <x:c r="E92" s="2" t="str">
        <x:f>IF(A92="","",SUMIFS(Calculations!$F$2:$F$201,'Trial Rows'!$B$2:$B$201,'Trial Rows'!B92,'Trial Rows'!$C$2:$C$201,'Trial Rows'!C92,'Trial Rows'!$F$2:$F$201,'Trial Rows'!F92,'Trial Rows'!$Y$2:$Y$201,'Trial Rows'!Y92))</x:f>
      </x:c>
      <x:c r="F92" s="2" t="str">
        <x:f>IF(A92="","",SUMIFS(Calculations!$G$2:$G$201,'Trial Rows'!$B$2:$B$201,'Trial Rows'!B92,'Trial Rows'!$C$2:$C$201,'Trial Rows'!C92,'Trial Rows'!$F$2:$F$201,'Trial Rows'!F92,'Trial Rows'!$Y$2:$Y$201,'Trial Rows'!Y92))</x:f>
      </x:c>
      <x:c r="G92" s="7" t="str">
        <x:f>IF(OR(A92="",E92=0),"",F92/E92)</x:f>
      </x:c>
      <x:c r="H92" s="7" t="str">
        <x:f>IF(OR(A92="",SUMIFS(Calculations!$H$2:$H$201,'Trial Rows'!$B$2:$B$201,'Trial Rows'!B92,'Trial Rows'!$C$2:$C$201,'Trial Rows'!C92,'Trial Rows'!$F$2:$F$201,'Trial Rows'!F92,'Trial Rows'!$Y$2:$Y$201,'Trial Rows'!Y92)=0),"",SUMIFS(Calculations!$I$2:$I$201,'Trial Rows'!$B$2:$B$201,'Trial Rows'!B92,'Trial Rows'!$C$2:$C$201,'Trial Rows'!C92,'Trial Rows'!$F$2:$F$201,'Trial Rows'!F92,'Trial Rows'!$Y$2:$Y$201,'Trial Rows'!Y92)/SUMIFS(Calculations!$H$2:$H$201,'Trial Rows'!$B$2:$B$201,'Trial Rows'!B92,'Trial Rows'!$C$2:$C$201,'Trial Rows'!C92,'Trial Rows'!$F$2:$F$201,'Trial Rows'!F92,'Trial Rows'!$Y$2:$Y$201,'Trial Rows'!Y92))</x:f>
      </x:c>
      <x:c r="I92" s="2" t="str">
        <x:f>IF(AND(A92&lt;&gt;"",COUNTIFS('Trial Rows'!$B$2:$B$201,'Trial Rows'!B92,'Trial Rows'!$C$2:$C$201,'Trial Rows'!C92,'Trial Rows'!$F$2:$F$201,'Trial Rows'!F92,'Trial Rows'!$Y$2:$Y$201,'Trial Rows'!Y92,'Trial Rows'!$G$2:$G$201,"A",Calculations!$R$2:$R$201,"&gt;=0",Calculations!$R$2:$R$201,"&lt;&gt;")=1),SUMIFS(Calculations!$R$2:$R$201,'Trial Rows'!$B$2:$B$201,'Trial Rows'!B92,'Trial Rows'!$C$2:$C$201,'Trial Rows'!C92,'Trial Rows'!$F$2:$F$201,'Trial Rows'!F92,'Trial Rows'!$Y$2:$Y$201,'Trial Rows'!Y92,'Trial Rows'!$G$2:$G$201,"A"),"")</x:f>
      </x:c>
      <x:c r="J92" s="2" t="str">
        <x:f>IF(AND(A92&lt;&gt;"",COUNTIFS('Trial Rows'!$B$2:$B$201,'Trial Rows'!B92,'Trial Rows'!$C$2:$C$201,'Trial Rows'!C92,'Trial Rows'!$F$2:$F$201,'Trial Rows'!F92,'Trial Rows'!$Y$2:$Y$201,'Trial Rows'!Y92,'Trial Rows'!$G$2:$G$201,"B",Calculations!$R$2:$R$201,"&gt;=0",Calculations!$R$2:$R$201,"&lt;&gt;")=1),SUMIFS(Calculations!$R$2:$R$201,'Trial Rows'!$B$2:$B$201,'Trial Rows'!B92,'Trial Rows'!$C$2:$C$201,'Trial Rows'!C92,'Trial Rows'!$F$2:$F$201,'Trial Rows'!F92,'Trial Rows'!$Y$2:$Y$201,'Trial Rows'!Y92,'Trial Rows'!$G$2:$G$201,"B"),"")</x:f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 t="str">
        <x:f>IF(AND(Calculations!B93=1,'Trial Rows'!G93="B",'Trial Rows'!I93=1,Calculations!D93=1),'Trial Rows'!C93,"")</x:f>
      </x:c>
      <x:c r="B93" s="2" t="str">
        <x:f>IF(A93="","",'Trial Rows'!B93)</x:f>
      </x:c>
      <x:c r="C93" s="2" t="str">
        <x:f>IF(A93="","",'Trial Rows'!F93)</x:f>
      </x:c>
      <x:c r="D93" s="2" t="str">
        <x:f>IF(A93="","",'Trial Rows'!H93)</x:f>
      </x:c>
      <x:c r="E93" s="2" t="str">
        <x:f>IF(A93="","",SUMIFS(Calculations!$F$2:$F$201,'Trial Rows'!$B$2:$B$201,'Trial Rows'!B93,'Trial Rows'!$C$2:$C$201,'Trial Rows'!C93,'Trial Rows'!$F$2:$F$201,'Trial Rows'!F93,'Trial Rows'!$Y$2:$Y$201,'Trial Rows'!Y93))</x:f>
      </x:c>
      <x:c r="F93" s="2" t="str">
        <x:f>IF(A93="","",SUMIFS(Calculations!$G$2:$G$201,'Trial Rows'!$B$2:$B$201,'Trial Rows'!B93,'Trial Rows'!$C$2:$C$201,'Trial Rows'!C93,'Trial Rows'!$F$2:$F$201,'Trial Rows'!F93,'Trial Rows'!$Y$2:$Y$201,'Trial Rows'!Y93))</x:f>
      </x:c>
      <x:c r="G93" s="7" t="str">
        <x:f>IF(OR(A93="",E93=0),"",F93/E93)</x:f>
      </x:c>
      <x:c r="H93" s="7" t="str">
        <x:f>IF(OR(A93="",SUMIFS(Calculations!$H$2:$H$201,'Trial Rows'!$B$2:$B$201,'Trial Rows'!B93,'Trial Rows'!$C$2:$C$201,'Trial Rows'!C93,'Trial Rows'!$F$2:$F$201,'Trial Rows'!F93,'Trial Rows'!$Y$2:$Y$201,'Trial Rows'!Y93)=0),"",SUMIFS(Calculations!$I$2:$I$201,'Trial Rows'!$B$2:$B$201,'Trial Rows'!B93,'Trial Rows'!$C$2:$C$201,'Trial Rows'!C93,'Trial Rows'!$F$2:$F$201,'Trial Rows'!F93,'Trial Rows'!$Y$2:$Y$201,'Trial Rows'!Y93)/SUMIFS(Calculations!$H$2:$H$201,'Trial Rows'!$B$2:$B$201,'Trial Rows'!B93,'Trial Rows'!$C$2:$C$201,'Trial Rows'!C93,'Trial Rows'!$F$2:$F$201,'Trial Rows'!F93,'Trial Rows'!$Y$2:$Y$201,'Trial Rows'!Y93))</x:f>
      </x:c>
      <x:c r="I93" s="2" t="str">
        <x:f>IF(AND(A93&lt;&gt;"",COUNTIFS('Trial Rows'!$B$2:$B$201,'Trial Rows'!B93,'Trial Rows'!$C$2:$C$201,'Trial Rows'!C93,'Trial Rows'!$F$2:$F$201,'Trial Rows'!F93,'Trial Rows'!$Y$2:$Y$201,'Trial Rows'!Y93,'Trial Rows'!$G$2:$G$201,"A",Calculations!$R$2:$R$201,"&gt;=0",Calculations!$R$2:$R$201,"&lt;&gt;")=1),SUMIFS(Calculations!$R$2:$R$201,'Trial Rows'!$B$2:$B$201,'Trial Rows'!B93,'Trial Rows'!$C$2:$C$201,'Trial Rows'!C93,'Trial Rows'!$F$2:$F$201,'Trial Rows'!F93,'Trial Rows'!$Y$2:$Y$201,'Trial Rows'!Y93,'Trial Rows'!$G$2:$G$201,"A"),"")</x:f>
      </x:c>
      <x:c r="J93" s="2" t="str">
        <x:f>IF(AND(A93&lt;&gt;"",COUNTIFS('Trial Rows'!$B$2:$B$201,'Trial Rows'!B93,'Trial Rows'!$C$2:$C$201,'Trial Rows'!C93,'Trial Rows'!$F$2:$F$201,'Trial Rows'!F93,'Trial Rows'!$Y$2:$Y$201,'Trial Rows'!Y93,'Trial Rows'!$G$2:$G$201,"B",Calculations!$R$2:$R$201,"&gt;=0",Calculations!$R$2:$R$201,"&lt;&gt;")=1),SUMIFS(Calculations!$R$2:$R$201,'Trial Rows'!$B$2:$B$201,'Trial Rows'!B93,'Trial Rows'!$C$2:$C$201,'Trial Rows'!C93,'Trial Rows'!$F$2:$F$201,'Trial Rows'!F93,'Trial Rows'!$Y$2:$Y$201,'Trial Rows'!Y93,'Trial Rows'!$G$2:$G$201,"B"),"")</x:f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 t="str">
        <x:f>IF(AND(Calculations!B94=1,'Trial Rows'!G94="B",'Trial Rows'!I94=1,Calculations!D94=1),'Trial Rows'!C94,"")</x:f>
      </x:c>
      <x:c r="B94" s="2" t="str">
        <x:f>IF(A94="","",'Trial Rows'!B94)</x:f>
      </x:c>
      <x:c r="C94" s="2" t="str">
        <x:f>IF(A94="","",'Trial Rows'!F94)</x:f>
      </x:c>
      <x:c r="D94" s="2" t="str">
        <x:f>IF(A94="","",'Trial Rows'!H94)</x:f>
      </x:c>
      <x:c r="E94" s="2" t="str">
        <x:f>IF(A94="","",SUMIFS(Calculations!$F$2:$F$201,'Trial Rows'!$B$2:$B$201,'Trial Rows'!B94,'Trial Rows'!$C$2:$C$201,'Trial Rows'!C94,'Trial Rows'!$F$2:$F$201,'Trial Rows'!F94,'Trial Rows'!$Y$2:$Y$201,'Trial Rows'!Y94))</x:f>
      </x:c>
      <x:c r="F94" s="2" t="str">
        <x:f>IF(A94="","",SUMIFS(Calculations!$G$2:$G$201,'Trial Rows'!$B$2:$B$201,'Trial Rows'!B94,'Trial Rows'!$C$2:$C$201,'Trial Rows'!C94,'Trial Rows'!$F$2:$F$201,'Trial Rows'!F94,'Trial Rows'!$Y$2:$Y$201,'Trial Rows'!Y94))</x:f>
      </x:c>
      <x:c r="G94" s="7" t="str">
        <x:f>IF(OR(A94="",E94=0),"",F94/E94)</x:f>
      </x:c>
      <x:c r="H94" s="7" t="str">
        <x:f>IF(OR(A94="",SUMIFS(Calculations!$H$2:$H$201,'Trial Rows'!$B$2:$B$201,'Trial Rows'!B94,'Trial Rows'!$C$2:$C$201,'Trial Rows'!C94,'Trial Rows'!$F$2:$F$201,'Trial Rows'!F94,'Trial Rows'!$Y$2:$Y$201,'Trial Rows'!Y94)=0),"",SUMIFS(Calculations!$I$2:$I$201,'Trial Rows'!$B$2:$B$201,'Trial Rows'!B94,'Trial Rows'!$C$2:$C$201,'Trial Rows'!C94,'Trial Rows'!$F$2:$F$201,'Trial Rows'!F94,'Trial Rows'!$Y$2:$Y$201,'Trial Rows'!Y94)/SUMIFS(Calculations!$H$2:$H$201,'Trial Rows'!$B$2:$B$201,'Trial Rows'!B94,'Trial Rows'!$C$2:$C$201,'Trial Rows'!C94,'Trial Rows'!$F$2:$F$201,'Trial Rows'!F94,'Trial Rows'!$Y$2:$Y$201,'Trial Rows'!Y94))</x:f>
      </x:c>
      <x:c r="I94" s="2" t="str">
        <x:f>IF(AND(A94&lt;&gt;"",COUNTIFS('Trial Rows'!$B$2:$B$201,'Trial Rows'!B94,'Trial Rows'!$C$2:$C$201,'Trial Rows'!C94,'Trial Rows'!$F$2:$F$201,'Trial Rows'!F94,'Trial Rows'!$Y$2:$Y$201,'Trial Rows'!Y94,'Trial Rows'!$G$2:$G$201,"A",Calculations!$R$2:$R$201,"&gt;=0",Calculations!$R$2:$R$201,"&lt;&gt;")=1),SUMIFS(Calculations!$R$2:$R$201,'Trial Rows'!$B$2:$B$201,'Trial Rows'!B94,'Trial Rows'!$C$2:$C$201,'Trial Rows'!C94,'Trial Rows'!$F$2:$F$201,'Trial Rows'!F94,'Trial Rows'!$Y$2:$Y$201,'Trial Rows'!Y94,'Trial Rows'!$G$2:$G$201,"A"),"")</x:f>
      </x:c>
      <x:c r="J94" s="2" t="str">
        <x:f>IF(AND(A94&lt;&gt;"",COUNTIFS('Trial Rows'!$B$2:$B$201,'Trial Rows'!B94,'Trial Rows'!$C$2:$C$201,'Trial Rows'!C94,'Trial Rows'!$F$2:$F$201,'Trial Rows'!F94,'Trial Rows'!$Y$2:$Y$201,'Trial Rows'!Y94,'Trial Rows'!$G$2:$G$201,"B",Calculations!$R$2:$R$201,"&gt;=0",Calculations!$R$2:$R$201,"&lt;&gt;")=1),SUMIFS(Calculations!$R$2:$R$201,'Trial Rows'!$B$2:$B$201,'Trial Rows'!B94,'Trial Rows'!$C$2:$C$201,'Trial Rows'!C94,'Trial Rows'!$F$2:$F$201,'Trial Rows'!F94,'Trial Rows'!$Y$2:$Y$201,'Trial Rows'!Y94,'Trial Rows'!$G$2:$G$201,"B"),"")</x:f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 t="str">
        <x:f>IF(AND(Calculations!B95=1,'Trial Rows'!G95="B",'Trial Rows'!I95=1,Calculations!D95=1),'Trial Rows'!C95,"")</x:f>
      </x:c>
      <x:c r="B95" s="2" t="str">
        <x:f>IF(A95="","",'Trial Rows'!B95)</x:f>
      </x:c>
      <x:c r="C95" s="2" t="str">
        <x:f>IF(A95="","",'Trial Rows'!F95)</x:f>
      </x:c>
      <x:c r="D95" s="2" t="str">
        <x:f>IF(A95="","",'Trial Rows'!H95)</x:f>
      </x:c>
      <x:c r="E95" s="2" t="str">
        <x:f>IF(A95="","",SUMIFS(Calculations!$F$2:$F$201,'Trial Rows'!$B$2:$B$201,'Trial Rows'!B95,'Trial Rows'!$C$2:$C$201,'Trial Rows'!C95,'Trial Rows'!$F$2:$F$201,'Trial Rows'!F95,'Trial Rows'!$Y$2:$Y$201,'Trial Rows'!Y95))</x:f>
      </x:c>
      <x:c r="F95" s="2" t="str">
        <x:f>IF(A95="","",SUMIFS(Calculations!$G$2:$G$201,'Trial Rows'!$B$2:$B$201,'Trial Rows'!B95,'Trial Rows'!$C$2:$C$201,'Trial Rows'!C95,'Trial Rows'!$F$2:$F$201,'Trial Rows'!F95,'Trial Rows'!$Y$2:$Y$201,'Trial Rows'!Y95))</x:f>
      </x:c>
      <x:c r="G95" s="7" t="str">
        <x:f>IF(OR(A95="",E95=0),"",F95/E95)</x:f>
      </x:c>
      <x:c r="H95" s="7" t="str">
        <x:f>IF(OR(A95="",SUMIFS(Calculations!$H$2:$H$201,'Trial Rows'!$B$2:$B$201,'Trial Rows'!B95,'Trial Rows'!$C$2:$C$201,'Trial Rows'!C95,'Trial Rows'!$F$2:$F$201,'Trial Rows'!F95,'Trial Rows'!$Y$2:$Y$201,'Trial Rows'!Y95)=0),"",SUMIFS(Calculations!$I$2:$I$201,'Trial Rows'!$B$2:$B$201,'Trial Rows'!B95,'Trial Rows'!$C$2:$C$201,'Trial Rows'!C95,'Trial Rows'!$F$2:$F$201,'Trial Rows'!F95,'Trial Rows'!$Y$2:$Y$201,'Trial Rows'!Y95)/SUMIFS(Calculations!$H$2:$H$201,'Trial Rows'!$B$2:$B$201,'Trial Rows'!B95,'Trial Rows'!$C$2:$C$201,'Trial Rows'!C95,'Trial Rows'!$F$2:$F$201,'Trial Rows'!F95,'Trial Rows'!$Y$2:$Y$201,'Trial Rows'!Y95))</x:f>
      </x:c>
      <x:c r="I95" s="2" t="str">
        <x:f>IF(AND(A95&lt;&gt;"",COUNTIFS('Trial Rows'!$B$2:$B$201,'Trial Rows'!B95,'Trial Rows'!$C$2:$C$201,'Trial Rows'!C95,'Trial Rows'!$F$2:$F$201,'Trial Rows'!F95,'Trial Rows'!$Y$2:$Y$201,'Trial Rows'!Y95,'Trial Rows'!$G$2:$G$201,"A",Calculations!$R$2:$R$201,"&gt;=0",Calculations!$R$2:$R$201,"&lt;&gt;")=1),SUMIFS(Calculations!$R$2:$R$201,'Trial Rows'!$B$2:$B$201,'Trial Rows'!B95,'Trial Rows'!$C$2:$C$201,'Trial Rows'!C95,'Trial Rows'!$F$2:$F$201,'Trial Rows'!F95,'Trial Rows'!$Y$2:$Y$201,'Trial Rows'!Y95,'Trial Rows'!$G$2:$G$201,"A"),"")</x:f>
      </x:c>
      <x:c r="J95" s="2" t="str">
        <x:f>IF(AND(A95&lt;&gt;"",COUNTIFS('Trial Rows'!$B$2:$B$201,'Trial Rows'!B95,'Trial Rows'!$C$2:$C$201,'Trial Rows'!C95,'Trial Rows'!$F$2:$F$201,'Trial Rows'!F95,'Trial Rows'!$Y$2:$Y$201,'Trial Rows'!Y95,'Trial Rows'!$G$2:$G$201,"B",Calculations!$R$2:$R$201,"&gt;=0",Calculations!$R$2:$R$201,"&lt;&gt;")=1),SUMIFS(Calculations!$R$2:$R$201,'Trial Rows'!$B$2:$B$201,'Trial Rows'!B95,'Trial Rows'!$C$2:$C$201,'Trial Rows'!C95,'Trial Rows'!$F$2:$F$201,'Trial Rows'!F95,'Trial Rows'!$Y$2:$Y$201,'Trial Rows'!Y95,'Trial Rows'!$G$2:$G$201,"B"),"")</x:f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 t="str">
        <x:f>IF(AND(Calculations!B96=1,'Trial Rows'!G96="B",'Trial Rows'!I96=1,Calculations!D96=1),'Trial Rows'!C96,"")</x:f>
      </x:c>
      <x:c r="B96" s="2" t="str">
        <x:f>IF(A96="","",'Trial Rows'!B96)</x:f>
      </x:c>
      <x:c r="C96" s="2" t="str">
        <x:f>IF(A96="","",'Trial Rows'!F96)</x:f>
      </x:c>
      <x:c r="D96" s="2" t="str">
        <x:f>IF(A96="","",'Trial Rows'!H96)</x:f>
      </x:c>
      <x:c r="E96" s="2" t="str">
        <x:f>IF(A96="","",SUMIFS(Calculations!$F$2:$F$201,'Trial Rows'!$B$2:$B$201,'Trial Rows'!B96,'Trial Rows'!$C$2:$C$201,'Trial Rows'!C96,'Trial Rows'!$F$2:$F$201,'Trial Rows'!F96,'Trial Rows'!$Y$2:$Y$201,'Trial Rows'!Y96))</x:f>
      </x:c>
      <x:c r="F96" s="2" t="str">
        <x:f>IF(A96="","",SUMIFS(Calculations!$G$2:$G$201,'Trial Rows'!$B$2:$B$201,'Trial Rows'!B96,'Trial Rows'!$C$2:$C$201,'Trial Rows'!C96,'Trial Rows'!$F$2:$F$201,'Trial Rows'!F96,'Trial Rows'!$Y$2:$Y$201,'Trial Rows'!Y96))</x:f>
      </x:c>
      <x:c r="G96" s="7" t="str">
        <x:f>IF(OR(A96="",E96=0),"",F96/E96)</x:f>
      </x:c>
      <x:c r="H96" s="7" t="str">
        <x:f>IF(OR(A96="",SUMIFS(Calculations!$H$2:$H$201,'Trial Rows'!$B$2:$B$201,'Trial Rows'!B96,'Trial Rows'!$C$2:$C$201,'Trial Rows'!C96,'Trial Rows'!$F$2:$F$201,'Trial Rows'!F96,'Trial Rows'!$Y$2:$Y$201,'Trial Rows'!Y96)=0),"",SUMIFS(Calculations!$I$2:$I$201,'Trial Rows'!$B$2:$B$201,'Trial Rows'!B96,'Trial Rows'!$C$2:$C$201,'Trial Rows'!C96,'Trial Rows'!$F$2:$F$201,'Trial Rows'!F96,'Trial Rows'!$Y$2:$Y$201,'Trial Rows'!Y96)/SUMIFS(Calculations!$H$2:$H$201,'Trial Rows'!$B$2:$B$201,'Trial Rows'!B96,'Trial Rows'!$C$2:$C$201,'Trial Rows'!C96,'Trial Rows'!$F$2:$F$201,'Trial Rows'!F96,'Trial Rows'!$Y$2:$Y$201,'Trial Rows'!Y96))</x:f>
      </x:c>
      <x:c r="I96" s="2" t="str">
        <x:f>IF(AND(A96&lt;&gt;"",COUNTIFS('Trial Rows'!$B$2:$B$201,'Trial Rows'!B96,'Trial Rows'!$C$2:$C$201,'Trial Rows'!C96,'Trial Rows'!$F$2:$F$201,'Trial Rows'!F96,'Trial Rows'!$Y$2:$Y$201,'Trial Rows'!Y96,'Trial Rows'!$G$2:$G$201,"A",Calculations!$R$2:$R$201,"&gt;=0",Calculations!$R$2:$R$201,"&lt;&gt;")=1),SUMIFS(Calculations!$R$2:$R$201,'Trial Rows'!$B$2:$B$201,'Trial Rows'!B96,'Trial Rows'!$C$2:$C$201,'Trial Rows'!C96,'Trial Rows'!$F$2:$F$201,'Trial Rows'!F96,'Trial Rows'!$Y$2:$Y$201,'Trial Rows'!Y96,'Trial Rows'!$G$2:$G$201,"A"),"")</x:f>
      </x:c>
      <x:c r="J96" s="2" t="str">
        <x:f>IF(AND(A96&lt;&gt;"",COUNTIFS('Trial Rows'!$B$2:$B$201,'Trial Rows'!B96,'Trial Rows'!$C$2:$C$201,'Trial Rows'!C96,'Trial Rows'!$F$2:$F$201,'Trial Rows'!F96,'Trial Rows'!$Y$2:$Y$201,'Trial Rows'!Y96,'Trial Rows'!$G$2:$G$201,"B",Calculations!$R$2:$R$201,"&gt;=0",Calculations!$R$2:$R$201,"&lt;&gt;")=1),SUMIFS(Calculations!$R$2:$R$201,'Trial Rows'!$B$2:$B$201,'Trial Rows'!B96,'Trial Rows'!$C$2:$C$201,'Trial Rows'!C96,'Trial Rows'!$F$2:$F$201,'Trial Rows'!F96,'Trial Rows'!$Y$2:$Y$201,'Trial Rows'!Y96,'Trial Rows'!$G$2:$G$201,"B"),"")</x:f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 t="str">
        <x:f>IF(AND(Calculations!B97=1,'Trial Rows'!G97="B",'Trial Rows'!I97=1,Calculations!D97=1),'Trial Rows'!C97,"")</x:f>
      </x:c>
      <x:c r="B97" s="2" t="str">
        <x:f>IF(A97="","",'Trial Rows'!B97)</x:f>
      </x:c>
      <x:c r="C97" s="2" t="str">
        <x:f>IF(A97="","",'Trial Rows'!F97)</x:f>
      </x:c>
      <x:c r="D97" s="2" t="str">
        <x:f>IF(A97="","",'Trial Rows'!H97)</x:f>
      </x:c>
      <x:c r="E97" s="2" t="str">
        <x:f>IF(A97="","",SUMIFS(Calculations!$F$2:$F$201,'Trial Rows'!$B$2:$B$201,'Trial Rows'!B97,'Trial Rows'!$C$2:$C$201,'Trial Rows'!C97,'Trial Rows'!$F$2:$F$201,'Trial Rows'!F97,'Trial Rows'!$Y$2:$Y$201,'Trial Rows'!Y97))</x:f>
      </x:c>
      <x:c r="F97" s="2" t="str">
        <x:f>IF(A97="","",SUMIFS(Calculations!$G$2:$G$201,'Trial Rows'!$B$2:$B$201,'Trial Rows'!B97,'Trial Rows'!$C$2:$C$201,'Trial Rows'!C97,'Trial Rows'!$F$2:$F$201,'Trial Rows'!F97,'Trial Rows'!$Y$2:$Y$201,'Trial Rows'!Y97))</x:f>
      </x:c>
      <x:c r="G97" s="7" t="str">
        <x:f>IF(OR(A97="",E97=0),"",F97/E97)</x:f>
      </x:c>
      <x:c r="H97" s="7" t="str">
        <x:f>IF(OR(A97="",SUMIFS(Calculations!$H$2:$H$201,'Trial Rows'!$B$2:$B$201,'Trial Rows'!B97,'Trial Rows'!$C$2:$C$201,'Trial Rows'!C97,'Trial Rows'!$F$2:$F$201,'Trial Rows'!F97,'Trial Rows'!$Y$2:$Y$201,'Trial Rows'!Y97)=0),"",SUMIFS(Calculations!$I$2:$I$201,'Trial Rows'!$B$2:$B$201,'Trial Rows'!B97,'Trial Rows'!$C$2:$C$201,'Trial Rows'!C97,'Trial Rows'!$F$2:$F$201,'Trial Rows'!F97,'Trial Rows'!$Y$2:$Y$201,'Trial Rows'!Y97)/SUMIFS(Calculations!$H$2:$H$201,'Trial Rows'!$B$2:$B$201,'Trial Rows'!B97,'Trial Rows'!$C$2:$C$201,'Trial Rows'!C97,'Trial Rows'!$F$2:$F$201,'Trial Rows'!F97,'Trial Rows'!$Y$2:$Y$201,'Trial Rows'!Y97))</x:f>
      </x:c>
      <x:c r="I97" s="2" t="str">
        <x:f>IF(AND(A97&lt;&gt;"",COUNTIFS('Trial Rows'!$B$2:$B$201,'Trial Rows'!B97,'Trial Rows'!$C$2:$C$201,'Trial Rows'!C97,'Trial Rows'!$F$2:$F$201,'Trial Rows'!F97,'Trial Rows'!$Y$2:$Y$201,'Trial Rows'!Y97,'Trial Rows'!$G$2:$G$201,"A",Calculations!$R$2:$R$201,"&gt;=0",Calculations!$R$2:$R$201,"&lt;&gt;")=1),SUMIFS(Calculations!$R$2:$R$201,'Trial Rows'!$B$2:$B$201,'Trial Rows'!B97,'Trial Rows'!$C$2:$C$201,'Trial Rows'!C97,'Trial Rows'!$F$2:$F$201,'Trial Rows'!F97,'Trial Rows'!$Y$2:$Y$201,'Trial Rows'!Y97,'Trial Rows'!$G$2:$G$201,"A"),"")</x:f>
      </x:c>
      <x:c r="J97" s="2" t="str">
        <x:f>IF(AND(A97&lt;&gt;"",COUNTIFS('Trial Rows'!$B$2:$B$201,'Trial Rows'!B97,'Trial Rows'!$C$2:$C$201,'Trial Rows'!C97,'Trial Rows'!$F$2:$F$201,'Trial Rows'!F97,'Trial Rows'!$Y$2:$Y$201,'Trial Rows'!Y97,'Trial Rows'!$G$2:$G$201,"B",Calculations!$R$2:$R$201,"&gt;=0",Calculations!$R$2:$R$201,"&lt;&gt;")=1),SUMIFS(Calculations!$R$2:$R$201,'Trial Rows'!$B$2:$B$201,'Trial Rows'!B97,'Trial Rows'!$C$2:$C$201,'Trial Rows'!C97,'Trial Rows'!$F$2:$F$201,'Trial Rows'!F97,'Trial Rows'!$Y$2:$Y$201,'Trial Rows'!Y97,'Trial Rows'!$G$2:$G$201,"B"),"")</x:f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 t="str">
        <x:f>IF(AND(Calculations!B98=1,'Trial Rows'!G98="B",'Trial Rows'!I98=1,Calculations!D98=1),'Trial Rows'!C98,"")</x:f>
      </x:c>
      <x:c r="B98" s="2" t="str">
        <x:f>IF(A98="","",'Trial Rows'!B98)</x:f>
      </x:c>
      <x:c r="C98" s="2" t="str">
        <x:f>IF(A98="","",'Trial Rows'!F98)</x:f>
      </x:c>
      <x:c r="D98" s="2" t="str">
        <x:f>IF(A98="","",'Trial Rows'!H98)</x:f>
      </x:c>
      <x:c r="E98" s="2" t="str">
        <x:f>IF(A98="","",SUMIFS(Calculations!$F$2:$F$201,'Trial Rows'!$B$2:$B$201,'Trial Rows'!B98,'Trial Rows'!$C$2:$C$201,'Trial Rows'!C98,'Trial Rows'!$F$2:$F$201,'Trial Rows'!F98,'Trial Rows'!$Y$2:$Y$201,'Trial Rows'!Y98))</x:f>
      </x:c>
      <x:c r="F98" s="2" t="str">
        <x:f>IF(A98="","",SUMIFS(Calculations!$G$2:$G$201,'Trial Rows'!$B$2:$B$201,'Trial Rows'!B98,'Trial Rows'!$C$2:$C$201,'Trial Rows'!C98,'Trial Rows'!$F$2:$F$201,'Trial Rows'!F98,'Trial Rows'!$Y$2:$Y$201,'Trial Rows'!Y98))</x:f>
      </x:c>
      <x:c r="G98" s="7" t="str">
        <x:f>IF(OR(A98="",E98=0),"",F98/E98)</x:f>
      </x:c>
      <x:c r="H98" s="7" t="str">
        <x:f>IF(OR(A98="",SUMIFS(Calculations!$H$2:$H$201,'Trial Rows'!$B$2:$B$201,'Trial Rows'!B98,'Trial Rows'!$C$2:$C$201,'Trial Rows'!C98,'Trial Rows'!$F$2:$F$201,'Trial Rows'!F98,'Trial Rows'!$Y$2:$Y$201,'Trial Rows'!Y98)=0),"",SUMIFS(Calculations!$I$2:$I$201,'Trial Rows'!$B$2:$B$201,'Trial Rows'!B98,'Trial Rows'!$C$2:$C$201,'Trial Rows'!C98,'Trial Rows'!$F$2:$F$201,'Trial Rows'!F98,'Trial Rows'!$Y$2:$Y$201,'Trial Rows'!Y98)/SUMIFS(Calculations!$H$2:$H$201,'Trial Rows'!$B$2:$B$201,'Trial Rows'!B98,'Trial Rows'!$C$2:$C$201,'Trial Rows'!C98,'Trial Rows'!$F$2:$F$201,'Trial Rows'!F98,'Trial Rows'!$Y$2:$Y$201,'Trial Rows'!Y98))</x:f>
      </x:c>
      <x:c r="I98" s="2" t="str">
        <x:f>IF(AND(A98&lt;&gt;"",COUNTIFS('Trial Rows'!$B$2:$B$201,'Trial Rows'!B98,'Trial Rows'!$C$2:$C$201,'Trial Rows'!C98,'Trial Rows'!$F$2:$F$201,'Trial Rows'!F98,'Trial Rows'!$Y$2:$Y$201,'Trial Rows'!Y98,'Trial Rows'!$G$2:$G$201,"A",Calculations!$R$2:$R$201,"&gt;=0",Calculations!$R$2:$R$201,"&lt;&gt;")=1),SUMIFS(Calculations!$R$2:$R$201,'Trial Rows'!$B$2:$B$201,'Trial Rows'!B98,'Trial Rows'!$C$2:$C$201,'Trial Rows'!C98,'Trial Rows'!$F$2:$F$201,'Trial Rows'!F98,'Trial Rows'!$Y$2:$Y$201,'Trial Rows'!Y98,'Trial Rows'!$G$2:$G$201,"A"),"")</x:f>
      </x:c>
      <x:c r="J98" s="2" t="str">
        <x:f>IF(AND(A98&lt;&gt;"",COUNTIFS('Trial Rows'!$B$2:$B$201,'Trial Rows'!B98,'Trial Rows'!$C$2:$C$201,'Trial Rows'!C98,'Trial Rows'!$F$2:$F$201,'Trial Rows'!F98,'Trial Rows'!$Y$2:$Y$201,'Trial Rows'!Y98,'Trial Rows'!$G$2:$G$201,"B",Calculations!$R$2:$R$201,"&gt;=0",Calculations!$R$2:$R$201,"&lt;&gt;")=1),SUMIFS(Calculations!$R$2:$R$201,'Trial Rows'!$B$2:$B$201,'Trial Rows'!B98,'Trial Rows'!$C$2:$C$201,'Trial Rows'!C98,'Trial Rows'!$F$2:$F$201,'Trial Rows'!F98,'Trial Rows'!$Y$2:$Y$201,'Trial Rows'!Y98,'Trial Rows'!$G$2:$G$201,"B"),"")</x:f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 t="str">
        <x:f>IF(AND(Calculations!B99=1,'Trial Rows'!G99="B",'Trial Rows'!I99=1,Calculations!D99=1),'Trial Rows'!C99,"")</x:f>
      </x:c>
      <x:c r="B99" s="2" t="str">
        <x:f>IF(A99="","",'Trial Rows'!B99)</x:f>
      </x:c>
      <x:c r="C99" s="2" t="str">
        <x:f>IF(A99="","",'Trial Rows'!F99)</x:f>
      </x:c>
      <x:c r="D99" s="2" t="str">
        <x:f>IF(A99="","",'Trial Rows'!H99)</x:f>
      </x:c>
      <x:c r="E99" s="2" t="str">
        <x:f>IF(A99="","",SUMIFS(Calculations!$F$2:$F$201,'Trial Rows'!$B$2:$B$201,'Trial Rows'!B99,'Trial Rows'!$C$2:$C$201,'Trial Rows'!C99,'Trial Rows'!$F$2:$F$201,'Trial Rows'!F99,'Trial Rows'!$Y$2:$Y$201,'Trial Rows'!Y99))</x:f>
      </x:c>
      <x:c r="F99" s="2" t="str">
        <x:f>IF(A99="","",SUMIFS(Calculations!$G$2:$G$201,'Trial Rows'!$B$2:$B$201,'Trial Rows'!B99,'Trial Rows'!$C$2:$C$201,'Trial Rows'!C99,'Trial Rows'!$F$2:$F$201,'Trial Rows'!F99,'Trial Rows'!$Y$2:$Y$201,'Trial Rows'!Y99))</x:f>
      </x:c>
      <x:c r="G99" s="7" t="str">
        <x:f>IF(OR(A99="",E99=0),"",F99/E99)</x:f>
      </x:c>
      <x:c r="H99" s="7" t="str">
        <x:f>IF(OR(A99="",SUMIFS(Calculations!$H$2:$H$201,'Trial Rows'!$B$2:$B$201,'Trial Rows'!B99,'Trial Rows'!$C$2:$C$201,'Trial Rows'!C99,'Trial Rows'!$F$2:$F$201,'Trial Rows'!F99,'Trial Rows'!$Y$2:$Y$201,'Trial Rows'!Y99)=0),"",SUMIFS(Calculations!$I$2:$I$201,'Trial Rows'!$B$2:$B$201,'Trial Rows'!B99,'Trial Rows'!$C$2:$C$201,'Trial Rows'!C99,'Trial Rows'!$F$2:$F$201,'Trial Rows'!F99,'Trial Rows'!$Y$2:$Y$201,'Trial Rows'!Y99)/SUMIFS(Calculations!$H$2:$H$201,'Trial Rows'!$B$2:$B$201,'Trial Rows'!B99,'Trial Rows'!$C$2:$C$201,'Trial Rows'!C99,'Trial Rows'!$F$2:$F$201,'Trial Rows'!F99,'Trial Rows'!$Y$2:$Y$201,'Trial Rows'!Y99))</x:f>
      </x:c>
      <x:c r="I99" s="2" t="str">
        <x:f>IF(AND(A99&lt;&gt;"",COUNTIFS('Trial Rows'!$B$2:$B$201,'Trial Rows'!B99,'Trial Rows'!$C$2:$C$201,'Trial Rows'!C99,'Trial Rows'!$F$2:$F$201,'Trial Rows'!F99,'Trial Rows'!$Y$2:$Y$201,'Trial Rows'!Y99,'Trial Rows'!$G$2:$G$201,"A",Calculations!$R$2:$R$201,"&gt;=0",Calculations!$R$2:$R$201,"&lt;&gt;")=1),SUMIFS(Calculations!$R$2:$R$201,'Trial Rows'!$B$2:$B$201,'Trial Rows'!B99,'Trial Rows'!$C$2:$C$201,'Trial Rows'!C99,'Trial Rows'!$F$2:$F$201,'Trial Rows'!F99,'Trial Rows'!$Y$2:$Y$201,'Trial Rows'!Y99,'Trial Rows'!$G$2:$G$201,"A"),"")</x:f>
      </x:c>
      <x:c r="J99" s="2" t="str">
        <x:f>IF(AND(A99&lt;&gt;"",COUNTIFS('Trial Rows'!$B$2:$B$201,'Trial Rows'!B99,'Trial Rows'!$C$2:$C$201,'Trial Rows'!C99,'Trial Rows'!$F$2:$F$201,'Trial Rows'!F99,'Trial Rows'!$Y$2:$Y$201,'Trial Rows'!Y99,'Trial Rows'!$G$2:$G$201,"B",Calculations!$R$2:$R$201,"&gt;=0",Calculations!$R$2:$R$201,"&lt;&gt;")=1),SUMIFS(Calculations!$R$2:$R$201,'Trial Rows'!$B$2:$B$201,'Trial Rows'!B99,'Trial Rows'!$C$2:$C$201,'Trial Rows'!C99,'Trial Rows'!$F$2:$F$201,'Trial Rows'!F99,'Trial Rows'!$Y$2:$Y$201,'Trial Rows'!Y99,'Trial Rows'!$G$2:$G$201,"B"),"")</x:f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 t="str">
        <x:f>IF(AND(Calculations!B100=1,'Trial Rows'!G100="B",'Trial Rows'!I100=1,Calculations!D100=1),'Trial Rows'!C100,"")</x:f>
      </x:c>
      <x:c r="B100" s="2" t="str">
        <x:f>IF(A100="","",'Trial Rows'!B100)</x:f>
      </x:c>
      <x:c r="C100" s="2" t="str">
        <x:f>IF(A100="","",'Trial Rows'!F100)</x:f>
      </x:c>
      <x:c r="D100" s="2" t="str">
        <x:f>IF(A100="","",'Trial Rows'!H100)</x:f>
      </x:c>
      <x:c r="E100" s="2" t="str">
        <x:f>IF(A100="","",SUMIFS(Calculations!$F$2:$F$201,'Trial Rows'!$B$2:$B$201,'Trial Rows'!B100,'Trial Rows'!$C$2:$C$201,'Trial Rows'!C100,'Trial Rows'!$F$2:$F$201,'Trial Rows'!F100,'Trial Rows'!$Y$2:$Y$201,'Trial Rows'!Y100))</x:f>
      </x:c>
      <x:c r="F100" s="2" t="str">
        <x:f>IF(A100="","",SUMIFS(Calculations!$G$2:$G$201,'Trial Rows'!$B$2:$B$201,'Trial Rows'!B100,'Trial Rows'!$C$2:$C$201,'Trial Rows'!C100,'Trial Rows'!$F$2:$F$201,'Trial Rows'!F100,'Trial Rows'!$Y$2:$Y$201,'Trial Rows'!Y100))</x:f>
      </x:c>
      <x:c r="G100" s="7" t="str">
        <x:f>IF(OR(A100="",E100=0),"",F100/E100)</x:f>
      </x:c>
      <x:c r="H100" s="7" t="str">
        <x:f>IF(OR(A100="",SUMIFS(Calculations!$H$2:$H$201,'Trial Rows'!$B$2:$B$201,'Trial Rows'!B100,'Trial Rows'!$C$2:$C$201,'Trial Rows'!C100,'Trial Rows'!$F$2:$F$201,'Trial Rows'!F100,'Trial Rows'!$Y$2:$Y$201,'Trial Rows'!Y100)=0),"",SUMIFS(Calculations!$I$2:$I$201,'Trial Rows'!$B$2:$B$201,'Trial Rows'!B100,'Trial Rows'!$C$2:$C$201,'Trial Rows'!C100,'Trial Rows'!$F$2:$F$201,'Trial Rows'!F100,'Trial Rows'!$Y$2:$Y$201,'Trial Rows'!Y100)/SUMIFS(Calculations!$H$2:$H$201,'Trial Rows'!$B$2:$B$201,'Trial Rows'!B100,'Trial Rows'!$C$2:$C$201,'Trial Rows'!C100,'Trial Rows'!$F$2:$F$201,'Trial Rows'!F100,'Trial Rows'!$Y$2:$Y$201,'Trial Rows'!Y100))</x:f>
      </x:c>
      <x:c r="I100" s="2" t="str">
        <x:f>IF(AND(A100&lt;&gt;"",COUNTIFS('Trial Rows'!$B$2:$B$201,'Trial Rows'!B100,'Trial Rows'!$C$2:$C$201,'Trial Rows'!C100,'Trial Rows'!$F$2:$F$201,'Trial Rows'!F100,'Trial Rows'!$Y$2:$Y$201,'Trial Rows'!Y100,'Trial Rows'!$G$2:$G$201,"A",Calculations!$R$2:$R$201,"&gt;=0",Calculations!$R$2:$R$201,"&lt;&gt;")=1),SUMIFS(Calculations!$R$2:$R$201,'Trial Rows'!$B$2:$B$201,'Trial Rows'!B100,'Trial Rows'!$C$2:$C$201,'Trial Rows'!C100,'Trial Rows'!$F$2:$F$201,'Trial Rows'!F100,'Trial Rows'!$Y$2:$Y$201,'Trial Rows'!Y100,'Trial Rows'!$G$2:$G$201,"A"),"")</x:f>
      </x:c>
      <x:c r="J100" s="2" t="str">
        <x:f>IF(AND(A100&lt;&gt;"",COUNTIFS('Trial Rows'!$B$2:$B$201,'Trial Rows'!B100,'Trial Rows'!$C$2:$C$201,'Trial Rows'!C100,'Trial Rows'!$F$2:$F$201,'Trial Rows'!F100,'Trial Rows'!$Y$2:$Y$201,'Trial Rows'!Y100,'Trial Rows'!$G$2:$G$201,"B",Calculations!$R$2:$R$201,"&gt;=0",Calculations!$R$2:$R$201,"&lt;&gt;")=1),SUMIFS(Calculations!$R$2:$R$201,'Trial Rows'!$B$2:$B$201,'Trial Rows'!B100,'Trial Rows'!$C$2:$C$201,'Trial Rows'!C100,'Trial Rows'!$F$2:$F$201,'Trial Rows'!F100,'Trial Rows'!$Y$2:$Y$201,'Trial Rows'!Y100,'Trial Rows'!$G$2:$G$201,"B"),"")</x:f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 t="str">
        <x:f>IF(AND(Calculations!B101=1,'Trial Rows'!G101="B",'Trial Rows'!I101=1,Calculations!D101=1),'Trial Rows'!C101,"")</x:f>
      </x:c>
      <x:c r="B101" s="2" t="str">
        <x:f>IF(A101="","",'Trial Rows'!B101)</x:f>
      </x:c>
      <x:c r="C101" s="2" t="str">
        <x:f>IF(A101="","",'Trial Rows'!F101)</x:f>
      </x:c>
      <x:c r="D101" s="2" t="str">
        <x:f>IF(A101="","",'Trial Rows'!H101)</x:f>
      </x:c>
      <x:c r="E101" s="2" t="str">
        <x:f>IF(A101="","",SUMIFS(Calculations!$F$2:$F$201,'Trial Rows'!$B$2:$B$201,'Trial Rows'!B101,'Trial Rows'!$C$2:$C$201,'Trial Rows'!C101,'Trial Rows'!$F$2:$F$201,'Trial Rows'!F101,'Trial Rows'!$Y$2:$Y$201,'Trial Rows'!Y101))</x:f>
      </x:c>
      <x:c r="F101" s="2" t="str">
        <x:f>IF(A101="","",SUMIFS(Calculations!$G$2:$G$201,'Trial Rows'!$B$2:$B$201,'Trial Rows'!B101,'Trial Rows'!$C$2:$C$201,'Trial Rows'!C101,'Trial Rows'!$F$2:$F$201,'Trial Rows'!F101,'Trial Rows'!$Y$2:$Y$201,'Trial Rows'!Y101))</x:f>
      </x:c>
      <x:c r="G101" s="7" t="str">
        <x:f>IF(OR(A101="",E101=0),"",F101/E101)</x:f>
      </x:c>
      <x:c r="H101" s="7" t="str">
        <x:f>IF(OR(A101="",SUMIFS(Calculations!$H$2:$H$201,'Trial Rows'!$B$2:$B$201,'Trial Rows'!B101,'Trial Rows'!$C$2:$C$201,'Trial Rows'!C101,'Trial Rows'!$F$2:$F$201,'Trial Rows'!F101,'Trial Rows'!$Y$2:$Y$201,'Trial Rows'!Y101)=0),"",SUMIFS(Calculations!$I$2:$I$201,'Trial Rows'!$B$2:$B$201,'Trial Rows'!B101,'Trial Rows'!$C$2:$C$201,'Trial Rows'!C101,'Trial Rows'!$F$2:$F$201,'Trial Rows'!F101,'Trial Rows'!$Y$2:$Y$201,'Trial Rows'!Y101)/SUMIFS(Calculations!$H$2:$H$201,'Trial Rows'!$B$2:$B$201,'Trial Rows'!B101,'Trial Rows'!$C$2:$C$201,'Trial Rows'!C101,'Trial Rows'!$F$2:$F$201,'Trial Rows'!F101,'Trial Rows'!$Y$2:$Y$201,'Trial Rows'!Y101))</x:f>
      </x:c>
      <x:c r="I101" s="2" t="str">
        <x:f>IF(AND(A101&lt;&gt;"",COUNTIFS('Trial Rows'!$B$2:$B$201,'Trial Rows'!B101,'Trial Rows'!$C$2:$C$201,'Trial Rows'!C101,'Trial Rows'!$F$2:$F$201,'Trial Rows'!F101,'Trial Rows'!$Y$2:$Y$201,'Trial Rows'!Y101,'Trial Rows'!$G$2:$G$201,"A",Calculations!$R$2:$R$201,"&gt;=0",Calculations!$R$2:$R$201,"&lt;&gt;")=1),SUMIFS(Calculations!$R$2:$R$201,'Trial Rows'!$B$2:$B$201,'Trial Rows'!B101,'Trial Rows'!$C$2:$C$201,'Trial Rows'!C101,'Trial Rows'!$F$2:$F$201,'Trial Rows'!F101,'Trial Rows'!$Y$2:$Y$201,'Trial Rows'!Y101,'Trial Rows'!$G$2:$G$201,"A"),"")</x:f>
      </x:c>
      <x:c r="J101" s="2" t="str">
        <x:f>IF(AND(A101&lt;&gt;"",COUNTIFS('Trial Rows'!$B$2:$B$201,'Trial Rows'!B101,'Trial Rows'!$C$2:$C$201,'Trial Rows'!C101,'Trial Rows'!$F$2:$F$201,'Trial Rows'!F101,'Trial Rows'!$Y$2:$Y$201,'Trial Rows'!Y101,'Trial Rows'!$G$2:$G$201,"B",Calculations!$R$2:$R$201,"&gt;=0",Calculations!$R$2:$R$201,"&lt;&gt;")=1),SUMIFS(Calculations!$R$2:$R$201,'Trial Rows'!$B$2:$B$201,'Trial Rows'!B101,'Trial Rows'!$C$2:$C$201,'Trial Rows'!C101,'Trial Rows'!$F$2:$F$201,'Trial Rows'!F101,'Trial Rows'!$Y$2:$Y$201,'Trial Rows'!Y101,'Trial Rows'!$G$2:$G$201,"B"),"")</x:f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 t="str">
        <x:f>IF(AND(Calculations!B102=1,'Trial Rows'!G102="B",'Trial Rows'!I102=1,Calculations!D102=1),'Trial Rows'!C102,"")</x:f>
      </x:c>
      <x:c r="B102" s="2" t="str">
        <x:f>IF(A102="","",'Trial Rows'!B102)</x:f>
      </x:c>
      <x:c r="C102" s="2" t="str">
        <x:f>IF(A102="","",'Trial Rows'!F102)</x:f>
      </x:c>
      <x:c r="D102" s="2" t="str">
        <x:f>IF(A102="","",'Trial Rows'!H102)</x:f>
      </x:c>
      <x:c r="E102" s="2" t="str">
        <x:f>IF(A102="","",SUMIFS(Calculations!$F$2:$F$201,'Trial Rows'!$B$2:$B$201,'Trial Rows'!B102,'Trial Rows'!$C$2:$C$201,'Trial Rows'!C102,'Trial Rows'!$F$2:$F$201,'Trial Rows'!F102,'Trial Rows'!$Y$2:$Y$201,'Trial Rows'!Y102))</x:f>
      </x:c>
      <x:c r="F102" s="2" t="str">
        <x:f>IF(A102="","",SUMIFS(Calculations!$G$2:$G$201,'Trial Rows'!$B$2:$B$201,'Trial Rows'!B102,'Trial Rows'!$C$2:$C$201,'Trial Rows'!C102,'Trial Rows'!$F$2:$F$201,'Trial Rows'!F102,'Trial Rows'!$Y$2:$Y$201,'Trial Rows'!Y102))</x:f>
      </x:c>
      <x:c r="G102" s="7" t="str">
        <x:f>IF(OR(A102="",E102=0),"",F102/E102)</x:f>
      </x:c>
      <x:c r="H102" s="7" t="str">
        <x:f>IF(OR(A102="",SUMIFS(Calculations!$H$2:$H$201,'Trial Rows'!$B$2:$B$201,'Trial Rows'!B102,'Trial Rows'!$C$2:$C$201,'Trial Rows'!C102,'Trial Rows'!$F$2:$F$201,'Trial Rows'!F102,'Trial Rows'!$Y$2:$Y$201,'Trial Rows'!Y102)=0),"",SUMIFS(Calculations!$I$2:$I$201,'Trial Rows'!$B$2:$B$201,'Trial Rows'!B102,'Trial Rows'!$C$2:$C$201,'Trial Rows'!C102,'Trial Rows'!$F$2:$F$201,'Trial Rows'!F102,'Trial Rows'!$Y$2:$Y$201,'Trial Rows'!Y102)/SUMIFS(Calculations!$H$2:$H$201,'Trial Rows'!$B$2:$B$201,'Trial Rows'!B102,'Trial Rows'!$C$2:$C$201,'Trial Rows'!C102,'Trial Rows'!$F$2:$F$201,'Trial Rows'!F102,'Trial Rows'!$Y$2:$Y$201,'Trial Rows'!Y102))</x:f>
      </x:c>
      <x:c r="I102" s="2" t="str">
        <x:f>IF(AND(A102&lt;&gt;"",COUNTIFS('Trial Rows'!$B$2:$B$201,'Trial Rows'!B102,'Trial Rows'!$C$2:$C$201,'Trial Rows'!C102,'Trial Rows'!$F$2:$F$201,'Trial Rows'!F102,'Trial Rows'!$Y$2:$Y$201,'Trial Rows'!Y102,'Trial Rows'!$G$2:$G$201,"A",Calculations!$R$2:$R$201,"&gt;=0",Calculations!$R$2:$R$201,"&lt;&gt;")=1),SUMIFS(Calculations!$R$2:$R$201,'Trial Rows'!$B$2:$B$201,'Trial Rows'!B102,'Trial Rows'!$C$2:$C$201,'Trial Rows'!C102,'Trial Rows'!$F$2:$F$201,'Trial Rows'!F102,'Trial Rows'!$Y$2:$Y$201,'Trial Rows'!Y102,'Trial Rows'!$G$2:$G$201,"A"),"")</x:f>
      </x:c>
      <x:c r="J102" s="2" t="str">
        <x:f>IF(AND(A102&lt;&gt;"",COUNTIFS('Trial Rows'!$B$2:$B$201,'Trial Rows'!B102,'Trial Rows'!$C$2:$C$201,'Trial Rows'!C102,'Trial Rows'!$F$2:$F$201,'Trial Rows'!F102,'Trial Rows'!$Y$2:$Y$201,'Trial Rows'!Y102,'Trial Rows'!$G$2:$G$201,"B",Calculations!$R$2:$R$201,"&gt;=0",Calculations!$R$2:$R$201,"&lt;&gt;")=1),SUMIFS(Calculations!$R$2:$R$201,'Trial Rows'!$B$2:$B$201,'Trial Rows'!B102,'Trial Rows'!$C$2:$C$201,'Trial Rows'!C102,'Trial Rows'!$F$2:$F$201,'Trial Rows'!F102,'Trial Rows'!$Y$2:$Y$201,'Trial Rows'!Y102,'Trial Rows'!$G$2:$G$201,"B"),"")</x:f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 t="str">
        <x:f>IF(AND(Calculations!B103=1,'Trial Rows'!G103="B",'Trial Rows'!I103=1,Calculations!D103=1),'Trial Rows'!C103,"")</x:f>
      </x:c>
      <x:c r="B103" s="2" t="str">
        <x:f>IF(A103="","",'Trial Rows'!B103)</x:f>
      </x:c>
      <x:c r="C103" s="2" t="str">
        <x:f>IF(A103="","",'Trial Rows'!F103)</x:f>
      </x:c>
      <x:c r="D103" s="2" t="str">
        <x:f>IF(A103="","",'Trial Rows'!H103)</x:f>
      </x:c>
      <x:c r="E103" s="2" t="str">
        <x:f>IF(A103="","",SUMIFS(Calculations!$F$2:$F$201,'Trial Rows'!$B$2:$B$201,'Trial Rows'!B103,'Trial Rows'!$C$2:$C$201,'Trial Rows'!C103,'Trial Rows'!$F$2:$F$201,'Trial Rows'!F103,'Trial Rows'!$Y$2:$Y$201,'Trial Rows'!Y103))</x:f>
      </x:c>
      <x:c r="F103" s="2" t="str">
        <x:f>IF(A103="","",SUMIFS(Calculations!$G$2:$G$201,'Trial Rows'!$B$2:$B$201,'Trial Rows'!B103,'Trial Rows'!$C$2:$C$201,'Trial Rows'!C103,'Trial Rows'!$F$2:$F$201,'Trial Rows'!F103,'Trial Rows'!$Y$2:$Y$201,'Trial Rows'!Y103))</x:f>
      </x:c>
      <x:c r="G103" s="7" t="str">
        <x:f>IF(OR(A103="",E103=0),"",F103/E103)</x:f>
      </x:c>
      <x:c r="H103" s="7" t="str">
        <x:f>IF(OR(A103="",SUMIFS(Calculations!$H$2:$H$201,'Trial Rows'!$B$2:$B$201,'Trial Rows'!B103,'Trial Rows'!$C$2:$C$201,'Trial Rows'!C103,'Trial Rows'!$F$2:$F$201,'Trial Rows'!F103,'Trial Rows'!$Y$2:$Y$201,'Trial Rows'!Y103)=0),"",SUMIFS(Calculations!$I$2:$I$201,'Trial Rows'!$B$2:$B$201,'Trial Rows'!B103,'Trial Rows'!$C$2:$C$201,'Trial Rows'!C103,'Trial Rows'!$F$2:$F$201,'Trial Rows'!F103,'Trial Rows'!$Y$2:$Y$201,'Trial Rows'!Y103)/SUMIFS(Calculations!$H$2:$H$201,'Trial Rows'!$B$2:$B$201,'Trial Rows'!B103,'Trial Rows'!$C$2:$C$201,'Trial Rows'!C103,'Trial Rows'!$F$2:$F$201,'Trial Rows'!F103,'Trial Rows'!$Y$2:$Y$201,'Trial Rows'!Y103))</x:f>
      </x:c>
      <x:c r="I103" s="2" t="str">
        <x:f>IF(AND(A103&lt;&gt;"",COUNTIFS('Trial Rows'!$B$2:$B$201,'Trial Rows'!B103,'Trial Rows'!$C$2:$C$201,'Trial Rows'!C103,'Trial Rows'!$F$2:$F$201,'Trial Rows'!F103,'Trial Rows'!$Y$2:$Y$201,'Trial Rows'!Y103,'Trial Rows'!$G$2:$G$201,"A",Calculations!$R$2:$R$201,"&gt;=0",Calculations!$R$2:$R$201,"&lt;&gt;")=1),SUMIFS(Calculations!$R$2:$R$201,'Trial Rows'!$B$2:$B$201,'Trial Rows'!B103,'Trial Rows'!$C$2:$C$201,'Trial Rows'!C103,'Trial Rows'!$F$2:$F$201,'Trial Rows'!F103,'Trial Rows'!$Y$2:$Y$201,'Trial Rows'!Y103,'Trial Rows'!$G$2:$G$201,"A"),"")</x:f>
      </x:c>
      <x:c r="J103" s="2" t="str">
        <x:f>IF(AND(A103&lt;&gt;"",COUNTIFS('Trial Rows'!$B$2:$B$201,'Trial Rows'!B103,'Trial Rows'!$C$2:$C$201,'Trial Rows'!C103,'Trial Rows'!$F$2:$F$201,'Trial Rows'!F103,'Trial Rows'!$Y$2:$Y$201,'Trial Rows'!Y103,'Trial Rows'!$G$2:$G$201,"B",Calculations!$R$2:$R$201,"&gt;=0",Calculations!$R$2:$R$201,"&lt;&gt;")=1),SUMIFS(Calculations!$R$2:$R$201,'Trial Rows'!$B$2:$B$201,'Trial Rows'!B103,'Trial Rows'!$C$2:$C$201,'Trial Rows'!C103,'Trial Rows'!$F$2:$F$201,'Trial Rows'!F103,'Trial Rows'!$Y$2:$Y$201,'Trial Rows'!Y103,'Trial Rows'!$G$2:$G$201,"B"),"")</x:f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 t="str">
        <x:f>IF(AND(Calculations!B104=1,'Trial Rows'!G104="B",'Trial Rows'!I104=1,Calculations!D104=1),'Trial Rows'!C104,"")</x:f>
      </x:c>
      <x:c r="B104" s="2" t="str">
        <x:f>IF(A104="","",'Trial Rows'!B104)</x:f>
      </x:c>
      <x:c r="C104" s="2" t="str">
        <x:f>IF(A104="","",'Trial Rows'!F104)</x:f>
      </x:c>
      <x:c r="D104" s="2" t="str">
        <x:f>IF(A104="","",'Trial Rows'!H104)</x:f>
      </x:c>
      <x:c r="E104" s="2" t="str">
        <x:f>IF(A104="","",SUMIFS(Calculations!$F$2:$F$201,'Trial Rows'!$B$2:$B$201,'Trial Rows'!B104,'Trial Rows'!$C$2:$C$201,'Trial Rows'!C104,'Trial Rows'!$F$2:$F$201,'Trial Rows'!F104,'Trial Rows'!$Y$2:$Y$201,'Trial Rows'!Y104))</x:f>
      </x:c>
      <x:c r="F104" s="2" t="str">
        <x:f>IF(A104="","",SUMIFS(Calculations!$G$2:$G$201,'Trial Rows'!$B$2:$B$201,'Trial Rows'!B104,'Trial Rows'!$C$2:$C$201,'Trial Rows'!C104,'Trial Rows'!$F$2:$F$201,'Trial Rows'!F104,'Trial Rows'!$Y$2:$Y$201,'Trial Rows'!Y104))</x:f>
      </x:c>
      <x:c r="G104" s="7" t="str">
        <x:f>IF(OR(A104="",E104=0),"",F104/E104)</x:f>
      </x:c>
      <x:c r="H104" s="7" t="str">
        <x:f>IF(OR(A104="",SUMIFS(Calculations!$H$2:$H$201,'Trial Rows'!$B$2:$B$201,'Trial Rows'!B104,'Trial Rows'!$C$2:$C$201,'Trial Rows'!C104,'Trial Rows'!$F$2:$F$201,'Trial Rows'!F104,'Trial Rows'!$Y$2:$Y$201,'Trial Rows'!Y104)=0),"",SUMIFS(Calculations!$I$2:$I$201,'Trial Rows'!$B$2:$B$201,'Trial Rows'!B104,'Trial Rows'!$C$2:$C$201,'Trial Rows'!C104,'Trial Rows'!$F$2:$F$201,'Trial Rows'!F104,'Trial Rows'!$Y$2:$Y$201,'Trial Rows'!Y104)/SUMIFS(Calculations!$H$2:$H$201,'Trial Rows'!$B$2:$B$201,'Trial Rows'!B104,'Trial Rows'!$C$2:$C$201,'Trial Rows'!C104,'Trial Rows'!$F$2:$F$201,'Trial Rows'!F104,'Trial Rows'!$Y$2:$Y$201,'Trial Rows'!Y104))</x:f>
      </x:c>
      <x:c r="I104" s="2" t="str">
        <x:f>IF(AND(A104&lt;&gt;"",COUNTIFS('Trial Rows'!$B$2:$B$201,'Trial Rows'!B104,'Trial Rows'!$C$2:$C$201,'Trial Rows'!C104,'Trial Rows'!$F$2:$F$201,'Trial Rows'!F104,'Trial Rows'!$Y$2:$Y$201,'Trial Rows'!Y104,'Trial Rows'!$G$2:$G$201,"A",Calculations!$R$2:$R$201,"&gt;=0",Calculations!$R$2:$R$201,"&lt;&gt;")=1),SUMIFS(Calculations!$R$2:$R$201,'Trial Rows'!$B$2:$B$201,'Trial Rows'!B104,'Trial Rows'!$C$2:$C$201,'Trial Rows'!C104,'Trial Rows'!$F$2:$F$201,'Trial Rows'!F104,'Trial Rows'!$Y$2:$Y$201,'Trial Rows'!Y104,'Trial Rows'!$G$2:$G$201,"A"),"")</x:f>
      </x:c>
      <x:c r="J104" s="2" t="str">
        <x:f>IF(AND(A104&lt;&gt;"",COUNTIFS('Trial Rows'!$B$2:$B$201,'Trial Rows'!B104,'Trial Rows'!$C$2:$C$201,'Trial Rows'!C104,'Trial Rows'!$F$2:$F$201,'Trial Rows'!F104,'Trial Rows'!$Y$2:$Y$201,'Trial Rows'!Y104,'Trial Rows'!$G$2:$G$201,"B",Calculations!$R$2:$R$201,"&gt;=0",Calculations!$R$2:$R$201,"&lt;&gt;")=1),SUMIFS(Calculations!$R$2:$R$201,'Trial Rows'!$B$2:$B$201,'Trial Rows'!B104,'Trial Rows'!$C$2:$C$201,'Trial Rows'!C104,'Trial Rows'!$F$2:$F$201,'Trial Rows'!F104,'Trial Rows'!$Y$2:$Y$201,'Trial Rows'!Y104,'Trial Rows'!$G$2:$G$201,"B"),"")</x:f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 t="str">
        <x:f>IF(AND(Calculations!B105=1,'Trial Rows'!G105="B",'Trial Rows'!I105=1,Calculations!D105=1),'Trial Rows'!C105,"")</x:f>
      </x:c>
      <x:c r="B105" s="2" t="str">
        <x:f>IF(A105="","",'Trial Rows'!B105)</x:f>
      </x:c>
      <x:c r="C105" s="2" t="str">
        <x:f>IF(A105="","",'Trial Rows'!F105)</x:f>
      </x:c>
      <x:c r="D105" s="2" t="str">
        <x:f>IF(A105="","",'Trial Rows'!H105)</x:f>
      </x:c>
      <x:c r="E105" s="2" t="str">
        <x:f>IF(A105="","",SUMIFS(Calculations!$F$2:$F$201,'Trial Rows'!$B$2:$B$201,'Trial Rows'!B105,'Trial Rows'!$C$2:$C$201,'Trial Rows'!C105,'Trial Rows'!$F$2:$F$201,'Trial Rows'!F105,'Trial Rows'!$Y$2:$Y$201,'Trial Rows'!Y105))</x:f>
      </x:c>
      <x:c r="F105" s="2" t="str">
        <x:f>IF(A105="","",SUMIFS(Calculations!$G$2:$G$201,'Trial Rows'!$B$2:$B$201,'Trial Rows'!B105,'Trial Rows'!$C$2:$C$201,'Trial Rows'!C105,'Trial Rows'!$F$2:$F$201,'Trial Rows'!F105,'Trial Rows'!$Y$2:$Y$201,'Trial Rows'!Y105))</x:f>
      </x:c>
      <x:c r="G105" s="7" t="str">
        <x:f>IF(OR(A105="",E105=0),"",F105/E105)</x:f>
      </x:c>
      <x:c r="H105" s="7" t="str">
        <x:f>IF(OR(A105="",SUMIFS(Calculations!$H$2:$H$201,'Trial Rows'!$B$2:$B$201,'Trial Rows'!B105,'Trial Rows'!$C$2:$C$201,'Trial Rows'!C105,'Trial Rows'!$F$2:$F$201,'Trial Rows'!F105,'Trial Rows'!$Y$2:$Y$201,'Trial Rows'!Y105)=0),"",SUMIFS(Calculations!$I$2:$I$201,'Trial Rows'!$B$2:$B$201,'Trial Rows'!B105,'Trial Rows'!$C$2:$C$201,'Trial Rows'!C105,'Trial Rows'!$F$2:$F$201,'Trial Rows'!F105,'Trial Rows'!$Y$2:$Y$201,'Trial Rows'!Y105)/SUMIFS(Calculations!$H$2:$H$201,'Trial Rows'!$B$2:$B$201,'Trial Rows'!B105,'Trial Rows'!$C$2:$C$201,'Trial Rows'!C105,'Trial Rows'!$F$2:$F$201,'Trial Rows'!F105,'Trial Rows'!$Y$2:$Y$201,'Trial Rows'!Y105))</x:f>
      </x:c>
      <x:c r="I105" s="2" t="str">
        <x:f>IF(AND(A105&lt;&gt;"",COUNTIFS('Trial Rows'!$B$2:$B$201,'Trial Rows'!B105,'Trial Rows'!$C$2:$C$201,'Trial Rows'!C105,'Trial Rows'!$F$2:$F$201,'Trial Rows'!F105,'Trial Rows'!$Y$2:$Y$201,'Trial Rows'!Y105,'Trial Rows'!$G$2:$G$201,"A",Calculations!$R$2:$R$201,"&gt;=0",Calculations!$R$2:$R$201,"&lt;&gt;")=1),SUMIFS(Calculations!$R$2:$R$201,'Trial Rows'!$B$2:$B$201,'Trial Rows'!B105,'Trial Rows'!$C$2:$C$201,'Trial Rows'!C105,'Trial Rows'!$F$2:$F$201,'Trial Rows'!F105,'Trial Rows'!$Y$2:$Y$201,'Trial Rows'!Y105,'Trial Rows'!$G$2:$G$201,"A"),"")</x:f>
      </x:c>
      <x:c r="J105" s="2" t="str">
        <x:f>IF(AND(A105&lt;&gt;"",COUNTIFS('Trial Rows'!$B$2:$B$201,'Trial Rows'!B105,'Trial Rows'!$C$2:$C$201,'Trial Rows'!C105,'Trial Rows'!$F$2:$F$201,'Trial Rows'!F105,'Trial Rows'!$Y$2:$Y$201,'Trial Rows'!Y105,'Trial Rows'!$G$2:$G$201,"B",Calculations!$R$2:$R$201,"&gt;=0",Calculations!$R$2:$R$201,"&lt;&gt;")=1),SUMIFS(Calculations!$R$2:$R$201,'Trial Rows'!$B$2:$B$201,'Trial Rows'!B105,'Trial Rows'!$C$2:$C$201,'Trial Rows'!C105,'Trial Rows'!$F$2:$F$201,'Trial Rows'!F105,'Trial Rows'!$Y$2:$Y$201,'Trial Rows'!Y105,'Trial Rows'!$G$2:$G$201,"B"),"")</x:f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 t="str">
        <x:f>IF(AND(Calculations!B106=1,'Trial Rows'!G106="B",'Trial Rows'!I106=1,Calculations!D106=1),'Trial Rows'!C106,"")</x:f>
      </x:c>
      <x:c r="B106" s="2" t="str">
        <x:f>IF(A106="","",'Trial Rows'!B106)</x:f>
      </x:c>
      <x:c r="C106" s="2" t="str">
        <x:f>IF(A106="","",'Trial Rows'!F106)</x:f>
      </x:c>
      <x:c r="D106" s="2" t="str">
        <x:f>IF(A106="","",'Trial Rows'!H106)</x:f>
      </x:c>
      <x:c r="E106" s="2" t="str">
        <x:f>IF(A106="","",SUMIFS(Calculations!$F$2:$F$201,'Trial Rows'!$B$2:$B$201,'Trial Rows'!B106,'Trial Rows'!$C$2:$C$201,'Trial Rows'!C106,'Trial Rows'!$F$2:$F$201,'Trial Rows'!F106,'Trial Rows'!$Y$2:$Y$201,'Trial Rows'!Y106))</x:f>
      </x:c>
      <x:c r="F106" s="2" t="str">
        <x:f>IF(A106="","",SUMIFS(Calculations!$G$2:$G$201,'Trial Rows'!$B$2:$B$201,'Trial Rows'!B106,'Trial Rows'!$C$2:$C$201,'Trial Rows'!C106,'Trial Rows'!$F$2:$F$201,'Trial Rows'!F106,'Trial Rows'!$Y$2:$Y$201,'Trial Rows'!Y106))</x:f>
      </x:c>
      <x:c r="G106" s="7" t="str">
        <x:f>IF(OR(A106="",E106=0),"",F106/E106)</x:f>
      </x:c>
      <x:c r="H106" s="7" t="str">
        <x:f>IF(OR(A106="",SUMIFS(Calculations!$H$2:$H$201,'Trial Rows'!$B$2:$B$201,'Trial Rows'!B106,'Trial Rows'!$C$2:$C$201,'Trial Rows'!C106,'Trial Rows'!$F$2:$F$201,'Trial Rows'!F106,'Trial Rows'!$Y$2:$Y$201,'Trial Rows'!Y106)=0),"",SUMIFS(Calculations!$I$2:$I$201,'Trial Rows'!$B$2:$B$201,'Trial Rows'!B106,'Trial Rows'!$C$2:$C$201,'Trial Rows'!C106,'Trial Rows'!$F$2:$F$201,'Trial Rows'!F106,'Trial Rows'!$Y$2:$Y$201,'Trial Rows'!Y106)/SUMIFS(Calculations!$H$2:$H$201,'Trial Rows'!$B$2:$B$201,'Trial Rows'!B106,'Trial Rows'!$C$2:$C$201,'Trial Rows'!C106,'Trial Rows'!$F$2:$F$201,'Trial Rows'!F106,'Trial Rows'!$Y$2:$Y$201,'Trial Rows'!Y106))</x:f>
      </x:c>
      <x:c r="I106" s="2" t="str">
        <x:f>IF(AND(A106&lt;&gt;"",COUNTIFS('Trial Rows'!$B$2:$B$201,'Trial Rows'!B106,'Trial Rows'!$C$2:$C$201,'Trial Rows'!C106,'Trial Rows'!$F$2:$F$201,'Trial Rows'!F106,'Trial Rows'!$Y$2:$Y$201,'Trial Rows'!Y106,'Trial Rows'!$G$2:$G$201,"A",Calculations!$R$2:$R$201,"&gt;=0",Calculations!$R$2:$R$201,"&lt;&gt;")=1),SUMIFS(Calculations!$R$2:$R$201,'Trial Rows'!$B$2:$B$201,'Trial Rows'!B106,'Trial Rows'!$C$2:$C$201,'Trial Rows'!C106,'Trial Rows'!$F$2:$F$201,'Trial Rows'!F106,'Trial Rows'!$Y$2:$Y$201,'Trial Rows'!Y106,'Trial Rows'!$G$2:$G$201,"A"),"")</x:f>
      </x:c>
      <x:c r="J106" s="2" t="str">
        <x:f>IF(AND(A106&lt;&gt;"",COUNTIFS('Trial Rows'!$B$2:$B$201,'Trial Rows'!B106,'Trial Rows'!$C$2:$C$201,'Trial Rows'!C106,'Trial Rows'!$F$2:$F$201,'Trial Rows'!F106,'Trial Rows'!$Y$2:$Y$201,'Trial Rows'!Y106,'Trial Rows'!$G$2:$G$201,"B",Calculations!$R$2:$R$201,"&gt;=0",Calculations!$R$2:$R$201,"&lt;&gt;")=1),SUMIFS(Calculations!$R$2:$R$201,'Trial Rows'!$B$2:$B$201,'Trial Rows'!B106,'Trial Rows'!$C$2:$C$201,'Trial Rows'!C106,'Trial Rows'!$F$2:$F$201,'Trial Rows'!F106,'Trial Rows'!$Y$2:$Y$201,'Trial Rows'!Y106,'Trial Rows'!$G$2:$G$201,"B"),"")</x:f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 t="str">
        <x:f>IF(AND(Calculations!B107=1,'Trial Rows'!G107="B",'Trial Rows'!I107=1,Calculations!D107=1),'Trial Rows'!C107,"")</x:f>
      </x:c>
      <x:c r="B107" s="2" t="str">
        <x:f>IF(A107="","",'Trial Rows'!B107)</x:f>
      </x:c>
      <x:c r="C107" s="2" t="str">
        <x:f>IF(A107="","",'Trial Rows'!F107)</x:f>
      </x:c>
      <x:c r="D107" s="2" t="str">
        <x:f>IF(A107="","",'Trial Rows'!H107)</x:f>
      </x:c>
      <x:c r="E107" s="2" t="str">
        <x:f>IF(A107="","",SUMIFS(Calculations!$F$2:$F$201,'Trial Rows'!$B$2:$B$201,'Trial Rows'!B107,'Trial Rows'!$C$2:$C$201,'Trial Rows'!C107,'Trial Rows'!$F$2:$F$201,'Trial Rows'!F107,'Trial Rows'!$Y$2:$Y$201,'Trial Rows'!Y107))</x:f>
      </x:c>
      <x:c r="F107" s="2" t="str">
        <x:f>IF(A107="","",SUMIFS(Calculations!$G$2:$G$201,'Trial Rows'!$B$2:$B$201,'Trial Rows'!B107,'Trial Rows'!$C$2:$C$201,'Trial Rows'!C107,'Trial Rows'!$F$2:$F$201,'Trial Rows'!F107,'Trial Rows'!$Y$2:$Y$201,'Trial Rows'!Y107))</x:f>
      </x:c>
      <x:c r="G107" s="7" t="str">
        <x:f>IF(OR(A107="",E107=0),"",F107/E107)</x:f>
      </x:c>
      <x:c r="H107" s="7" t="str">
        <x:f>IF(OR(A107="",SUMIFS(Calculations!$H$2:$H$201,'Trial Rows'!$B$2:$B$201,'Trial Rows'!B107,'Trial Rows'!$C$2:$C$201,'Trial Rows'!C107,'Trial Rows'!$F$2:$F$201,'Trial Rows'!F107,'Trial Rows'!$Y$2:$Y$201,'Trial Rows'!Y107)=0),"",SUMIFS(Calculations!$I$2:$I$201,'Trial Rows'!$B$2:$B$201,'Trial Rows'!B107,'Trial Rows'!$C$2:$C$201,'Trial Rows'!C107,'Trial Rows'!$F$2:$F$201,'Trial Rows'!F107,'Trial Rows'!$Y$2:$Y$201,'Trial Rows'!Y107)/SUMIFS(Calculations!$H$2:$H$201,'Trial Rows'!$B$2:$B$201,'Trial Rows'!B107,'Trial Rows'!$C$2:$C$201,'Trial Rows'!C107,'Trial Rows'!$F$2:$F$201,'Trial Rows'!F107,'Trial Rows'!$Y$2:$Y$201,'Trial Rows'!Y107))</x:f>
      </x:c>
      <x:c r="I107" s="2" t="str">
        <x:f>IF(AND(A107&lt;&gt;"",COUNTIFS('Trial Rows'!$B$2:$B$201,'Trial Rows'!B107,'Trial Rows'!$C$2:$C$201,'Trial Rows'!C107,'Trial Rows'!$F$2:$F$201,'Trial Rows'!F107,'Trial Rows'!$Y$2:$Y$201,'Trial Rows'!Y107,'Trial Rows'!$G$2:$G$201,"A",Calculations!$R$2:$R$201,"&gt;=0",Calculations!$R$2:$R$201,"&lt;&gt;")=1),SUMIFS(Calculations!$R$2:$R$201,'Trial Rows'!$B$2:$B$201,'Trial Rows'!B107,'Trial Rows'!$C$2:$C$201,'Trial Rows'!C107,'Trial Rows'!$F$2:$F$201,'Trial Rows'!F107,'Trial Rows'!$Y$2:$Y$201,'Trial Rows'!Y107,'Trial Rows'!$G$2:$G$201,"A"),"")</x:f>
      </x:c>
      <x:c r="J107" s="2" t="str">
        <x:f>IF(AND(A107&lt;&gt;"",COUNTIFS('Trial Rows'!$B$2:$B$201,'Trial Rows'!B107,'Trial Rows'!$C$2:$C$201,'Trial Rows'!C107,'Trial Rows'!$F$2:$F$201,'Trial Rows'!F107,'Trial Rows'!$Y$2:$Y$201,'Trial Rows'!Y107,'Trial Rows'!$G$2:$G$201,"B",Calculations!$R$2:$R$201,"&gt;=0",Calculations!$R$2:$R$201,"&lt;&gt;")=1),SUMIFS(Calculations!$R$2:$R$201,'Trial Rows'!$B$2:$B$201,'Trial Rows'!B107,'Trial Rows'!$C$2:$C$201,'Trial Rows'!C107,'Trial Rows'!$F$2:$F$201,'Trial Rows'!F107,'Trial Rows'!$Y$2:$Y$201,'Trial Rows'!Y107,'Trial Rows'!$G$2:$G$201,"B"),"")</x:f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 t="str">
        <x:f>IF(AND(Calculations!B108=1,'Trial Rows'!G108="B",'Trial Rows'!I108=1,Calculations!D108=1),'Trial Rows'!C108,"")</x:f>
      </x:c>
      <x:c r="B108" s="2" t="str">
        <x:f>IF(A108="","",'Trial Rows'!B108)</x:f>
      </x:c>
      <x:c r="C108" s="2" t="str">
        <x:f>IF(A108="","",'Trial Rows'!F108)</x:f>
      </x:c>
      <x:c r="D108" s="2" t="str">
        <x:f>IF(A108="","",'Trial Rows'!H108)</x:f>
      </x:c>
      <x:c r="E108" s="2" t="str">
        <x:f>IF(A108="","",SUMIFS(Calculations!$F$2:$F$201,'Trial Rows'!$B$2:$B$201,'Trial Rows'!B108,'Trial Rows'!$C$2:$C$201,'Trial Rows'!C108,'Trial Rows'!$F$2:$F$201,'Trial Rows'!F108,'Trial Rows'!$Y$2:$Y$201,'Trial Rows'!Y108))</x:f>
      </x:c>
      <x:c r="F108" s="2" t="str">
        <x:f>IF(A108="","",SUMIFS(Calculations!$G$2:$G$201,'Trial Rows'!$B$2:$B$201,'Trial Rows'!B108,'Trial Rows'!$C$2:$C$201,'Trial Rows'!C108,'Trial Rows'!$F$2:$F$201,'Trial Rows'!F108,'Trial Rows'!$Y$2:$Y$201,'Trial Rows'!Y108))</x:f>
      </x:c>
      <x:c r="G108" s="7" t="str">
        <x:f>IF(OR(A108="",E108=0),"",F108/E108)</x:f>
      </x:c>
      <x:c r="H108" s="7" t="str">
        <x:f>IF(OR(A108="",SUMIFS(Calculations!$H$2:$H$201,'Trial Rows'!$B$2:$B$201,'Trial Rows'!B108,'Trial Rows'!$C$2:$C$201,'Trial Rows'!C108,'Trial Rows'!$F$2:$F$201,'Trial Rows'!F108,'Trial Rows'!$Y$2:$Y$201,'Trial Rows'!Y108)=0),"",SUMIFS(Calculations!$I$2:$I$201,'Trial Rows'!$B$2:$B$201,'Trial Rows'!B108,'Trial Rows'!$C$2:$C$201,'Trial Rows'!C108,'Trial Rows'!$F$2:$F$201,'Trial Rows'!F108,'Trial Rows'!$Y$2:$Y$201,'Trial Rows'!Y108)/SUMIFS(Calculations!$H$2:$H$201,'Trial Rows'!$B$2:$B$201,'Trial Rows'!B108,'Trial Rows'!$C$2:$C$201,'Trial Rows'!C108,'Trial Rows'!$F$2:$F$201,'Trial Rows'!F108,'Trial Rows'!$Y$2:$Y$201,'Trial Rows'!Y108))</x:f>
      </x:c>
      <x:c r="I108" s="2" t="str">
        <x:f>IF(AND(A108&lt;&gt;"",COUNTIFS('Trial Rows'!$B$2:$B$201,'Trial Rows'!B108,'Trial Rows'!$C$2:$C$201,'Trial Rows'!C108,'Trial Rows'!$F$2:$F$201,'Trial Rows'!F108,'Trial Rows'!$Y$2:$Y$201,'Trial Rows'!Y108,'Trial Rows'!$G$2:$G$201,"A",Calculations!$R$2:$R$201,"&gt;=0",Calculations!$R$2:$R$201,"&lt;&gt;")=1),SUMIFS(Calculations!$R$2:$R$201,'Trial Rows'!$B$2:$B$201,'Trial Rows'!B108,'Trial Rows'!$C$2:$C$201,'Trial Rows'!C108,'Trial Rows'!$F$2:$F$201,'Trial Rows'!F108,'Trial Rows'!$Y$2:$Y$201,'Trial Rows'!Y108,'Trial Rows'!$G$2:$G$201,"A"),"")</x:f>
      </x:c>
      <x:c r="J108" s="2" t="str">
        <x:f>IF(AND(A108&lt;&gt;"",COUNTIFS('Trial Rows'!$B$2:$B$201,'Trial Rows'!B108,'Trial Rows'!$C$2:$C$201,'Trial Rows'!C108,'Trial Rows'!$F$2:$F$201,'Trial Rows'!F108,'Trial Rows'!$Y$2:$Y$201,'Trial Rows'!Y108,'Trial Rows'!$G$2:$G$201,"B",Calculations!$R$2:$R$201,"&gt;=0",Calculations!$R$2:$R$201,"&lt;&gt;")=1),SUMIFS(Calculations!$R$2:$R$201,'Trial Rows'!$B$2:$B$201,'Trial Rows'!B108,'Trial Rows'!$C$2:$C$201,'Trial Rows'!C108,'Trial Rows'!$F$2:$F$201,'Trial Rows'!F108,'Trial Rows'!$Y$2:$Y$201,'Trial Rows'!Y108,'Trial Rows'!$G$2:$G$201,"B"),"")</x:f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 t="str">
        <x:f>IF(AND(Calculations!B109=1,'Trial Rows'!G109="B",'Trial Rows'!I109=1,Calculations!D109=1),'Trial Rows'!C109,"")</x:f>
      </x:c>
      <x:c r="B109" s="2" t="str">
        <x:f>IF(A109="","",'Trial Rows'!B109)</x:f>
      </x:c>
      <x:c r="C109" s="2" t="str">
        <x:f>IF(A109="","",'Trial Rows'!F109)</x:f>
      </x:c>
      <x:c r="D109" s="2" t="str">
        <x:f>IF(A109="","",'Trial Rows'!H109)</x:f>
      </x:c>
      <x:c r="E109" s="2" t="str">
        <x:f>IF(A109="","",SUMIFS(Calculations!$F$2:$F$201,'Trial Rows'!$B$2:$B$201,'Trial Rows'!B109,'Trial Rows'!$C$2:$C$201,'Trial Rows'!C109,'Trial Rows'!$F$2:$F$201,'Trial Rows'!F109,'Trial Rows'!$Y$2:$Y$201,'Trial Rows'!Y109))</x:f>
      </x:c>
      <x:c r="F109" s="2" t="str">
        <x:f>IF(A109="","",SUMIFS(Calculations!$G$2:$G$201,'Trial Rows'!$B$2:$B$201,'Trial Rows'!B109,'Trial Rows'!$C$2:$C$201,'Trial Rows'!C109,'Trial Rows'!$F$2:$F$201,'Trial Rows'!F109,'Trial Rows'!$Y$2:$Y$201,'Trial Rows'!Y109))</x:f>
      </x:c>
      <x:c r="G109" s="7" t="str">
        <x:f>IF(OR(A109="",E109=0),"",F109/E109)</x:f>
      </x:c>
      <x:c r="H109" s="7" t="str">
        <x:f>IF(OR(A109="",SUMIFS(Calculations!$H$2:$H$201,'Trial Rows'!$B$2:$B$201,'Trial Rows'!B109,'Trial Rows'!$C$2:$C$201,'Trial Rows'!C109,'Trial Rows'!$F$2:$F$201,'Trial Rows'!F109,'Trial Rows'!$Y$2:$Y$201,'Trial Rows'!Y109)=0),"",SUMIFS(Calculations!$I$2:$I$201,'Trial Rows'!$B$2:$B$201,'Trial Rows'!B109,'Trial Rows'!$C$2:$C$201,'Trial Rows'!C109,'Trial Rows'!$F$2:$F$201,'Trial Rows'!F109,'Trial Rows'!$Y$2:$Y$201,'Trial Rows'!Y109)/SUMIFS(Calculations!$H$2:$H$201,'Trial Rows'!$B$2:$B$201,'Trial Rows'!B109,'Trial Rows'!$C$2:$C$201,'Trial Rows'!C109,'Trial Rows'!$F$2:$F$201,'Trial Rows'!F109,'Trial Rows'!$Y$2:$Y$201,'Trial Rows'!Y109))</x:f>
      </x:c>
      <x:c r="I109" s="2" t="str">
        <x:f>IF(AND(A109&lt;&gt;"",COUNTIFS('Trial Rows'!$B$2:$B$201,'Trial Rows'!B109,'Trial Rows'!$C$2:$C$201,'Trial Rows'!C109,'Trial Rows'!$F$2:$F$201,'Trial Rows'!F109,'Trial Rows'!$Y$2:$Y$201,'Trial Rows'!Y109,'Trial Rows'!$G$2:$G$201,"A",Calculations!$R$2:$R$201,"&gt;=0",Calculations!$R$2:$R$201,"&lt;&gt;")=1),SUMIFS(Calculations!$R$2:$R$201,'Trial Rows'!$B$2:$B$201,'Trial Rows'!B109,'Trial Rows'!$C$2:$C$201,'Trial Rows'!C109,'Trial Rows'!$F$2:$F$201,'Trial Rows'!F109,'Trial Rows'!$Y$2:$Y$201,'Trial Rows'!Y109,'Trial Rows'!$G$2:$G$201,"A"),"")</x:f>
      </x:c>
      <x:c r="J109" s="2" t="str">
        <x:f>IF(AND(A109&lt;&gt;"",COUNTIFS('Trial Rows'!$B$2:$B$201,'Trial Rows'!B109,'Trial Rows'!$C$2:$C$201,'Trial Rows'!C109,'Trial Rows'!$F$2:$F$201,'Trial Rows'!F109,'Trial Rows'!$Y$2:$Y$201,'Trial Rows'!Y109,'Trial Rows'!$G$2:$G$201,"B",Calculations!$R$2:$R$201,"&gt;=0",Calculations!$R$2:$R$201,"&lt;&gt;")=1),SUMIFS(Calculations!$R$2:$R$201,'Trial Rows'!$B$2:$B$201,'Trial Rows'!B109,'Trial Rows'!$C$2:$C$201,'Trial Rows'!C109,'Trial Rows'!$F$2:$F$201,'Trial Rows'!F109,'Trial Rows'!$Y$2:$Y$201,'Trial Rows'!Y109,'Trial Rows'!$G$2:$G$201,"B"),"")</x:f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 t="str">
        <x:f>IF(AND(Calculations!B110=1,'Trial Rows'!G110="B",'Trial Rows'!I110=1,Calculations!D110=1),'Trial Rows'!C110,"")</x:f>
      </x:c>
      <x:c r="B110" s="2" t="str">
        <x:f>IF(A110="","",'Trial Rows'!B110)</x:f>
      </x:c>
      <x:c r="C110" s="2" t="str">
        <x:f>IF(A110="","",'Trial Rows'!F110)</x:f>
      </x:c>
      <x:c r="D110" s="2" t="str">
        <x:f>IF(A110="","",'Trial Rows'!H110)</x:f>
      </x:c>
      <x:c r="E110" s="2" t="str">
        <x:f>IF(A110="","",SUMIFS(Calculations!$F$2:$F$201,'Trial Rows'!$B$2:$B$201,'Trial Rows'!B110,'Trial Rows'!$C$2:$C$201,'Trial Rows'!C110,'Trial Rows'!$F$2:$F$201,'Trial Rows'!F110,'Trial Rows'!$Y$2:$Y$201,'Trial Rows'!Y110))</x:f>
      </x:c>
      <x:c r="F110" s="2" t="str">
        <x:f>IF(A110="","",SUMIFS(Calculations!$G$2:$G$201,'Trial Rows'!$B$2:$B$201,'Trial Rows'!B110,'Trial Rows'!$C$2:$C$201,'Trial Rows'!C110,'Trial Rows'!$F$2:$F$201,'Trial Rows'!F110,'Trial Rows'!$Y$2:$Y$201,'Trial Rows'!Y110))</x:f>
      </x:c>
      <x:c r="G110" s="7" t="str">
        <x:f>IF(OR(A110="",E110=0),"",F110/E110)</x:f>
      </x:c>
      <x:c r="H110" s="7" t="str">
        <x:f>IF(OR(A110="",SUMIFS(Calculations!$H$2:$H$201,'Trial Rows'!$B$2:$B$201,'Trial Rows'!B110,'Trial Rows'!$C$2:$C$201,'Trial Rows'!C110,'Trial Rows'!$F$2:$F$201,'Trial Rows'!F110,'Trial Rows'!$Y$2:$Y$201,'Trial Rows'!Y110)=0),"",SUMIFS(Calculations!$I$2:$I$201,'Trial Rows'!$B$2:$B$201,'Trial Rows'!B110,'Trial Rows'!$C$2:$C$201,'Trial Rows'!C110,'Trial Rows'!$F$2:$F$201,'Trial Rows'!F110,'Trial Rows'!$Y$2:$Y$201,'Trial Rows'!Y110)/SUMIFS(Calculations!$H$2:$H$201,'Trial Rows'!$B$2:$B$201,'Trial Rows'!B110,'Trial Rows'!$C$2:$C$201,'Trial Rows'!C110,'Trial Rows'!$F$2:$F$201,'Trial Rows'!F110,'Trial Rows'!$Y$2:$Y$201,'Trial Rows'!Y110))</x:f>
      </x:c>
      <x:c r="I110" s="2" t="str">
        <x:f>IF(AND(A110&lt;&gt;"",COUNTIFS('Trial Rows'!$B$2:$B$201,'Trial Rows'!B110,'Trial Rows'!$C$2:$C$201,'Trial Rows'!C110,'Trial Rows'!$F$2:$F$201,'Trial Rows'!F110,'Trial Rows'!$Y$2:$Y$201,'Trial Rows'!Y110,'Trial Rows'!$G$2:$G$201,"A",Calculations!$R$2:$R$201,"&gt;=0",Calculations!$R$2:$R$201,"&lt;&gt;")=1),SUMIFS(Calculations!$R$2:$R$201,'Trial Rows'!$B$2:$B$201,'Trial Rows'!B110,'Trial Rows'!$C$2:$C$201,'Trial Rows'!C110,'Trial Rows'!$F$2:$F$201,'Trial Rows'!F110,'Trial Rows'!$Y$2:$Y$201,'Trial Rows'!Y110,'Trial Rows'!$G$2:$G$201,"A"),"")</x:f>
      </x:c>
      <x:c r="J110" s="2" t="str">
        <x:f>IF(AND(A110&lt;&gt;"",COUNTIFS('Trial Rows'!$B$2:$B$201,'Trial Rows'!B110,'Trial Rows'!$C$2:$C$201,'Trial Rows'!C110,'Trial Rows'!$F$2:$F$201,'Trial Rows'!F110,'Trial Rows'!$Y$2:$Y$201,'Trial Rows'!Y110,'Trial Rows'!$G$2:$G$201,"B",Calculations!$R$2:$R$201,"&gt;=0",Calculations!$R$2:$R$201,"&lt;&gt;")=1),SUMIFS(Calculations!$R$2:$R$201,'Trial Rows'!$B$2:$B$201,'Trial Rows'!B110,'Trial Rows'!$C$2:$C$201,'Trial Rows'!C110,'Trial Rows'!$F$2:$F$201,'Trial Rows'!F110,'Trial Rows'!$Y$2:$Y$201,'Trial Rows'!Y110,'Trial Rows'!$G$2:$G$201,"B"),"")</x:f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 t="str">
        <x:f>IF(AND(Calculations!B111=1,'Trial Rows'!G111="B",'Trial Rows'!I111=1,Calculations!D111=1),'Trial Rows'!C111,"")</x:f>
      </x:c>
      <x:c r="B111" s="2" t="str">
        <x:f>IF(A111="","",'Trial Rows'!B111)</x:f>
      </x:c>
      <x:c r="C111" s="2" t="str">
        <x:f>IF(A111="","",'Trial Rows'!F111)</x:f>
      </x:c>
      <x:c r="D111" s="2" t="str">
        <x:f>IF(A111="","",'Trial Rows'!H111)</x:f>
      </x:c>
      <x:c r="E111" s="2" t="str">
        <x:f>IF(A111="","",SUMIFS(Calculations!$F$2:$F$201,'Trial Rows'!$B$2:$B$201,'Trial Rows'!B111,'Trial Rows'!$C$2:$C$201,'Trial Rows'!C111,'Trial Rows'!$F$2:$F$201,'Trial Rows'!F111,'Trial Rows'!$Y$2:$Y$201,'Trial Rows'!Y111))</x:f>
      </x:c>
      <x:c r="F111" s="2" t="str">
        <x:f>IF(A111="","",SUMIFS(Calculations!$G$2:$G$201,'Trial Rows'!$B$2:$B$201,'Trial Rows'!B111,'Trial Rows'!$C$2:$C$201,'Trial Rows'!C111,'Trial Rows'!$F$2:$F$201,'Trial Rows'!F111,'Trial Rows'!$Y$2:$Y$201,'Trial Rows'!Y111))</x:f>
      </x:c>
      <x:c r="G111" s="7" t="str">
        <x:f>IF(OR(A111="",E111=0),"",F111/E111)</x:f>
      </x:c>
      <x:c r="H111" s="7" t="str">
        <x:f>IF(OR(A111="",SUMIFS(Calculations!$H$2:$H$201,'Trial Rows'!$B$2:$B$201,'Trial Rows'!B111,'Trial Rows'!$C$2:$C$201,'Trial Rows'!C111,'Trial Rows'!$F$2:$F$201,'Trial Rows'!F111,'Trial Rows'!$Y$2:$Y$201,'Trial Rows'!Y111)=0),"",SUMIFS(Calculations!$I$2:$I$201,'Trial Rows'!$B$2:$B$201,'Trial Rows'!B111,'Trial Rows'!$C$2:$C$201,'Trial Rows'!C111,'Trial Rows'!$F$2:$F$201,'Trial Rows'!F111,'Trial Rows'!$Y$2:$Y$201,'Trial Rows'!Y111)/SUMIFS(Calculations!$H$2:$H$201,'Trial Rows'!$B$2:$B$201,'Trial Rows'!B111,'Trial Rows'!$C$2:$C$201,'Trial Rows'!C111,'Trial Rows'!$F$2:$F$201,'Trial Rows'!F111,'Trial Rows'!$Y$2:$Y$201,'Trial Rows'!Y111))</x:f>
      </x:c>
      <x:c r="I111" s="2" t="str">
        <x:f>IF(AND(A111&lt;&gt;"",COUNTIFS('Trial Rows'!$B$2:$B$201,'Trial Rows'!B111,'Trial Rows'!$C$2:$C$201,'Trial Rows'!C111,'Trial Rows'!$F$2:$F$201,'Trial Rows'!F111,'Trial Rows'!$Y$2:$Y$201,'Trial Rows'!Y111,'Trial Rows'!$G$2:$G$201,"A",Calculations!$R$2:$R$201,"&gt;=0",Calculations!$R$2:$R$201,"&lt;&gt;")=1),SUMIFS(Calculations!$R$2:$R$201,'Trial Rows'!$B$2:$B$201,'Trial Rows'!B111,'Trial Rows'!$C$2:$C$201,'Trial Rows'!C111,'Trial Rows'!$F$2:$F$201,'Trial Rows'!F111,'Trial Rows'!$Y$2:$Y$201,'Trial Rows'!Y111,'Trial Rows'!$G$2:$G$201,"A"),"")</x:f>
      </x:c>
      <x:c r="J111" s="2" t="str">
        <x:f>IF(AND(A111&lt;&gt;"",COUNTIFS('Trial Rows'!$B$2:$B$201,'Trial Rows'!B111,'Trial Rows'!$C$2:$C$201,'Trial Rows'!C111,'Trial Rows'!$F$2:$F$201,'Trial Rows'!F111,'Trial Rows'!$Y$2:$Y$201,'Trial Rows'!Y111,'Trial Rows'!$G$2:$G$201,"B",Calculations!$R$2:$R$201,"&gt;=0",Calculations!$R$2:$R$201,"&lt;&gt;")=1),SUMIFS(Calculations!$R$2:$R$201,'Trial Rows'!$B$2:$B$201,'Trial Rows'!B111,'Trial Rows'!$C$2:$C$201,'Trial Rows'!C111,'Trial Rows'!$F$2:$F$201,'Trial Rows'!F111,'Trial Rows'!$Y$2:$Y$201,'Trial Rows'!Y111,'Trial Rows'!$G$2:$G$201,"B"),"")</x:f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 t="str">
        <x:f>IF(AND(Calculations!B112=1,'Trial Rows'!G112="B",'Trial Rows'!I112=1,Calculations!D112=1),'Trial Rows'!C112,"")</x:f>
      </x:c>
      <x:c r="B112" s="2" t="str">
        <x:f>IF(A112="","",'Trial Rows'!B112)</x:f>
      </x:c>
      <x:c r="C112" s="2" t="str">
        <x:f>IF(A112="","",'Trial Rows'!F112)</x:f>
      </x:c>
      <x:c r="D112" s="2" t="str">
        <x:f>IF(A112="","",'Trial Rows'!H112)</x:f>
      </x:c>
      <x:c r="E112" s="2" t="str">
        <x:f>IF(A112="","",SUMIFS(Calculations!$F$2:$F$201,'Trial Rows'!$B$2:$B$201,'Trial Rows'!B112,'Trial Rows'!$C$2:$C$201,'Trial Rows'!C112,'Trial Rows'!$F$2:$F$201,'Trial Rows'!F112,'Trial Rows'!$Y$2:$Y$201,'Trial Rows'!Y112))</x:f>
      </x:c>
      <x:c r="F112" s="2" t="str">
        <x:f>IF(A112="","",SUMIFS(Calculations!$G$2:$G$201,'Trial Rows'!$B$2:$B$201,'Trial Rows'!B112,'Trial Rows'!$C$2:$C$201,'Trial Rows'!C112,'Trial Rows'!$F$2:$F$201,'Trial Rows'!F112,'Trial Rows'!$Y$2:$Y$201,'Trial Rows'!Y112))</x:f>
      </x:c>
      <x:c r="G112" s="7" t="str">
        <x:f>IF(OR(A112="",E112=0),"",F112/E112)</x:f>
      </x:c>
      <x:c r="H112" s="7" t="str">
        <x:f>IF(OR(A112="",SUMIFS(Calculations!$H$2:$H$201,'Trial Rows'!$B$2:$B$201,'Trial Rows'!B112,'Trial Rows'!$C$2:$C$201,'Trial Rows'!C112,'Trial Rows'!$F$2:$F$201,'Trial Rows'!F112,'Trial Rows'!$Y$2:$Y$201,'Trial Rows'!Y112)=0),"",SUMIFS(Calculations!$I$2:$I$201,'Trial Rows'!$B$2:$B$201,'Trial Rows'!B112,'Trial Rows'!$C$2:$C$201,'Trial Rows'!C112,'Trial Rows'!$F$2:$F$201,'Trial Rows'!F112,'Trial Rows'!$Y$2:$Y$201,'Trial Rows'!Y112)/SUMIFS(Calculations!$H$2:$H$201,'Trial Rows'!$B$2:$B$201,'Trial Rows'!B112,'Trial Rows'!$C$2:$C$201,'Trial Rows'!C112,'Trial Rows'!$F$2:$F$201,'Trial Rows'!F112,'Trial Rows'!$Y$2:$Y$201,'Trial Rows'!Y112))</x:f>
      </x:c>
      <x:c r="I112" s="2" t="str">
        <x:f>IF(AND(A112&lt;&gt;"",COUNTIFS('Trial Rows'!$B$2:$B$201,'Trial Rows'!B112,'Trial Rows'!$C$2:$C$201,'Trial Rows'!C112,'Trial Rows'!$F$2:$F$201,'Trial Rows'!F112,'Trial Rows'!$Y$2:$Y$201,'Trial Rows'!Y112,'Trial Rows'!$G$2:$G$201,"A",Calculations!$R$2:$R$201,"&gt;=0",Calculations!$R$2:$R$201,"&lt;&gt;")=1),SUMIFS(Calculations!$R$2:$R$201,'Trial Rows'!$B$2:$B$201,'Trial Rows'!B112,'Trial Rows'!$C$2:$C$201,'Trial Rows'!C112,'Trial Rows'!$F$2:$F$201,'Trial Rows'!F112,'Trial Rows'!$Y$2:$Y$201,'Trial Rows'!Y112,'Trial Rows'!$G$2:$G$201,"A"),"")</x:f>
      </x:c>
      <x:c r="J112" s="2" t="str">
        <x:f>IF(AND(A112&lt;&gt;"",COUNTIFS('Trial Rows'!$B$2:$B$201,'Trial Rows'!B112,'Trial Rows'!$C$2:$C$201,'Trial Rows'!C112,'Trial Rows'!$F$2:$F$201,'Trial Rows'!F112,'Trial Rows'!$Y$2:$Y$201,'Trial Rows'!Y112,'Trial Rows'!$G$2:$G$201,"B",Calculations!$R$2:$R$201,"&gt;=0",Calculations!$R$2:$R$201,"&lt;&gt;")=1),SUMIFS(Calculations!$R$2:$R$201,'Trial Rows'!$B$2:$B$201,'Trial Rows'!B112,'Trial Rows'!$C$2:$C$201,'Trial Rows'!C112,'Trial Rows'!$F$2:$F$201,'Trial Rows'!F112,'Trial Rows'!$Y$2:$Y$201,'Trial Rows'!Y112,'Trial Rows'!$G$2:$G$201,"B"),"")</x:f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 t="str">
        <x:f>IF(AND(Calculations!B113=1,'Trial Rows'!G113="B",'Trial Rows'!I113=1,Calculations!D113=1),'Trial Rows'!C113,"")</x:f>
      </x:c>
      <x:c r="B113" s="2" t="str">
        <x:f>IF(A113="","",'Trial Rows'!B113)</x:f>
      </x:c>
      <x:c r="C113" s="2" t="str">
        <x:f>IF(A113="","",'Trial Rows'!F113)</x:f>
      </x:c>
      <x:c r="D113" s="2" t="str">
        <x:f>IF(A113="","",'Trial Rows'!H113)</x:f>
      </x:c>
      <x:c r="E113" s="2" t="str">
        <x:f>IF(A113="","",SUMIFS(Calculations!$F$2:$F$201,'Trial Rows'!$B$2:$B$201,'Trial Rows'!B113,'Trial Rows'!$C$2:$C$201,'Trial Rows'!C113,'Trial Rows'!$F$2:$F$201,'Trial Rows'!F113,'Trial Rows'!$Y$2:$Y$201,'Trial Rows'!Y113))</x:f>
      </x:c>
      <x:c r="F113" s="2" t="str">
        <x:f>IF(A113="","",SUMIFS(Calculations!$G$2:$G$201,'Trial Rows'!$B$2:$B$201,'Trial Rows'!B113,'Trial Rows'!$C$2:$C$201,'Trial Rows'!C113,'Trial Rows'!$F$2:$F$201,'Trial Rows'!F113,'Trial Rows'!$Y$2:$Y$201,'Trial Rows'!Y113))</x:f>
      </x:c>
      <x:c r="G113" s="7" t="str">
        <x:f>IF(OR(A113="",E113=0),"",F113/E113)</x:f>
      </x:c>
      <x:c r="H113" s="7" t="str">
        <x:f>IF(OR(A113="",SUMIFS(Calculations!$H$2:$H$201,'Trial Rows'!$B$2:$B$201,'Trial Rows'!B113,'Trial Rows'!$C$2:$C$201,'Trial Rows'!C113,'Trial Rows'!$F$2:$F$201,'Trial Rows'!F113,'Trial Rows'!$Y$2:$Y$201,'Trial Rows'!Y113)=0),"",SUMIFS(Calculations!$I$2:$I$201,'Trial Rows'!$B$2:$B$201,'Trial Rows'!B113,'Trial Rows'!$C$2:$C$201,'Trial Rows'!C113,'Trial Rows'!$F$2:$F$201,'Trial Rows'!F113,'Trial Rows'!$Y$2:$Y$201,'Trial Rows'!Y113)/SUMIFS(Calculations!$H$2:$H$201,'Trial Rows'!$B$2:$B$201,'Trial Rows'!B113,'Trial Rows'!$C$2:$C$201,'Trial Rows'!C113,'Trial Rows'!$F$2:$F$201,'Trial Rows'!F113,'Trial Rows'!$Y$2:$Y$201,'Trial Rows'!Y113))</x:f>
      </x:c>
      <x:c r="I113" s="2" t="str">
        <x:f>IF(AND(A113&lt;&gt;"",COUNTIFS('Trial Rows'!$B$2:$B$201,'Trial Rows'!B113,'Trial Rows'!$C$2:$C$201,'Trial Rows'!C113,'Trial Rows'!$F$2:$F$201,'Trial Rows'!F113,'Trial Rows'!$Y$2:$Y$201,'Trial Rows'!Y113,'Trial Rows'!$G$2:$G$201,"A",Calculations!$R$2:$R$201,"&gt;=0",Calculations!$R$2:$R$201,"&lt;&gt;")=1),SUMIFS(Calculations!$R$2:$R$201,'Trial Rows'!$B$2:$B$201,'Trial Rows'!B113,'Trial Rows'!$C$2:$C$201,'Trial Rows'!C113,'Trial Rows'!$F$2:$F$201,'Trial Rows'!F113,'Trial Rows'!$Y$2:$Y$201,'Trial Rows'!Y113,'Trial Rows'!$G$2:$G$201,"A"),"")</x:f>
      </x:c>
      <x:c r="J113" s="2" t="str">
        <x:f>IF(AND(A113&lt;&gt;"",COUNTIFS('Trial Rows'!$B$2:$B$201,'Trial Rows'!B113,'Trial Rows'!$C$2:$C$201,'Trial Rows'!C113,'Trial Rows'!$F$2:$F$201,'Trial Rows'!F113,'Trial Rows'!$Y$2:$Y$201,'Trial Rows'!Y113,'Trial Rows'!$G$2:$G$201,"B",Calculations!$R$2:$R$201,"&gt;=0",Calculations!$R$2:$R$201,"&lt;&gt;")=1),SUMIFS(Calculations!$R$2:$R$201,'Trial Rows'!$B$2:$B$201,'Trial Rows'!B113,'Trial Rows'!$C$2:$C$201,'Trial Rows'!C113,'Trial Rows'!$F$2:$F$201,'Trial Rows'!F113,'Trial Rows'!$Y$2:$Y$201,'Trial Rows'!Y113,'Trial Rows'!$G$2:$G$201,"B"),"")</x:f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 t="str">
        <x:f>IF(AND(Calculations!B114=1,'Trial Rows'!G114="B",'Trial Rows'!I114=1,Calculations!D114=1),'Trial Rows'!C114,"")</x:f>
      </x:c>
      <x:c r="B114" s="2" t="str">
        <x:f>IF(A114="","",'Trial Rows'!B114)</x:f>
      </x:c>
      <x:c r="C114" s="2" t="str">
        <x:f>IF(A114="","",'Trial Rows'!F114)</x:f>
      </x:c>
      <x:c r="D114" s="2" t="str">
        <x:f>IF(A114="","",'Trial Rows'!H114)</x:f>
      </x:c>
      <x:c r="E114" s="2" t="str">
        <x:f>IF(A114="","",SUMIFS(Calculations!$F$2:$F$201,'Trial Rows'!$B$2:$B$201,'Trial Rows'!B114,'Trial Rows'!$C$2:$C$201,'Trial Rows'!C114,'Trial Rows'!$F$2:$F$201,'Trial Rows'!F114,'Trial Rows'!$Y$2:$Y$201,'Trial Rows'!Y114))</x:f>
      </x:c>
      <x:c r="F114" s="2" t="str">
        <x:f>IF(A114="","",SUMIFS(Calculations!$G$2:$G$201,'Trial Rows'!$B$2:$B$201,'Trial Rows'!B114,'Trial Rows'!$C$2:$C$201,'Trial Rows'!C114,'Trial Rows'!$F$2:$F$201,'Trial Rows'!F114,'Trial Rows'!$Y$2:$Y$201,'Trial Rows'!Y114))</x:f>
      </x:c>
      <x:c r="G114" s="7" t="str">
        <x:f>IF(OR(A114="",E114=0),"",F114/E114)</x:f>
      </x:c>
      <x:c r="H114" s="7" t="str">
        <x:f>IF(OR(A114="",SUMIFS(Calculations!$H$2:$H$201,'Trial Rows'!$B$2:$B$201,'Trial Rows'!B114,'Trial Rows'!$C$2:$C$201,'Trial Rows'!C114,'Trial Rows'!$F$2:$F$201,'Trial Rows'!F114,'Trial Rows'!$Y$2:$Y$201,'Trial Rows'!Y114)=0),"",SUMIFS(Calculations!$I$2:$I$201,'Trial Rows'!$B$2:$B$201,'Trial Rows'!B114,'Trial Rows'!$C$2:$C$201,'Trial Rows'!C114,'Trial Rows'!$F$2:$F$201,'Trial Rows'!F114,'Trial Rows'!$Y$2:$Y$201,'Trial Rows'!Y114)/SUMIFS(Calculations!$H$2:$H$201,'Trial Rows'!$B$2:$B$201,'Trial Rows'!B114,'Trial Rows'!$C$2:$C$201,'Trial Rows'!C114,'Trial Rows'!$F$2:$F$201,'Trial Rows'!F114,'Trial Rows'!$Y$2:$Y$201,'Trial Rows'!Y114))</x:f>
      </x:c>
      <x:c r="I114" s="2" t="str">
        <x:f>IF(AND(A114&lt;&gt;"",COUNTIFS('Trial Rows'!$B$2:$B$201,'Trial Rows'!B114,'Trial Rows'!$C$2:$C$201,'Trial Rows'!C114,'Trial Rows'!$F$2:$F$201,'Trial Rows'!F114,'Trial Rows'!$Y$2:$Y$201,'Trial Rows'!Y114,'Trial Rows'!$G$2:$G$201,"A",Calculations!$R$2:$R$201,"&gt;=0",Calculations!$R$2:$R$201,"&lt;&gt;")=1),SUMIFS(Calculations!$R$2:$R$201,'Trial Rows'!$B$2:$B$201,'Trial Rows'!B114,'Trial Rows'!$C$2:$C$201,'Trial Rows'!C114,'Trial Rows'!$F$2:$F$201,'Trial Rows'!F114,'Trial Rows'!$Y$2:$Y$201,'Trial Rows'!Y114,'Trial Rows'!$G$2:$G$201,"A"),"")</x:f>
      </x:c>
      <x:c r="J114" s="2" t="str">
        <x:f>IF(AND(A114&lt;&gt;"",COUNTIFS('Trial Rows'!$B$2:$B$201,'Trial Rows'!B114,'Trial Rows'!$C$2:$C$201,'Trial Rows'!C114,'Trial Rows'!$F$2:$F$201,'Trial Rows'!F114,'Trial Rows'!$Y$2:$Y$201,'Trial Rows'!Y114,'Trial Rows'!$G$2:$G$201,"B",Calculations!$R$2:$R$201,"&gt;=0",Calculations!$R$2:$R$201,"&lt;&gt;")=1),SUMIFS(Calculations!$R$2:$R$201,'Trial Rows'!$B$2:$B$201,'Trial Rows'!B114,'Trial Rows'!$C$2:$C$201,'Trial Rows'!C114,'Trial Rows'!$F$2:$F$201,'Trial Rows'!F114,'Trial Rows'!$Y$2:$Y$201,'Trial Rows'!Y114,'Trial Rows'!$G$2:$G$201,"B"),"")</x:f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 t="str">
        <x:f>IF(AND(Calculations!B115=1,'Trial Rows'!G115="B",'Trial Rows'!I115=1,Calculations!D115=1),'Trial Rows'!C115,"")</x:f>
      </x:c>
      <x:c r="B115" s="2" t="str">
        <x:f>IF(A115="","",'Trial Rows'!B115)</x:f>
      </x:c>
      <x:c r="C115" s="2" t="str">
        <x:f>IF(A115="","",'Trial Rows'!F115)</x:f>
      </x:c>
      <x:c r="D115" s="2" t="str">
        <x:f>IF(A115="","",'Trial Rows'!H115)</x:f>
      </x:c>
      <x:c r="E115" s="2" t="str">
        <x:f>IF(A115="","",SUMIFS(Calculations!$F$2:$F$201,'Trial Rows'!$B$2:$B$201,'Trial Rows'!B115,'Trial Rows'!$C$2:$C$201,'Trial Rows'!C115,'Trial Rows'!$F$2:$F$201,'Trial Rows'!F115,'Trial Rows'!$Y$2:$Y$201,'Trial Rows'!Y115))</x:f>
      </x:c>
      <x:c r="F115" s="2" t="str">
        <x:f>IF(A115="","",SUMIFS(Calculations!$G$2:$G$201,'Trial Rows'!$B$2:$B$201,'Trial Rows'!B115,'Trial Rows'!$C$2:$C$201,'Trial Rows'!C115,'Trial Rows'!$F$2:$F$201,'Trial Rows'!F115,'Trial Rows'!$Y$2:$Y$201,'Trial Rows'!Y115))</x:f>
      </x:c>
      <x:c r="G115" s="7" t="str">
        <x:f>IF(OR(A115="",E115=0),"",F115/E115)</x:f>
      </x:c>
      <x:c r="H115" s="7" t="str">
        <x:f>IF(OR(A115="",SUMIFS(Calculations!$H$2:$H$201,'Trial Rows'!$B$2:$B$201,'Trial Rows'!B115,'Trial Rows'!$C$2:$C$201,'Trial Rows'!C115,'Trial Rows'!$F$2:$F$201,'Trial Rows'!F115,'Trial Rows'!$Y$2:$Y$201,'Trial Rows'!Y115)=0),"",SUMIFS(Calculations!$I$2:$I$201,'Trial Rows'!$B$2:$B$201,'Trial Rows'!B115,'Trial Rows'!$C$2:$C$201,'Trial Rows'!C115,'Trial Rows'!$F$2:$F$201,'Trial Rows'!F115,'Trial Rows'!$Y$2:$Y$201,'Trial Rows'!Y115)/SUMIFS(Calculations!$H$2:$H$201,'Trial Rows'!$B$2:$B$201,'Trial Rows'!B115,'Trial Rows'!$C$2:$C$201,'Trial Rows'!C115,'Trial Rows'!$F$2:$F$201,'Trial Rows'!F115,'Trial Rows'!$Y$2:$Y$201,'Trial Rows'!Y115))</x:f>
      </x:c>
      <x:c r="I115" s="2" t="str">
        <x:f>IF(AND(A115&lt;&gt;"",COUNTIFS('Trial Rows'!$B$2:$B$201,'Trial Rows'!B115,'Trial Rows'!$C$2:$C$201,'Trial Rows'!C115,'Trial Rows'!$F$2:$F$201,'Trial Rows'!F115,'Trial Rows'!$Y$2:$Y$201,'Trial Rows'!Y115,'Trial Rows'!$G$2:$G$201,"A",Calculations!$R$2:$R$201,"&gt;=0",Calculations!$R$2:$R$201,"&lt;&gt;")=1),SUMIFS(Calculations!$R$2:$R$201,'Trial Rows'!$B$2:$B$201,'Trial Rows'!B115,'Trial Rows'!$C$2:$C$201,'Trial Rows'!C115,'Trial Rows'!$F$2:$F$201,'Trial Rows'!F115,'Trial Rows'!$Y$2:$Y$201,'Trial Rows'!Y115,'Trial Rows'!$G$2:$G$201,"A"),"")</x:f>
      </x:c>
      <x:c r="J115" s="2" t="str">
        <x:f>IF(AND(A115&lt;&gt;"",COUNTIFS('Trial Rows'!$B$2:$B$201,'Trial Rows'!B115,'Trial Rows'!$C$2:$C$201,'Trial Rows'!C115,'Trial Rows'!$F$2:$F$201,'Trial Rows'!F115,'Trial Rows'!$Y$2:$Y$201,'Trial Rows'!Y115,'Trial Rows'!$G$2:$G$201,"B",Calculations!$R$2:$R$201,"&gt;=0",Calculations!$R$2:$R$201,"&lt;&gt;")=1),SUMIFS(Calculations!$R$2:$R$201,'Trial Rows'!$B$2:$B$201,'Trial Rows'!B115,'Trial Rows'!$C$2:$C$201,'Trial Rows'!C115,'Trial Rows'!$F$2:$F$201,'Trial Rows'!F115,'Trial Rows'!$Y$2:$Y$201,'Trial Rows'!Y115,'Trial Rows'!$G$2:$G$201,"B"),"")</x:f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 t="str">
        <x:f>IF(AND(Calculations!B116=1,'Trial Rows'!G116="B",'Trial Rows'!I116=1,Calculations!D116=1),'Trial Rows'!C116,"")</x:f>
      </x:c>
      <x:c r="B116" s="2" t="str">
        <x:f>IF(A116="","",'Trial Rows'!B116)</x:f>
      </x:c>
      <x:c r="C116" s="2" t="str">
        <x:f>IF(A116="","",'Trial Rows'!F116)</x:f>
      </x:c>
      <x:c r="D116" s="2" t="str">
        <x:f>IF(A116="","",'Trial Rows'!H116)</x:f>
      </x:c>
      <x:c r="E116" s="2" t="str">
        <x:f>IF(A116="","",SUMIFS(Calculations!$F$2:$F$201,'Trial Rows'!$B$2:$B$201,'Trial Rows'!B116,'Trial Rows'!$C$2:$C$201,'Trial Rows'!C116,'Trial Rows'!$F$2:$F$201,'Trial Rows'!F116,'Trial Rows'!$Y$2:$Y$201,'Trial Rows'!Y116))</x:f>
      </x:c>
      <x:c r="F116" s="2" t="str">
        <x:f>IF(A116="","",SUMIFS(Calculations!$G$2:$G$201,'Trial Rows'!$B$2:$B$201,'Trial Rows'!B116,'Trial Rows'!$C$2:$C$201,'Trial Rows'!C116,'Trial Rows'!$F$2:$F$201,'Trial Rows'!F116,'Trial Rows'!$Y$2:$Y$201,'Trial Rows'!Y116))</x:f>
      </x:c>
      <x:c r="G116" s="7" t="str">
        <x:f>IF(OR(A116="",E116=0),"",F116/E116)</x:f>
      </x:c>
      <x:c r="H116" s="7" t="str">
        <x:f>IF(OR(A116="",SUMIFS(Calculations!$H$2:$H$201,'Trial Rows'!$B$2:$B$201,'Trial Rows'!B116,'Trial Rows'!$C$2:$C$201,'Trial Rows'!C116,'Trial Rows'!$F$2:$F$201,'Trial Rows'!F116,'Trial Rows'!$Y$2:$Y$201,'Trial Rows'!Y116)=0),"",SUMIFS(Calculations!$I$2:$I$201,'Trial Rows'!$B$2:$B$201,'Trial Rows'!B116,'Trial Rows'!$C$2:$C$201,'Trial Rows'!C116,'Trial Rows'!$F$2:$F$201,'Trial Rows'!F116,'Trial Rows'!$Y$2:$Y$201,'Trial Rows'!Y116)/SUMIFS(Calculations!$H$2:$H$201,'Trial Rows'!$B$2:$B$201,'Trial Rows'!B116,'Trial Rows'!$C$2:$C$201,'Trial Rows'!C116,'Trial Rows'!$F$2:$F$201,'Trial Rows'!F116,'Trial Rows'!$Y$2:$Y$201,'Trial Rows'!Y116))</x:f>
      </x:c>
      <x:c r="I116" s="2" t="str">
        <x:f>IF(AND(A116&lt;&gt;"",COUNTIFS('Trial Rows'!$B$2:$B$201,'Trial Rows'!B116,'Trial Rows'!$C$2:$C$201,'Trial Rows'!C116,'Trial Rows'!$F$2:$F$201,'Trial Rows'!F116,'Trial Rows'!$Y$2:$Y$201,'Trial Rows'!Y116,'Trial Rows'!$G$2:$G$201,"A",Calculations!$R$2:$R$201,"&gt;=0",Calculations!$R$2:$R$201,"&lt;&gt;")=1),SUMIFS(Calculations!$R$2:$R$201,'Trial Rows'!$B$2:$B$201,'Trial Rows'!B116,'Trial Rows'!$C$2:$C$201,'Trial Rows'!C116,'Trial Rows'!$F$2:$F$201,'Trial Rows'!F116,'Trial Rows'!$Y$2:$Y$201,'Trial Rows'!Y116,'Trial Rows'!$G$2:$G$201,"A"),"")</x:f>
      </x:c>
      <x:c r="J116" s="2" t="str">
        <x:f>IF(AND(A116&lt;&gt;"",COUNTIFS('Trial Rows'!$B$2:$B$201,'Trial Rows'!B116,'Trial Rows'!$C$2:$C$201,'Trial Rows'!C116,'Trial Rows'!$F$2:$F$201,'Trial Rows'!F116,'Trial Rows'!$Y$2:$Y$201,'Trial Rows'!Y116,'Trial Rows'!$G$2:$G$201,"B",Calculations!$R$2:$R$201,"&gt;=0",Calculations!$R$2:$R$201,"&lt;&gt;")=1),SUMIFS(Calculations!$R$2:$R$201,'Trial Rows'!$B$2:$B$201,'Trial Rows'!B116,'Trial Rows'!$C$2:$C$201,'Trial Rows'!C116,'Trial Rows'!$F$2:$F$201,'Trial Rows'!F116,'Trial Rows'!$Y$2:$Y$201,'Trial Rows'!Y116,'Trial Rows'!$G$2:$G$201,"B"),"")</x:f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 t="str">
        <x:f>IF(AND(Calculations!B117=1,'Trial Rows'!G117="B",'Trial Rows'!I117=1,Calculations!D117=1),'Trial Rows'!C117,"")</x:f>
      </x:c>
      <x:c r="B117" s="2" t="str">
        <x:f>IF(A117="","",'Trial Rows'!B117)</x:f>
      </x:c>
      <x:c r="C117" s="2" t="str">
        <x:f>IF(A117="","",'Trial Rows'!F117)</x:f>
      </x:c>
      <x:c r="D117" s="2" t="str">
        <x:f>IF(A117="","",'Trial Rows'!H117)</x:f>
      </x:c>
      <x:c r="E117" s="2" t="str">
        <x:f>IF(A117="","",SUMIFS(Calculations!$F$2:$F$201,'Trial Rows'!$B$2:$B$201,'Trial Rows'!B117,'Trial Rows'!$C$2:$C$201,'Trial Rows'!C117,'Trial Rows'!$F$2:$F$201,'Trial Rows'!F117,'Trial Rows'!$Y$2:$Y$201,'Trial Rows'!Y117))</x:f>
      </x:c>
      <x:c r="F117" s="2" t="str">
        <x:f>IF(A117="","",SUMIFS(Calculations!$G$2:$G$201,'Trial Rows'!$B$2:$B$201,'Trial Rows'!B117,'Trial Rows'!$C$2:$C$201,'Trial Rows'!C117,'Trial Rows'!$F$2:$F$201,'Trial Rows'!F117,'Trial Rows'!$Y$2:$Y$201,'Trial Rows'!Y117))</x:f>
      </x:c>
      <x:c r="G117" s="7" t="str">
        <x:f>IF(OR(A117="",E117=0),"",F117/E117)</x:f>
      </x:c>
      <x:c r="H117" s="7" t="str">
        <x:f>IF(OR(A117="",SUMIFS(Calculations!$H$2:$H$201,'Trial Rows'!$B$2:$B$201,'Trial Rows'!B117,'Trial Rows'!$C$2:$C$201,'Trial Rows'!C117,'Trial Rows'!$F$2:$F$201,'Trial Rows'!F117,'Trial Rows'!$Y$2:$Y$201,'Trial Rows'!Y117)=0),"",SUMIFS(Calculations!$I$2:$I$201,'Trial Rows'!$B$2:$B$201,'Trial Rows'!B117,'Trial Rows'!$C$2:$C$201,'Trial Rows'!C117,'Trial Rows'!$F$2:$F$201,'Trial Rows'!F117,'Trial Rows'!$Y$2:$Y$201,'Trial Rows'!Y117)/SUMIFS(Calculations!$H$2:$H$201,'Trial Rows'!$B$2:$B$201,'Trial Rows'!B117,'Trial Rows'!$C$2:$C$201,'Trial Rows'!C117,'Trial Rows'!$F$2:$F$201,'Trial Rows'!F117,'Trial Rows'!$Y$2:$Y$201,'Trial Rows'!Y117))</x:f>
      </x:c>
      <x:c r="I117" s="2" t="str">
        <x:f>IF(AND(A117&lt;&gt;"",COUNTIFS('Trial Rows'!$B$2:$B$201,'Trial Rows'!B117,'Trial Rows'!$C$2:$C$201,'Trial Rows'!C117,'Trial Rows'!$F$2:$F$201,'Trial Rows'!F117,'Trial Rows'!$Y$2:$Y$201,'Trial Rows'!Y117,'Trial Rows'!$G$2:$G$201,"A",Calculations!$R$2:$R$201,"&gt;=0",Calculations!$R$2:$R$201,"&lt;&gt;")=1),SUMIFS(Calculations!$R$2:$R$201,'Trial Rows'!$B$2:$B$201,'Trial Rows'!B117,'Trial Rows'!$C$2:$C$201,'Trial Rows'!C117,'Trial Rows'!$F$2:$F$201,'Trial Rows'!F117,'Trial Rows'!$Y$2:$Y$201,'Trial Rows'!Y117,'Trial Rows'!$G$2:$G$201,"A"),"")</x:f>
      </x:c>
      <x:c r="J117" s="2" t="str">
        <x:f>IF(AND(A117&lt;&gt;"",COUNTIFS('Trial Rows'!$B$2:$B$201,'Trial Rows'!B117,'Trial Rows'!$C$2:$C$201,'Trial Rows'!C117,'Trial Rows'!$F$2:$F$201,'Trial Rows'!F117,'Trial Rows'!$Y$2:$Y$201,'Trial Rows'!Y117,'Trial Rows'!$G$2:$G$201,"B",Calculations!$R$2:$R$201,"&gt;=0",Calculations!$R$2:$R$201,"&lt;&gt;")=1),SUMIFS(Calculations!$R$2:$R$201,'Trial Rows'!$B$2:$B$201,'Trial Rows'!B117,'Trial Rows'!$C$2:$C$201,'Trial Rows'!C117,'Trial Rows'!$F$2:$F$201,'Trial Rows'!F117,'Trial Rows'!$Y$2:$Y$201,'Trial Rows'!Y117,'Trial Rows'!$G$2:$G$201,"B"),"")</x:f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 t="str">
        <x:f>IF(AND(Calculations!B118=1,'Trial Rows'!G118="B",'Trial Rows'!I118=1,Calculations!D118=1),'Trial Rows'!C118,"")</x:f>
      </x:c>
      <x:c r="B118" s="2" t="str">
        <x:f>IF(A118="","",'Trial Rows'!B118)</x:f>
      </x:c>
      <x:c r="C118" s="2" t="str">
        <x:f>IF(A118="","",'Trial Rows'!F118)</x:f>
      </x:c>
      <x:c r="D118" s="2" t="str">
        <x:f>IF(A118="","",'Trial Rows'!H118)</x:f>
      </x:c>
      <x:c r="E118" s="2" t="str">
        <x:f>IF(A118="","",SUMIFS(Calculations!$F$2:$F$201,'Trial Rows'!$B$2:$B$201,'Trial Rows'!B118,'Trial Rows'!$C$2:$C$201,'Trial Rows'!C118,'Trial Rows'!$F$2:$F$201,'Trial Rows'!F118,'Trial Rows'!$Y$2:$Y$201,'Trial Rows'!Y118))</x:f>
      </x:c>
      <x:c r="F118" s="2" t="str">
        <x:f>IF(A118="","",SUMIFS(Calculations!$G$2:$G$201,'Trial Rows'!$B$2:$B$201,'Trial Rows'!B118,'Trial Rows'!$C$2:$C$201,'Trial Rows'!C118,'Trial Rows'!$F$2:$F$201,'Trial Rows'!F118,'Trial Rows'!$Y$2:$Y$201,'Trial Rows'!Y118))</x:f>
      </x:c>
      <x:c r="G118" s="7" t="str">
        <x:f>IF(OR(A118="",E118=0),"",F118/E118)</x:f>
      </x:c>
      <x:c r="H118" s="7" t="str">
        <x:f>IF(OR(A118="",SUMIFS(Calculations!$H$2:$H$201,'Trial Rows'!$B$2:$B$201,'Trial Rows'!B118,'Trial Rows'!$C$2:$C$201,'Trial Rows'!C118,'Trial Rows'!$F$2:$F$201,'Trial Rows'!F118,'Trial Rows'!$Y$2:$Y$201,'Trial Rows'!Y118)=0),"",SUMIFS(Calculations!$I$2:$I$201,'Trial Rows'!$B$2:$B$201,'Trial Rows'!B118,'Trial Rows'!$C$2:$C$201,'Trial Rows'!C118,'Trial Rows'!$F$2:$F$201,'Trial Rows'!F118,'Trial Rows'!$Y$2:$Y$201,'Trial Rows'!Y118)/SUMIFS(Calculations!$H$2:$H$201,'Trial Rows'!$B$2:$B$201,'Trial Rows'!B118,'Trial Rows'!$C$2:$C$201,'Trial Rows'!C118,'Trial Rows'!$F$2:$F$201,'Trial Rows'!F118,'Trial Rows'!$Y$2:$Y$201,'Trial Rows'!Y118))</x:f>
      </x:c>
      <x:c r="I118" s="2" t="str">
        <x:f>IF(AND(A118&lt;&gt;"",COUNTIFS('Trial Rows'!$B$2:$B$201,'Trial Rows'!B118,'Trial Rows'!$C$2:$C$201,'Trial Rows'!C118,'Trial Rows'!$F$2:$F$201,'Trial Rows'!F118,'Trial Rows'!$Y$2:$Y$201,'Trial Rows'!Y118,'Trial Rows'!$G$2:$G$201,"A",Calculations!$R$2:$R$201,"&gt;=0",Calculations!$R$2:$R$201,"&lt;&gt;")=1),SUMIFS(Calculations!$R$2:$R$201,'Trial Rows'!$B$2:$B$201,'Trial Rows'!B118,'Trial Rows'!$C$2:$C$201,'Trial Rows'!C118,'Trial Rows'!$F$2:$F$201,'Trial Rows'!F118,'Trial Rows'!$Y$2:$Y$201,'Trial Rows'!Y118,'Trial Rows'!$G$2:$G$201,"A"),"")</x:f>
      </x:c>
      <x:c r="J118" s="2" t="str">
        <x:f>IF(AND(A118&lt;&gt;"",COUNTIFS('Trial Rows'!$B$2:$B$201,'Trial Rows'!B118,'Trial Rows'!$C$2:$C$201,'Trial Rows'!C118,'Trial Rows'!$F$2:$F$201,'Trial Rows'!F118,'Trial Rows'!$Y$2:$Y$201,'Trial Rows'!Y118,'Trial Rows'!$G$2:$G$201,"B",Calculations!$R$2:$R$201,"&gt;=0",Calculations!$R$2:$R$201,"&lt;&gt;")=1),SUMIFS(Calculations!$R$2:$R$201,'Trial Rows'!$B$2:$B$201,'Trial Rows'!B118,'Trial Rows'!$C$2:$C$201,'Trial Rows'!C118,'Trial Rows'!$F$2:$F$201,'Trial Rows'!F118,'Trial Rows'!$Y$2:$Y$201,'Trial Rows'!Y118,'Trial Rows'!$G$2:$G$201,"B"),"")</x:f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 t="str">
        <x:f>IF(AND(Calculations!B119=1,'Trial Rows'!G119="B",'Trial Rows'!I119=1,Calculations!D119=1),'Trial Rows'!C119,"")</x:f>
      </x:c>
      <x:c r="B119" s="2" t="str">
        <x:f>IF(A119="","",'Trial Rows'!B119)</x:f>
      </x:c>
      <x:c r="C119" s="2" t="str">
        <x:f>IF(A119="","",'Trial Rows'!F119)</x:f>
      </x:c>
      <x:c r="D119" s="2" t="str">
        <x:f>IF(A119="","",'Trial Rows'!H119)</x:f>
      </x:c>
      <x:c r="E119" s="2" t="str">
        <x:f>IF(A119="","",SUMIFS(Calculations!$F$2:$F$201,'Trial Rows'!$B$2:$B$201,'Trial Rows'!B119,'Trial Rows'!$C$2:$C$201,'Trial Rows'!C119,'Trial Rows'!$F$2:$F$201,'Trial Rows'!F119,'Trial Rows'!$Y$2:$Y$201,'Trial Rows'!Y119))</x:f>
      </x:c>
      <x:c r="F119" s="2" t="str">
        <x:f>IF(A119="","",SUMIFS(Calculations!$G$2:$G$201,'Trial Rows'!$B$2:$B$201,'Trial Rows'!B119,'Trial Rows'!$C$2:$C$201,'Trial Rows'!C119,'Trial Rows'!$F$2:$F$201,'Trial Rows'!F119,'Trial Rows'!$Y$2:$Y$201,'Trial Rows'!Y119))</x:f>
      </x:c>
      <x:c r="G119" s="7" t="str">
        <x:f>IF(OR(A119="",E119=0),"",F119/E119)</x:f>
      </x:c>
      <x:c r="H119" s="7" t="str">
        <x:f>IF(OR(A119="",SUMIFS(Calculations!$H$2:$H$201,'Trial Rows'!$B$2:$B$201,'Trial Rows'!B119,'Trial Rows'!$C$2:$C$201,'Trial Rows'!C119,'Trial Rows'!$F$2:$F$201,'Trial Rows'!F119,'Trial Rows'!$Y$2:$Y$201,'Trial Rows'!Y119)=0),"",SUMIFS(Calculations!$I$2:$I$201,'Trial Rows'!$B$2:$B$201,'Trial Rows'!B119,'Trial Rows'!$C$2:$C$201,'Trial Rows'!C119,'Trial Rows'!$F$2:$F$201,'Trial Rows'!F119,'Trial Rows'!$Y$2:$Y$201,'Trial Rows'!Y119)/SUMIFS(Calculations!$H$2:$H$201,'Trial Rows'!$B$2:$B$201,'Trial Rows'!B119,'Trial Rows'!$C$2:$C$201,'Trial Rows'!C119,'Trial Rows'!$F$2:$F$201,'Trial Rows'!F119,'Trial Rows'!$Y$2:$Y$201,'Trial Rows'!Y119))</x:f>
      </x:c>
      <x:c r="I119" s="2" t="str">
        <x:f>IF(AND(A119&lt;&gt;"",COUNTIFS('Trial Rows'!$B$2:$B$201,'Trial Rows'!B119,'Trial Rows'!$C$2:$C$201,'Trial Rows'!C119,'Trial Rows'!$F$2:$F$201,'Trial Rows'!F119,'Trial Rows'!$Y$2:$Y$201,'Trial Rows'!Y119,'Trial Rows'!$G$2:$G$201,"A",Calculations!$R$2:$R$201,"&gt;=0",Calculations!$R$2:$R$201,"&lt;&gt;")=1),SUMIFS(Calculations!$R$2:$R$201,'Trial Rows'!$B$2:$B$201,'Trial Rows'!B119,'Trial Rows'!$C$2:$C$201,'Trial Rows'!C119,'Trial Rows'!$F$2:$F$201,'Trial Rows'!F119,'Trial Rows'!$Y$2:$Y$201,'Trial Rows'!Y119,'Trial Rows'!$G$2:$G$201,"A"),"")</x:f>
      </x:c>
      <x:c r="J119" s="2" t="str">
        <x:f>IF(AND(A119&lt;&gt;"",COUNTIFS('Trial Rows'!$B$2:$B$201,'Trial Rows'!B119,'Trial Rows'!$C$2:$C$201,'Trial Rows'!C119,'Trial Rows'!$F$2:$F$201,'Trial Rows'!F119,'Trial Rows'!$Y$2:$Y$201,'Trial Rows'!Y119,'Trial Rows'!$G$2:$G$201,"B",Calculations!$R$2:$R$201,"&gt;=0",Calculations!$R$2:$R$201,"&lt;&gt;")=1),SUMIFS(Calculations!$R$2:$R$201,'Trial Rows'!$B$2:$B$201,'Trial Rows'!B119,'Trial Rows'!$C$2:$C$201,'Trial Rows'!C119,'Trial Rows'!$F$2:$F$201,'Trial Rows'!F119,'Trial Rows'!$Y$2:$Y$201,'Trial Rows'!Y119,'Trial Rows'!$G$2:$G$201,"B"),"")</x:f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 t="str">
        <x:f>IF(AND(Calculations!B120=1,'Trial Rows'!G120="B",'Trial Rows'!I120=1,Calculations!D120=1),'Trial Rows'!C120,"")</x:f>
      </x:c>
      <x:c r="B120" s="2" t="str">
        <x:f>IF(A120="","",'Trial Rows'!B120)</x:f>
      </x:c>
      <x:c r="C120" s="2" t="str">
        <x:f>IF(A120="","",'Trial Rows'!F120)</x:f>
      </x:c>
      <x:c r="D120" s="2" t="str">
        <x:f>IF(A120="","",'Trial Rows'!H120)</x:f>
      </x:c>
      <x:c r="E120" s="2" t="str">
        <x:f>IF(A120="","",SUMIFS(Calculations!$F$2:$F$201,'Trial Rows'!$B$2:$B$201,'Trial Rows'!B120,'Trial Rows'!$C$2:$C$201,'Trial Rows'!C120,'Trial Rows'!$F$2:$F$201,'Trial Rows'!F120,'Trial Rows'!$Y$2:$Y$201,'Trial Rows'!Y120))</x:f>
      </x:c>
      <x:c r="F120" s="2" t="str">
        <x:f>IF(A120="","",SUMIFS(Calculations!$G$2:$G$201,'Trial Rows'!$B$2:$B$201,'Trial Rows'!B120,'Trial Rows'!$C$2:$C$201,'Trial Rows'!C120,'Trial Rows'!$F$2:$F$201,'Trial Rows'!F120,'Trial Rows'!$Y$2:$Y$201,'Trial Rows'!Y120))</x:f>
      </x:c>
      <x:c r="G120" s="7" t="str">
        <x:f>IF(OR(A120="",E120=0),"",F120/E120)</x:f>
      </x:c>
      <x:c r="H120" s="7" t="str">
        <x:f>IF(OR(A120="",SUMIFS(Calculations!$H$2:$H$201,'Trial Rows'!$B$2:$B$201,'Trial Rows'!B120,'Trial Rows'!$C$2:$C$201,'Trial Rows'!C120,'Trial Rows'!$F$2:$F$201,'Trial Rows'!F120,'Trial Rows'!$Y$2:$Y$201,'Trial Rows'!Y120)=0),"",SUMIFS(Calculations!$I$2:$I$201,'Trial Rows'!$B$2:$B$201,'Trial Rows'!B120,'Trial Rows'!$C$2:$C$201,'Trial Rows'!C120,'Trial Rows'!$F$2:$F$201,'Trial Rows'!F120,'Trial Rows'!$Y$2:$Y$201,'Trial Rows'!Y120)/SUMIFS(Calculations!$H$2:$H$201,'Trial Rows'!$B$2:$B$201,'Trial Rows'!B120,'Trial Rows'!$C$2:$C$201,'Trial Rows'!C120,'Trial Rows'!$F$2:$F$201,'Trial Rows'!F120,'Trial Rows'!$Y$2:$Y$201,'Trial Rows'!Y120))</x:f>
      </x:c>
      <x:c r="I120" s="2" t="str">
        <x:f>IF(AND(A120&lt;&gt;"",COUNTIFS('Trial Rows'!$B$2:$B$201,'Trial Rows'!B120,'Trial Rows'!$C$2:$C$201,'Trial Rows'!C120,'Trial Rows'!$F$2:$F$201,'Trial Rows'!F120,'Trial Rows'!$Y$2:$Y$201,'Trial Rows'!Y120,'Trial Rows'!$G$2:$G$201,"A",Calculations!$R$2:$R$201,"&gt;=0",Calculations!$R$2:$R$201,"&lt;&gt;")=1),SUMIFS(Calculations!$R$2:$R$201,'Trial Rows'!$B$2:$B$201,'Trial Rows'!B120,'Trial Rows'!$C$2:$C$201,'Trial Rows'!C120,'Trial Rows'!$F$2:$F$201,'Trial Rows'!F120,'Trial Rows'!$Y$2:$Y$201,'Trial Rows'!Y120,'Trial Rows'!$G$2:$G$201,"A"),"")</x:f>
      </x:c>
      <x:c r="J120" s="2" t="str">
        <x:f>IF(AND(A120&lt;&gt;"",COUNTIFS('Trial Rows'!$B$2:$B$201,'Trial Rows'!B120,'Trial Rows'!$C$2:$C$201,'Trial Rows'!C120,'Trial Rows'!$F$2:$F$201,'Trial Rows'!F120,'Trial Rows'!$Y$2:$Y$201,'Trial Rows'!Y120,'Trial Rows'!$G$2:$G$201,"B",Calculations!$R$2:$R$201,"&gt;=0",Calculations!$R$2:$R$201,"&lt;&gt;")=1),SUMIFS(Calculations!$R$2:$R$201,'Trial Rows'!$B$2:$B$201,'Trial Rows'!B120,'Trial Rows'!$C$2:$C$201,'Trial Rows'!C120,'Trial Rows'!$F$2:$F$201,'Trial Rows'!F120,'Trial Rows'!$Y$2:$Y$201,'Trial Rows'!Y120,'Trial Rows'!$G$2:$G$201,"B"),"")</x:f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 t="str">
        <x:f>IF(AND(Calculations!B121=1,'Trial Rows'!G121="B",'Trial Rows'!I121=1,Calculations!D121=1),'Trial Rows'!C121,"")</x:f>
      </x:c>
      <x:c r="B121" s="2" t="str">
        <x:f>IF(A121="","",'Trial Rows'!B121)</x:f>
      </x:c>
      <x:c r="C121" s="2" t="str">
        <x:f>IF(A121="","",'Trial Rows'!F121)</x:f>
      </x:c>
      <x:c r="D121" s="2" t="str">
        <x:f>IF(A121="","",'Trial Rows'!H121)</x:f>
      </x:c>
      <x:c r="E121" s="2" t="str">
        <x:f>IF(A121="","",SUMIFS(Calculations!$F$2:$F$201,'Trial Rows'!$B$2:$B$201,'Trial Rows'!B121,'Trial Rows'!$C$2:$C$201,'Trial Rows'!C121,'Trial Rows'!$F$2:$F$201,'Trial Rows'!F121,'Trial Rows'!$Y$2:$Y$201,'Trial Rows'!Y121))</x:f>
      </x:c>
      <x:c r="F121" s="2" t="str">
        <x:f>IF(A121="","",SUMIFS(Calculations!$G$2:$G$201,'Trial Rows'!$B$2:$B$201,'Trial Rows'!B121,'Trial Rows'!$C$2:$C$201,'Trial Rows'!C121,'Trial Rows'!$F$2:$F$201,'Trial Rows'!F121,'Trial Rows'!$Y$2:$Y$201,'Trial Rows'!Y121))</x:f>
      </x:c>
      <x:c r="G121" s="7" t="str">
        <x:f>IF(OR(A121="",E121=0),"",F121/E121)</x:f>
      </x:c>
      <x:c r="H121" s="7" t="str">
        <x:f>IF(OR(A121="",SUMIFS(Calculations!$H$2:$H$201,'Trial Rows'!$B$2:$B$201,'Trial Rows'!B121,'Trial Rows'!$C$2:$C$201,'Trial Rows'!C121,'Trial Rows'!$F$2:$F$201,'Trial Rows'!F121,'Trial Rows'!$Y$2:$Y$201,'Trial Rows'!Y121)=0),"",SUMIFS(Calculations!$I$2:$I$201,'Trial Rows'!$B$2:$B$201,'Trial Rows'!B121,'Trial Rows'!$C$2:$C$201,'Trial Rows'!C121,'Trial Rows'!$F$2:$F$201,'Trial Rows'!F121,'Trial Rows'!$Y$2:$Y$201,'Trial Rows'!Y121)/SUMIFS(Calculations!$H$2:$H$201,'Trial Rows'!$B$2:$B$201,'Trial Rows'!B121,'Trial Rows'!$C$2:$C$201,'Trial Rows'!C121,'Trial Rows'!$F$2:$F$201,'Trial Rows'!F121,'Trial Rows'!$Y$2:$Y$201,'Trial Rows'!Y121))</x:f>
      </x:c>
      <x:c r="I121" s="2" t="str">
        <x:f>IF(AND(A121&lt;&gt;"",COUNTIFS('Trial Rows'!$B$2:$B$201,'Trial Rows'!B121,'Trial Rows'!$C$2:$C$201,'Trial Rows'!C121,'Trial Rows'!$F$2:$F$201,'Trial Rows'!F121,'Trial Rows'!$Y$2:$Y$201,'Trial Rows'!Y121,'Trial Rows'!$G$2:$G$201,"A",Calculations!$R$2:$R$201,"&gt;=0",Calculations!$R$2:$R$201,"&lt;&gt;")=1),SUMIFS(Calculations!$R$2:$R$201,'Trial Rows'!$B$2:$B$201,'Trial Rows'!B121,'Trial Rows'!$C$2:$C$201,'Trial Rows'!C121,'Trial Rows'!$F$2:$F$201,'Trial Rows'!F121,'Trial Rows'!$Y$2:$Y$201,'Trial Rows'!Y121,'Trial Rows'!$G$2:$G$201,"A"),"")</x:f>
      </x:c>
      <x:c r="J121" s="2" t="str">
        <x:f>IF(AND(A121&lt;&gt;"",COUNTIFS('Trial Rows'!$B$2:$B$201,'Trial Rows'!B121,'Trial Rows'!$C$2:$C$201,'Trial Rows'!C121,'Trial Rows'!$F$2:$F$201,'Trial Rows'!F121,'Trial Rows'!$Y$2:$Y$201,'Trial Rows'!Y121,'Trial Rows'!$G$2:$G$201,"B",Calculations!$R$2:$R$201,"&gt;=0",Calculations!$R$2:$R$201,"&lt;&gt;")=1),SUMIFS(Calculations!$R$2:$R$201,'Trial Rows'!$B$2:$B$201,'Trial Rows'!B121,'Trial Rows'!$C$2:$C$201,'Trial Rows'!C121,'Trial Rows'!$F$2:$F$201,'Trial Rows'!F121,'Trial Rows'!$Y$2:$Y$201,'Trial Rows'!Y121,'Trial Rows'!$G$2:$G$201,"B"),"")</x:f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 t="str">
        <x:f>IF(AND(Calculations!B122=1,'Trial Rows'!G122="B",'Trial Rows'!I122=1,Calculations!D122=1),'Trial Rows'!C122,"")</x:f>
      </x:c>
      <x:c r="B122" s="2" t="str">
        <x:f>IF(A122="","",'Trial Rows'!B122)</x:f>
      </x:c>
      <x:c r="C122" s="2" t="str">
        <x:f>IF(A122="","",'Trial Rows'!F122)</x:f>
      </x:c>
      <x:c r="D122" s="2" t="str">
        <x:f>IF(A122="","",'Trial Rows'!H122)</x:f>
      </x:c>
      <x:c r="E122" s="2" t="str">
        <x:f>IF(A122="","",SUMIFS(Calculations!$F$2:$F$201,'Trial Rows'!$B$2:$B$201,'Trial Rows'!B122,'Trial Rows'!$C$2:$C$201,'Trial Rows'!C122,'Trial Rows'!$F$2:$F$201,'Trial Rows'!F122,'Trial Rows'!$Y$2:$Y$201,'Trial Rows'!Y122))</x:f>
      </x:c>
      <x:c r="F122" s="2" t="str">
        <x:f>IF(A122="","",SUMIFS(Calculations!$G$2:$G$201,'Trial Rows'!$B$2:$B$201,'Trial Rows'!B122,'Trial Rows'!$C$2:$C$201,'Trial Rows'!C122,'Trial Rows'!$F$2:$F$201,'Trial Rows'!F122,'Trial Rows'!$Y$2:$Y$201,'Trial Rows'!Y122))</x:f>
      </x:c>
      <x:c r="G122" s="7" t="str">
        <x:f>IF(OR(A122="",E122=0),"",F122/E122)</x:f>
      </x:c>
      <x:c r="H122" s="7" t="str">
        <x:f>IF(OR(A122="",SUMIFS(Calculations!$H$2:$H$201,'Trial Rows'!$B$2:$B$201,'Trial Rows'!B122,'Trial Rows'!$C$2:$C$201,'Trial Rows'!C122,'Trial Rows'!$F$2:$F$201,'Trial Rows'!F122,'Trial Rows'!$Y$2:$Y$201,'Trial Rows'!Y122)=0),"",SUMIFS(Calculations!$I$2:$I$201,'Trial Rows'!$B$2:$B$201,'Trial Rows'!B122,'Trial Rows'!$C$2:$C$201,'Trial Rows'!C122,'Trial Rows'!$F$2:$F$201,'Trial Rows'!F122,'Trial Rows'!$Y$2:$Y$201,'Trial Rows'!Y122)/SUMIFS(Calculations!$H$2:$H$201,'Trial Rows'!$B$2:$B$201,'Trial Rows'!B122,'Trial Rows'!$C$2:$C$201,'Trial Rows'!C122,'Trial Rows'!$F$2:$F$201,'Trial Rows'!F122,'Trial Rows'!$Y$2:$Y$201,'Trial Rows'!Y122))</x:f>
      </x:c>
      <x:c r="I122" s="2" t="str">
        <x:f>IF(AND(A122&lt;&gt;"",COUNTIFS('Trial Rows'!$B$2:$B$201,'Trial Rows'!B122,'Trial Rows'!$C$2:$C$201,'Trial Rows'!C122,'Trial Rows'!$F$2:$F$201,'Trial Rows'!F122,'Trial Rows'!$Y$2:$Y$201,'Trial Rows'!Y122,'Trial Rows'!$G$2:$G$201,"A",Calculations!$R$2:$R$201,"&gt;=0",Calculations!$R$2:$R$201,"&lt;&gt;")=1),SUMIFS(Calculations!$R$2:$R$201,'Trial Rows'!$B$2:$B$201,'Trial Rows'!B122,'Trial Rows'!$C$2:$C$201,'Trial Rows'!C122,'Trial Rows'!$F$2:$F$201,'Trial Rows'!F122,'Trial Rows'!$Y$2:$Y$201,'Trial Rows'!Y122,'Trial Rows'!$G$2:$G$201,"A"),"")</x:f>
      </x:c>
      <x:c r="J122" s="2" t="str">
        <x:f>IF(AND(A122&lt;&gt;"",COUNTIFS('Trial Rows'!$B$2:$B$201,'Trial Rows'!B122,'Trial Rows'!$C$2:$C$201,'Trial Rows'!C122,'Trial Rows'!$F$2:$F$201,'Trial Rows'!F122,'Trial Rows'!$Y$2:$Y$201,'Trial Rows'!Y122,'Trial Rows'!$G$2:$G$201,"B",Calculations!$R$2:$R$201,"&gt;=0",Calculations!$R$2:$R$201,"&lt;&gt;")=1),SUMIFS(Calculations!$R$2:$R$201,'Trial Rows'!$B$2:$B$201,'Trial Rows'!B122,'Trial Rows'!$C$2:$C$201,'Trial Rows'!C122,'Trial Rows'!$F$2:$F$201,'Trial Rows'!F122,'Trial Rows'!$Y$2:$Y$201,'Trial Rows'!Y122,'Trial Rows'!$G$2:$G$201,"B"),"")</x:f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 t="str">
        <x:f>IF(AND(Calculations!B123=1,'Trial Rows'!G123="B",'Trial Rows'!I123=1,Calculations!D123=1),'Trial Rows'!C123,"")</x:f>
      </x:c>
      <x:c r="B123" s="2" t="str">
        <x:f>IF(A123="","",'Trial Rows'!B123)</x:f>
      </x:c>
      <x:c r="C123" s="2" t="str">
        <x:f>IF(A123="","",'Trial Rows'!F123)</x:f>
      </x:c>
      <x:c r="D123" s="2" t="str">
        <x:f>IF(A123="","",'Trial Rows'!H123)</x:f>
      </x:c>
      <x:c r="E123" s="2" t="str">
        <x:f>IF(A123="","",SUMIFS(Calculations!$F$2:$F$201,'Trial Rows'!$B$2:$B$201,'Trial Rows'!B123,'Trial Rows'!$C$2:$C$201,'Trial Rows'!C123,'Trial Rows'!$F$2:$F$201,'Trial Rows'!F123,'Trial Rows'!$Y$2:$Y$201,'Trial Rows'!Y123))</x:f>
      </x:c>
      <x:c r="F123" s="2" t="str">
        <x:f>IF(A123="","",SUMIFS(Calculations!$G$2:$G$201,'Trial Rows'!$B$2:$B$201,'Trial Rows'!B123,'Trial Rows'!$C$2:$C$201,'Trial Rows'!C123,'Trial Rows'!$F$2:$F$201,'Trial Rows'!F123,'Trial Rows'!$Y$2:$Y$201,'Trial Rows'!Y123))</x:f>
      </x:c>
      <x:c r="G123" s="7" t="str">
        <x:f>IF(OR(A123="",E123=0),"",F123/E123)</x:f>
      </x:c>
      <x:c r="H123" s="7" t="str">
        <x:f>IF(OR(A123="",SUMIFS(Calculations!$H$2:$H$201,'Trial Rows'!$B$2:$B$201,'Trial Rows'!B123,'Trial Rows'!$C$2:$C$201,'Trial Rows'!C123,'Trial Rows'!$F$2:$F$201,'Trial Rows'!F123,'Trial Rows'!$Y$2:$Y$201,'Trial Rows'!Y123)=0),"",SUMIFS(Calculations!$I$2:$I$201,'Trial Rows'!$B$2:$B$201,'Trial Rows'!B123,'Trial Rows'!$C$2:$C$201,'Trial Rows'!C123,'Trial Rows'!$F$2:$F$201,'Trial Rows'!F123,'Trial Rows'!$Y$2:$Y$201,'Trial Rows'!Y123)/SUMIFS(Calculations!$H$2:$H$201,'Trial Rows'!$B$2:$B$201,'Trial Rows'!B123,'Trial Rows'!$C$2:$C$201,'Trial Rows'!C123,'Trial Rows'!$F$2:$F$201,'Trial Rows'!F123,'Trial Rows'!$Y$2:$Y$201,'Trial Rows'!Y123))</x:f>
      </x:c>
      <x:c r="I123" s="2" t="str">
        <x:f>IF(AND(A123&lt;&gt;"",COUNTIFS('Trial Rows'!$B$2:$B$201,'Trial Rows'!B123,'Trial Rows'!$C$2:$C$201,'Trial Rows'!C123,'Trial Rows'!$F$2:$F$201,'Trial Rows'!F123,'Trial Rows'!$Y$2:$Y$201,'Trial Rows'!Y123,'Trial Rows'!$G$2:$G$201,"A",Calculations!$R$2:$R$201,"&gt;=0",Calculations!$R$2:$R$201,"&lt;&gt;")=1),SUMIFS(Calculations!$R$2:$R$201,'Trial Rows'!$B$2:$B$201,'Trial Rows'!B123,'Trial Rows'!$C$2:$C$201,'Trial Rows'!C123,'Trial Rows'!$F$2:$F$201,'Trial Rows'!F123,'Trial Rows'!$Y$2:$Y$201,'Trial Rows'!Y123,'Trial Rows'!$G$2:$G$201,"A"),"")</x:f>
      </x:c>
      <x:c r="J123" s="2" t="str">
        <x:f>IF(AND(A123&lt;&gt;"",COUNTIFS('Trial Rows'!$B$2:$B$201,'Trial Rows'!B123,'Trial Rows'!$C$2:$C$201,'Trial Rows'!C123,'Trial Rows'!$F$2:$F$201,'Trial Rows'!F123,'Trial Rows'!$Y$2:$Y$201,'Trial Rows'!Y123,'Trial Rows'!$G$2:$G$201,"B",Calculations!$R$2:$R$201,"&gt;=0",Calculations!$R$2:$R$201,"&lt;&gt;")=1),SUMIFS(Calculations!$R$2:$R$201,'Trial Rows'!$B$2:$B$201,'Trial Rows'!B123,'Trial Rows'!$C$2:$C$201,'Trial Rows'!C123,'Trial Rows'!$F$2:$F$201,'Trial Rows'!F123,'Trial Rows'!$Y$2:$Y$201,'Trial Rows'!Y123,'Trial Rows'!$G$2:$G$201,"B"),"")</x:f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 t="str">
        <x:f>IF(AND(Calculations!B124=1,'Trial Rows'!G124="B",'Trial Rows'!I124=1,Calculations!D124=1),'Trial Rows'!C124,"")</x:f>
      </x:c>
      <x:c r="B124" s="2" t="str">
        <x:f>IF(A124="","",'Trial Rows'!B124)</x:f>
      </x:c>
      <x:c r="C124" s="2" t="str">
        <x:f>IF(A124="","",'Trial Rows'!F124)</x:f>
      </x:c>
      <x:c r="D124" s="2" t="str">
        <x:f>IF(A124="","",'Trial Rows'!H124)</x:f>
      </x:c>
      <x:c r="E124" s="2" t="str">
        <x:f>IF(A124="","",SUMIFS(Calculations!$F$2:$F$201,'Trial Rows'!$B$2:$B$201,'Trial Rows'!B124,'Trial Rows'!$C$2:$C$201,'Trial Rows'!C124,'Trial Rows'!$F$2:$F$201,'Trial Rows'!F124,'Trial Rows'!$Y$2:$Y$201,'Trial Rows'!Y124))</x:f>
      </x:c>
      <x:c r="F124" s="2" t="str">
        <x:f>IF(A124="","",SUMIFS(Calculations!$G$2:$G$201,'Trial Rows'!$B$2:$B$201,'Trial Rows'!B124,'Trial Rows'!$C$2:$C$201,'Trial Rows'!C124,'Trial Rows'!$F$2:$F$201,'Trial Rows'!F124,'Trial Rows'!$Y$2:$Y$201,'Trial Rows'!Y124))</x:f>
      </x:c>
      <x:c r="G124" s="7" t="str">
        <x:f>IF(OR(A124="",E124=0),"",F124/E124)</x:f>
      </x:c>
      <x:c r="H124" s="7" t="str">
        <x:f>IF(OR(A124="",SUMIFS(Calculations!$H$2:$H$201,'Trial Rows'!$B$2:$B$201,'Trial Rows'!B124,'Trial Rows'!$C$2:$C$201,'Trial Rows'!C124,'Trial Rows'!$F$2:$F$201,'Trial Rows'!F124,'Trial Rows'!$Y$2:$Y$201,'Trial Rows'!Y124)=0),"",SUMIFS(Calculations!$I$2:$I$201,'Trial Rows'!$B$2:$B$201,'Trial Rows'!B124,'Trial Rows'!$C$2:$C$201,'Trial Rows'!C124,'Trial Rows'!$F$2:$F$201,'Trial Rows'!F124,'Trial Rows'!$Y$2:$Y$201,'Trial Rows'!Y124)/SUMIFS(Calculations!$H$2:$H$201,'Trial Rows'!$B$2:$B$201,'Trial Rows'!B124,'Trial Rows'!$C$2:$C$201,'Trial Rows'!C124,'Trial Rows'!$F$2:$F$201,'Trial Rows'!F124,'Trial Rows'!$Y$2:$Y$201,'Trial Rows'!Y124))</x:f>
      </x:c>
      <x:c r="I124" s="2" t="str">
        <x:f>IF(AND(A124&lt;&gt;"",COUNTIFS('Trial Rows'!$B$2:$B$201,'Trial Rows'!B124,'Trial Rows'!$C$2:$C$201,'Trial Rows'!C124,'Trial Rows'!$F$2:$F$201,'Trial Rows'!F124,'Trial Rows'!$Y$2:$Y$201,'Trial Rows'!Y124,'Trial Rows'!$G$2:$G$201,"A",Calculations!$R$2:$R$201,"&gt;=0",Calculations!$R$2:$R$201,"&lt;&gt;")=1),SUMIFS(Calculations!$R$2:$R$201,'Trial Rows'!$B$2:$B$201,'Trial Rows'!B124,'Trial Rows'!$C$2:$C$201,'Trial Rows'!C124,'Trial Rows'!$F$2:$F$201,'Trial Rows'!F124,'Trial Rows'!$Y$2:$Y$201,'Trial Rows'!Y124,'Trial Rows'!$G$2:$G$201,"A"),"")</x:f>
      </x:c>
      <x:c r="J124" s="2" t="str">
        <x:f>IF(AND(A124&lt;&gt;"",COUNTIFS('Trial Rows'!$B$2:$B$201,'Trial Rows'!B124,'Trial Rows'!$C$2:$C$201,'Trial Rows'!C124,'Trial Rows'!$F$2:$F$201,'Trial Rows'!F124,'Trial Rows'!$Y$2:$Y$201,'Trial Rows'!Y124,'Trial Rows'!$G$2:$G$201,"B",Calculations!$R$2:$R$201,"&gt;=0",Calculations!$R$2:$R$201,"&lt;&gt;")=1),SUMIFS(Calculations!$R$2:$R$201,'Trial Rows'!$B$2:$B$201,'Trial Rows'!B124,'Trial Rows'!$C$2:$C$201,'Trial Rows'!C124,'Trial Rows'!$F$2:$F$201,'Trial Rows'!F124,'Trial Rows'!$Y$2:$Y$201,'Trial Rows'!Y124,'Trial Rows'!$G$2:$G$201,"B"),"")</x:f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 t="str">
        <x:f>IF(AND(Calculations!B125=1,'Trial Rows'!G125="B",'Trial Rows'!I125=1,Calculations!D125=1),'Trial Rows'!C125,"")</x:f>
      </x:c>
      <x:c r="B125" s="2" t="str">
        <x:f>IF(A125="","",'Trial Rows'!B125)</x:f>
      </x:c>
      <x:c r="C125" s="2" t="str">
        <x:f>IF(A125="","",'Trial Rows'!F125)</x:f>
      </x:c>
      <x:c r="D125" s="2" t="str">
        <x:f>IF(A125="","",'Trial Rows'!H125)</x:f>
      </x:c>
      <x:c r="E125" s="2" t="str">
        <x:f>IF(A125="","",SUMIFS(Calculations!$F$2:$F$201,'Trial Rows'!$B$2:$B$201,'Trial Rows'!B125,'Trial Rows'!$C$2:$C$201,'Trial Rows'!C125,'Trial Rows'!$F$2:$F$201,'Trial Rows'!F125,'Trial Rows'!$Y$2:$Y$201,'Trial Rows'!Y125))</x:f>
      </x:c>
      <x:c r="F125" s="2" t="str">
        <x:f>IF(A125="","",SUMIFS(Calculations!$G$2:$G$201,'Trial Rows'!$B$2:$B$201,'Trial Rows'!B125,'Trial Rows'!$C$2:$C$201,'Trial Rows'!C125,'Trial Rows'!$F$2:$F$201,'Trial Rows'!F125,'Trial Rows'!$Y$2:$Y$201,'Trial Rows'!Y125))</x:f>
      </x:c>
      <x:c r="G125" s="7" t="str">
        <x:f>IF(OR(A125="",E125=0),"",F125/E125)</x:f>
      </x:c>
      <x:c r="H125" s="7" t="str">
        <x:f>IF(OR(A125="",SUMIFS(Calculations!$H$2:$H$201,'Trial Rows'!$B$2:$B$201,'Trial Rows'!B125,'Trial Rows'!$C$2:$C$201,'Trial Rows'!C125,'Trial Rows'!$F$2:$F$201,'Trial Rows'!F125,'Trial Rows'!$Y$2:$Y$201,'Trial Rows'!Y125)=0),"",SUMIFS(Calculations!$I$2:$I$201,'Trial Rows'!$B$2:$B$201,'Trial Rows'!B125,'Trial Rows'!$C$2:$C$201,'Trial Rows'!C125,'Trial Rows'!$F$2:$F$201,'Trial Rows'!F125,'Trial Rows'!$Y$2:$Y$201,'Trial Rows'!Y125)/SUMIFS(Calculations!$H$2:$H$201,'Trial Rows'!$B$2:$B$201,'Trial Rows'!B125,'Trial Rows'!$C$2:$C$201,'Trial Rows'!C125,'Trial Rows'!$F$2:$F$201,'Trial Rows'!F125,'Trial Rows'!$Y$2:$Y$201,'Trial Rows'!Y125))</x:f>
      </x:c>
      <x:c r="I125" s="2" t="str">
        <x:f>IF(AND(A125&lt;&gt;"",COUNTIFS('Trial Rows'!$B$2:$B$201,'Trial Rows'!B125,'Trial Rows'!$C$2:$C$201,'Trial Rows'!C125,'Trial Rows'!$F$2:$F$201,'Trial Rows'!F125,'Trial Rows'!$Y$2:$Y$201,'Trial Rows'!Y125,'Trial Rows'!$G$2:$G$201,"A",Calculations!$R$2:$R$201,"&gt;=0",Calculations!$R$2:$R$201,"&lt;&gt;")=1),SUMIFS(Calculations!$R$2:$R$201,'Trial Rows'!$B$2:$B$201,'Trial Rows'!B125,'Trial Rows'!$C$2:$C$201,'Trial Rows'!C125,'Trial Rows'!$F$2:$F$201,'Trial Rows'!F125,'Trial Rows'!$Y$2:$Y$201,'Trial Rows'!Y125,'Trial Rows'!$G$2:$G$201,"A"),"")</x:f>
      </x:c>
      <x:c r="J125" s="2" t="str">
        <x:f>IF(AND(A125&lt;&gt;"",COUNTIFS('Trial Rows'!$B$2:$B$201,'Trial Rows'!B125,'Trial Rows'!$C$2:$C$201,'Trial Rows'!C125,'Trial Rows'!$F$2:$F$201,'Trial Rows'!F125,'Trial Rows'!$Y$2:$Y$201,'Trial Rows'!Y125,'Trial Rows'!$G$2:$G$201,"B",Calculations!$R$2:$R$201,"&gt;=0",Calculations!$R$2:$R$201,"&lt;&gt;")=1),SUMIFS(Calculations!$R$2:$R$201,'Trial Rows'!$B$2:$B$201,'Trial Rows'!B125,'Trial Rows'!$C$2:$C$201,'Trial Rows'!C125,'Trial Rows'!$F$2:$F$201,'Trial Rows'!F125,'Trial Rows'!$Y$2:$Y$201,'Trial Rows'!Y125,'Trial Rows'!$G$2:$G$201,"B"),"")</x:f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 t="str">
        <x:f>IF(AND(Calculations!B126=1,'Trial Rows'!G126="B",'Trial Rows'!I126=1,Calculations!D126=1),'Trial Rows'!C126,"")</x:f>
      </x:c>
      <x:c r="B126" s="2" t="str">
        <x:f>IF(A126="","",'Trial Rows'!B126)</x:f>
      </x:c>
      <x:c r="C126" s="2" t="str">
        <x:f>IF(A126="","",'Trial Rows'!F126)</x:f>
      </x:c>
      <x:c r="D126" s="2" t="str">
        <x:f>IF(A126="","",'Trial Rows'!H126)</x:f>
      </x:c>
      <x:c r="E126" s="2" t="str">
        <x:f>IF(A126="","",SUMIFS(Calculations!$F$2:$F$201,'Trial Rows'!$B$2:$B$201,'Trial Rows'!B126,'Trial Rows'!$C$2:$C$201,'Trial Rows'!C126,'Trial Rows'!$F$2:$F$201,'Trial Rows'!F126,'Trial Rows'!$Y$2:$Y$201,'Trial Rows'!Y126))</x:f>
      </x:c>
      <x:c r="F126" s="2" t="str">
        <x:f>IF(A126="","",SUMIFS(Calculations!$G$2:$G$201,'Trial Rows'!$B$2:$B$201,'Trial Rows'!B126,'Trial Rows'!$C$2:$C$201,'Trial Rows'!C126,'Trial Rows'!$F$2:$F$201,'Trial Rows'!F126,'Trial Rows'!$Y$2:$Y$201,'Trial Rows'!Y126))</x:f>
      </x:c>
      <x:c r="G126" s="7" t="str">
        <x:f>IF(OR(A126="",E126=0),"",F126/E126)</x:f>
      </x:c>
      <x:c r="H126" s="7" t="str">
        <x:f>IF(OR(A126="",SUMIFS(Calculations!$H$2:$H$201,'Trial Rows'!$B$2:$B$201,'Trial Rows'!B126,'Trial Rows'!$C$2:$C$201,'Trial Rows'!C126,'Trial Rows'!$F$2:$F$201,'Trial Rows'!F126,'Trial Rows'!$Y$2:$Y$201,'Trial Rows'!Y126)=0),"",SUMIFS(Calculations!$I$2:$I$201,'Trial Rows'!$B$2:$B$201,'Trial Rows'!B126,'Trial Rows'!$C$2:$C$201,'Trial Rows'!C126,'Trial Rows'!$F$2:$F$201,'Trial Rows'!F126,'Trial Rows'!$Y$2:$Y$201,'Trial Rows'!Y126)/SUMIFS(Calculations!$H$2:$H$201,'Trial Rows'!$B$2:$B$201,'Trial Rows'!B126,'Trial Rows'!$C$2:$C$201,'Trial Rows'!C126,'Trial Rows'!$F$2:$F$201,'Trial Rows'!F126,'Trial Rows'!$Y$2:$Y$201,'Trial Rows'!Y126))</x:f>
      </x:c>
      <x:c r="I126" s="2" t="str">
        <x:f>IF(AND(A126&lt;&gt;"",COUNTIFS('Trial Rows'!$B$2:$B$201,'Trial Rows'!B126,'Trial Rows'!$C$2:$C$201,'Trial Rows'!C126,'Trial Rows'!$F$2:$F$201,'Trial Rows'!F126,'Trial Rows'!$Y$2:$Y$201,'Trial Rows'!Y126,'Trial Rows'!$G$2:$G$201,"A",Calculations!$R$2:$R$201,"&gt;=0",Calculations!$R$2:$R$201,"&lt;&gt;")=1),SUMIFS(Calculations!$R$2:$R$201,'Trial Rows'!$B$2:$B$201,'Trial Rows'!B126,'Trial Rows'!$C$2:$C$201,'Trial Rows'!C126,'Trial Rows'!$F$2:$F$201,'Trial Rows'!F126,'Trial Rows'!$Y$2:$Y$201,'Trial Rows'!Y126,'Trial Rows'!$G$2:$G$201,"A"),"")</x:f>
      </x:c>
      <x:c r="J126" s="2" t="str">
        <x:f>IF(AND(A126&lt;&gt;"",COUNTIFS('Trial Rows'!$B$2:$B$201,'Trial Rows'!B126,'Trial Rows'!$C$2:$C$201,'Trial Rows'!C126,'Trial Rows'!$F$2:$F$201,'Trial Rows'!F126,'Trial Rows'!$Y$2:$Y$201,'Trial Rows'!Y126,'Trial Rows'!$G$2:$G$201,"B",Calculations!$R$2:$R$201,"&gt;=0",Calculations!$R$2:$R$201,"&lt;&gt;")=1),SUMIFS(Calculations!$R$2:$R$201,'Trial Rows'!$B$2:$B$201,'Trial Rows'!B126,'Trial Rows'!$C$2:$C$201,'Trial Rows'!C126,'Trial Rows'!$F$2:$F$201,'Trial Rows'!F126,'Trial Rows'!$Y$2:$Y$201,'Trial Rows'!Y126,'Trial Rows'!$G$2:$G$201,"B"),"")</x:f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 t="str">
        <x:f>IF(AND(Calculations!B127=1,'Trial Rows'!G127="B",'Trial Rows'!I127=1,Calculations!D127=1),'Trial Rows'!C127,"")</x:f>
      </x:c>
      <x:c r="B127" s="2" t="str">
        <x:f>IF(A127="","",'Trial Rows'!B127)</x:f>
      </x:c>
      <x:c r="C127" s="2" t="str">
        <x:f>IF(A127="","",'Trial Rows'!F127)</x:f>
      </x:c>
      <x:c r="D127" s="2" t="str">
        <x:f>IF(A127="","",'Trial Rows'!H127)</x:f>
      </x:c>
      <x:c r="E127" s="2" t="str">
        <x:f>IF(A127="","",SUMIFS(Calculations!$F$2:$F$201,'Trial Rows'!$B$2:$B$201,'Trial Rows'!B127,'Trial Rows'!$C$2:$C$201,'Trial Rows'!C127,'Trial Rows'!$F$2:$F$201,'Trial Rows'!F127,'Trial Rows'!$Y$2:$Y$201,'Trial Rows'!Y127))</x:f>
      </x:c>
      <x:c r="F127" s="2" t="str">
        <x:f>IF(A127="","",SUMIFS(Calculations!$G$2:$G$201,'Trial Rows'!$B$2:$B$201,'Trial Rows'!B127,'Trial Rows'!$C$2:$C$201,'Trial Rows'!C127,'Trial Rows'!$F$2:$F$201,'Trial Rows'!F127,'Trial Rows'!$Y$2:$Y$201,'Trial Rows'!Y127))</x:f>
      </x:c>
      <x:c r="G127" s="7" t="str">
        <x:f>IF(OR(A127="",E127=0),"",F127/E127)</x:f>
      </x:c>
      <x:c r="H127" s="7" t="str">
        <x:f>IF(OR(A127="",SUMIFS(Calculations!$H$2:$H$201,'Trial Rows'!$B$2:$B$201,'Trial Rows'!B127,'Trial Rows'!$C$2:$C$201,'Trial Rows'!C127,'Trial Rows'!$F$2:$F$201,'Trial Rows'!F127,'Trial Rows'!$Y$2:$Y$201,'Trial Rows'!Y127)=0),"",SUMIFS(Calculations!$I$2:$I$201,'Trial Rows'!$B$2:$B$201,'Trial Rows'!B127,'Trial Rows'!$C$2:$C$201,'Trial Rows'!C127,'Trial Rows'!$F$2:$F$201,'Trial Rows'!F127,'Trial Rows'!$Y$2:$Y$201,'Trial Rows'!Y127)/SUMIFS(Calculations!$H$2:$H$201,'Trial Rows'!$B$2:$B$201,'Trial Rows'!B127,'Trial Rows'!$C$2:$C$201,'Trial Rows'!C127,'Trial Rows'!$F$2:$F$201,'Trial Rows'!F127,'Trial Rows'!$Y$2:$Y$201,'Trial Rows'!Y127))</x:f>
      </x:c>
      <x:c r="I127" s="2" t="str">
        <x:f>IF(AND(A127&lt;&gt;"",COUNTIFS('Trial Rows'!$B$2:$B$201,'Trial Rows'!B127,'Trial Rows'!$C$2:$C$201,'Trial Rows'!C127,'Trial Rows'!$F$2:$F$201,'Trial Rows'!F127,'Trial Rows'!$Y$2:$Y$201,'Trial Rows'!Y127,'Trial Rows'!$G$2:$G$201,"A",Calculations!$R$2:$R$201,"&gt;=0",Calculations!$R$2:$R$201,"&lt;&gt;")=1),SUMIFS(Calculations!$R$2:$R$201,'Trial Rows'!$B$2:$B$201,'Trial Rows'!B127,'Trial Rows'!$C$2:$C$201,'Trial Rows'!C127,'Trial Rows'!$F$2:$F$201,'Trial Rows'!F127,'Trial Rows'!$Y$2:$Y$201,'Trial Rows'!Y127,'Trial Rows'!$G$2:$G$201,"A"),"")</x:f>
      </x:c>
      <x:c r="J127" s="2" t="str">
        <x:f>IF(AND(A127&lt;&gt;"",COUNTIFS('Trial Rows'!$B$2:$B$201,'Trial Rows'!B127,'Trial Rows'!$C$2:$C$201,'Trial Rows'!C127,'Trial Rows'!$F$2:$F$201,'Trial Rows'!F127,'Trial Rows'!$Y$2:$Y$201,'Trial Rows'!Y127,'Trial Rows'!$G$2:$G$201,"B",Calculations!$R$2:$R$201,"&gt;=0",Calculations!$R$2:$R$201,"&lt;&gt;")=1),SUMIFS(Calculations!$R$2:$R$201,'Trial Rows'!$B$2:$B$201,'Trial Rows'!B127,'Trial Rows'!$C$2:$C$201,'Trial Rows'!C127,'Trial Rows'!$F$2:$F$201,'Trial Rows'!F127,'Trial Rows'!$Y$2:$Y$201,'Trial Rows'!Y127,'Trial Rows'!$G$2:$G$201,"B"),"")</x:f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 t="str">
        <x:f>IF(AND(Calculations!B128=1,'Trial Rows'!G128="B",'Trial Rows'!I128=1,Calculations!D128=1),'Trial Rows'!C128,"")</x:f>
      </x:c>
      <x:c r="B128" s="2" t="str">
        <x:f>IF(A128="","",'Trial Rows'!B128)</x:f>
      </x:c>
      <x:c r="C128" s="2" t="str">
        <x:f>IF(A128="","",'Trial Rows'!F128)</x:f>
      </x:c>
      <x:c r="D128" s="2" t="str">
        <x:f>IF(A128="","",'Trial Rows'!H128)</x:f>
      </x:c>
      <x:c r="E128" s="2" t="str">
        <x:f>IF(A128="","",SUMIFS(Calculations!$F$2:$F$201,'Trial Rows'!$B$2:$B$201,'Trial Rows'!B128,'Trial Rows'!$C$2:$C$201,'Trial Rows'!C128,'Trial Rows'!$F$2:$F$201,'Trial Rows'!F128,'Trial Rows'!$Y$2:$Y$201,'Trial Rows'!Y128))</x:f>
      </x:c>
      <x:c r="F128" s="2" t="str">
        <x:f>IF(A128="","",SUMIFS(Calculations!$G$2:$G$201,'Trial Rows'!$B$2:$B$201,'Trial Rows'!B128,'Trial Rows'!$C$2:$C$201,'Trial Rows'!C128,'Trial Rows'!$F$2:$F$201,'Trial Rows'!F128,'Trial Rows'!$Y$2:$Y$201,'Trial Rows'!Y128))</x:f>
      </x:c>
      <x:c r="G128" s="7" t="str">
        <x:f>IF(OR(A128="",E128=0),"",F128/E128)</x:f>
      </x:c>
      <x:c r="H128" s="7" t="str">
        <x:f>IF(OR(A128="",SUMIFS(Calculations!$H$2:$H$201,'Trial Rows'!$B$2:$B$201,'Trial Rows'!B128,'Trial Rows'!$C$2:$C$201,'Trial Rows'!C128,'Trial Rows'!$F$2:$F$201,'Trial Rows'!F128,'Trial Rows'!$Y$2:$Y$201,'Trial Rows'!Y128)=0),"",SUMIFS(Calculations!$I$2:$I$201,'Trial Rows'!$B$2:$B$201,'Trial Rows'!B128,'Trial Rows'!$C$2:$C$201,'Trial Rows'!C128,'Trial Rows'!$F$2:$F$201,'Trial Rows'!F128,'Trial Rows'!$Y$2:$Y$201,'Trial Rows'!Y128)/SUMIFS(Calculations!$H$2:$H$201,'Trial Rows'!$B$2:$B$201,'Trial Rows'!B128,'Trial Rows'!$C$2:$C$201,'Trial Rows'!C128,'Trial Rows'!$F$2:$F$201,'Trial Rows'!F128,'Trial Rows'!$Y$2:$Y$201,'Trial Rows'!Y128))</x:f>
      </x:c>
      <x:c r="I128" s="2" t="str">
        <x:f>IF(AND(A128&lt;&gt;"",COUNTIFS('Trial Rows'!$B$2:$B$201,'Trial Rows'!B128,'Trial Rows'!$C$2:$C$201,'Trial Rows'!C128,'Trial Rows'!$F$2:$F$201,'Trial Rows'!F128,'Trial Rows'!$Y$2:$Y$201,'Trial Rows'!Y128,'Trial Rows'!$G$2:$G$201,"A",Calculations!$R$2:$R$201,"&gt;=0",Calculations!$R$2:$R$201,"&lt;&gt;")=1),SUMIFS(Calculations!$R$2:$R$201,'Trial Rows'!$B$2:$B$201,'Trial Rows'!B128,'Trial Rows'!$C$2:$C$201,'Trial Rows'!C128,'Trial Rows'!$F$2:$F$201,'Trial Rows'!F128,'Trial Rows'!$Y$2:$Y$201,'Trial Rows'!Y128,'Trial Rows'!$G$2:$G$201,"A"),"")</x:f>
      </x:c>
      <x:c r="J128" s="2" t="str">
        <x:f>IF(AND(A128&lt;&gt;"",COUNTIFS('Trial Rows'!$B$2:$B$201,'Trial Rows'!B128,'Trial Rows'!$C$2:$C$201,'Trial Rows'!C128,'Trial Rows'!$F$2:$F$201,'Trial Rows'!F128,'Trial Rows'!$Y$2:$Y$201,'Trial Rows'!Y128,'Trial Rows'!$G$2:$G$201,"B",Calculations!$R$2:$R$201,"&gt;=0",Calculations!$R$2:$R$201,"&lt;&gt;")=1),SUMIFS(Calculations!$R$2:$R$201,'Trial Rows'!$B$2:$B$201,'Trial Rows'!B128,'Trial Rows'!$C$2:$C$201,'Trial Rows'!C128,'Trial Rows'!$F$2:$F$201,'Trial Rows'!F128,'Trial Rows'!$Y$2:$Y$201,'Trial Rows'!Y128,'Trial Rows'!$G$2:$G$201,"B"),"")</x:f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 t="str">
        <x:f>IF(AND(Calculations!B129=1,'Trial Rows'!G129="B",'Trial Rows'!I129=1,Calculations!D129=1),'Trial Rows'!C129,"")</x:f>
      </x:c>
      <x:c r="B129" s="2" t="str">
        <x:f>IF(A129="","",'Trial Rows'!B129)</x:f>
      </x:c>
      <x:c r="C129" s="2" t="str">
        <x:f>IF(A129="","",'Trial Rows'!F129)</x:f>
      </x:c>
      <x:c r="D129" s="2" t="str">
        <x:f>IF(A129="","",'Trial Rows'!H129)</x:f>
      </x:c>
      <x:c r="E129" s="2" t="str">
        <x:f>IF(A129="","",SUMIFS(Calculations!$F$2:$F$201,'Trial Rows'!$B$2:$B$201,'Trial Rows'!B129,'Trial Rows'!$C$2:$C$201,'Trial Rows'!C129,'Trial Rows'!$F$2:$F$201,'Trial Rows'!F129,'Trial Rows'!$Y$2:$Y$201,'Trial Rows'!Y129))</x:f>
      </x:c>
      <x:c r="F129" s="2" t="str">
        <x:f>IF(A129="","",SUMIFS(Calculations!$G$2:$G$201,'Trial Rows'!$B$2:$B$201,'Trial Rows'!B129,'Trial Rows'!$C$2:$C$201,'Trial Rows'!C129,'Trial Rows'!$F$2:$F$201,'Trial Rows'!F129,'Trial Rows'!$Y$2:$Y$201,'Trial Rows'!Y129))</x:f>
      </x:c>
      <x:c r="G129" s="7" t="str">
        <x:f>IF(OR(A129="",E129=0),"",F129/E129)</x:f>
      </x:c>
      <x:c r="H129" s="7" t="str">
        <x:f>IF(OR(A129="",SUMIFS(Calculations!$H$2:$H$201,'Trial Rows'!$B$2:$B$201,'Trial Rows'!B129,'Trial Rows'!$C$2:$C$201,'Trial Rows'!C129,'Trial Rows'!$F$2:$F$201,'Trial Rows'!F129,'Trial Rows'!$Y$2:$Y$201,'Trial Rows'!Y129)=0),"",SUMIFS(Calculations!$I$2:$I$201,'Trial Rows'!$B$2:$B$201,'Trial Rows'!B129,'Trial Rows'!$C$2:$C$201,'Trial Rows'!C129,'Trial Rows'!$F$2:$F$201,'Trial Rows'!F129,'Trial Rows'!$Y$2:$Y$201,'Trial Rows'!Y129)/SUMIFS(Calculations!$H$2:$H$201,'Trial Rows'!$B$2:$B$201,'Trial Rows'!B129,'Trial Rows'!$C$2:$C$201,'Trial Rows'!C129,'Trial Rows'!$F$2:$F$201,'Trial Rows'!F129,'Trial Rows'!$Y$2:$Y$201,'Trial Rows'!Y129))</x:f>
      </x:c>
      <x:c r="I129" s="2" t="str">
        <x:f>IF(AND(A129&lt;&gt;"",COUNTIFS('Trial Rows'!$B$2:$B$201,'Trial Rows'!B129,'Trial Rows'!$C$2:$C$201,'Trial Rows'!C129,'Trial Rows'!$F$2:$F$201,'Trial Rows'!F129,'Trial Rows'!$Y$2:$Y$201,'Trial Rows'!Y129,'Trial Rows'!$G$2:$G$201,"A",Calculations!$R$2:$R$201,"&gt;=0",Calculations!$R$2:$R$201,"&lt;&gt;")=1),SUMIFS(Calculations!$R$2:$R$201,'Trial Rows'!$B$2:$B$201,'Trial Rows'!B129,'Trial Rows'!$C$2:$C$201,'Trial Rows'!C129,'Trial Rows'!$F$2:$F$201,'Trial Rows'!F129,'Trial Rows'!$Y$2:$Y$201,'Trial Rows'!Y129,'Trial Rows'!$G$2:$G$201,"A"),"")</x:f>
      </x:c>
      <x:c r="J129" s="2" t="str">
        <x:f>IF(AND(A129&lt;&gt;"",COUNTIFS('Trial Rows'!$B$2:$B$201,'Trial Rows'!B129,'Trial Rows'!$C$2:$C$201,'Trial Rows'!C129,'Trial Rows'!$F$2:$F$201,'Trial Rows'!F129,'Trial Rows'!$Y$2:$Y$201,'Trial Rows'!Y129,'Trial Rows'!$G$2:$G$201,"B",Calculations!$R$2:$R$201,"&gt;=0",Calculations!$R$2:$R$201,"&lt;&gt;")=1),SUMIFS(Calculations!$R$2:$R$201,'Trial Rows'!$B$2:$B$201,'Trial Rows'!B129,'Trial Rows'!$C$2:$C$201,'Trial Rows'!C129,'Trial Rows'!$F$2:$F$201,'Trial Rows'!F129,'Trial Rows'!$Y$2:$Y$201,'Trial Rows'!Y129,'Trial Rows'!$G$2:$G$201,"B"),"")</x:f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 t="str">
        <x:f>IF(AND(Calculations!B130=1,'Trial Rows'!G130="B",'Trial Rows'!I130=1,Calculations!D130=1),'Trial Rows'!C130,"")</x:f>
      </x:c>
      <x:c r="B130" s="2" t="str">
        <x:f>IF(A130="","",'Trial Rows'!B130)</x:f>
      </x:c>
      <x:c r="C130" s="2" t="str">
        <x:f>IF(A130="","",'Trial Rows'!F130)</x:f>
      </x:c>
      <x:c r="D130" s="2" t="str">
        <x:f>IF(A130="","",'Trial Rows'!H130)</x:f>
      </x:c>
      <x:c r="E130" s="2" t="str">
        <x:f>IF(A130="","",SUMIFS(Calculations!$F$2:$F$201,'Trial Rows'!$B$2:$B$201,'Trial Rows'!B130,'Trial Rows'!$C$2:$C$201,'Trial Rows'!C130,'Trial Rows'!$F$2:$F$201,'Trial Rows'!F130,'Trial Rows'!$Y$2:$Y$201,'Trial Rows'!Y130))</x:f>
      </x:c>
      <x:c r="F130" s="2" t="str">
        <x:f>IF(A130="","",SUMIFS(Calculations!$G$2:$G$201,'Trial Rows'!$B$2:$B$201,'Trial Rows'!B130,'Trial Rows'!$C$2:$C$201,'Trial Rows'!C130,'Trial Rows'!$F$2:$F$201,'Trial Rows'!F130,'Trial Rows'!$Y$2:$Y$201,'Trial Rows'!Y130))</x:f>
      </x:c>
      <x:c r="G130" s="7" t="str">
        <x:f>IF(OR(A130="",E130=0),"",F130/E130)</x:f>
      </x:c>
      <x:c r="H130" s="7" t="str">
        <x:f>IF(OR(A130="",SUMIFS(Calculations!$H$2:$H$201,'Trial Rows'!$B$2:$B$201,'Trial Rows'!B130,'Trial Rows'!$C$2:$C$201,'Trial Rows'!C130,'Trial Rows'!$F$2:$F$201,'Trial Rows'!F130,'Trial Rows'!$Y$2:$Y$201,'Trial Rows'!Y130)=0),"",SUMIFS(Calculations!$I$2:$I$201,'Trial Rows'!$B$2:$B$201,'Trial Rows'!B130,'Trial Rows'!$C$2:$C$201,'Trial Rows'!C130,'Trial Rows'!$F$2:$F$201,'Trial Rows'!F130,'Trial Rows'!$Y$2:$Y$201,'Trial Rows'!Y130)/SUMIFS(Calculations!$H$2:$H$201,'Trial Rows'!$B$2:$B$201,'Trial Rows'!B130,'Trial Rows'!$C$2:$C$201,'Trial Rows'!C130,'Trial Rows'!$F$2:$F$201,'Trial Rows'!F130,'Trial Rows'!$Y$2:$Y$201,'Trial Rows'!Y130))</x:f>
      </x:c>
      <x:c r="I130" s="2" t="str">
        <x:f>IF(AND(A130&lt;&gt;"",COUNTIFS('Trial Rows'!$B$2:$B$201,'Trial Rows'!B130,'Trial Rows'!$C$2:$C$201,'Trial Rows'!C130,'Trial Rows'!$F$2:$F$201,'Trial Rows'!F130,'Trial Rows'!$Y$2:$Y$201,'Trial Rows'!Y130,'Trial Rows'!$G$2:$G$201,"A",Calculations!$R$2:$R$201,"&gt;=0",Calculations!$R$2:$R$201,"&lt;&gt;")=1),SUMIFS(Calculations!$R$2:$R$201,'Trial Rows'!$B$2:$B$201,'Trial Rows'!B130,'Trial Rows'!$C$2:$C$201,'Trial Rows'!C130,'Trial Rows'!$F$2:$F$201,'Trial Rows'!F130,'Trial Rows'!$Y$2:$Y$201,'Trial Rows'!Y130,'Trial Rows'!$G$2:$G$201,"A"),"")</x:f>
      </x:c>
      <x:c r="J130" s="2" t="str">
        <x:f>IF(AND(A130&lt;&gt;"",COUNTIFS('Trial Rows'!$B$2:$B$201,'Trial Rows'!B130,'Trial Rows'!$C$2:$C$201,'Trial Rows'!C130,'Trial Rows'!$F$2:$F$201,'Trial Rows'!F130,'Trial Rows'!$Y$2:$Y$201,'Trial Rows'!Y130,'Trial Rows'!$G$2:$G$201,"B",Calculations!$R$2:$R$201,"&gt;=0",Calculations!$R$2:$R$201,"&lt;&gt;")=1),SUMIFS(Calculations!$R$2:$R$201,'Trial Rows'!$B$2:$B$201,'Trial Rows'!B130,'Trial Rows'!$C$2:$C$201,'Trial Rows'!C130,'Trial Rows'!$F$2:$F$201,'Trial Rows'!F130,'Trial Rows'!$Y$2:$Y$201,'Trial Rows'!Y130,'Trial Rows'!$G$2:$G$201,"B"),"")</x:f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 t="str">
        <x:f>IF(AND(Calculations!B131=1,'Trial Rows'!G131="B",'Trial Rows'!I131=1,Calculations!D131=1),'Trial Rows'!C131,"")</x:f>
      </x:c>
      <x:c r="B131" s="2" t="str">
        <x:f>IF(A131="","",'Trial Rows'!B131)</x:f>
      </x:c>
      <x:c r="C131" s="2" t="str">
        <x:f>IF(A131="","",'Trial Rows'!F131)</x:f>
      </x:c>
      <x:c r="D131" s="2" t="str">
        <x:f>IF(A131="","",'Trial Rows'!H131)</x:f>
      </x:c>
      <x:c r="E131" s="2" t="str">
        <x:f>IF(A131="","",SUMIFS(Calculations!$F$2:$F$201,'Trial Rows'!$B$2:$B$201,'Trial Rows'!B131,'Trial Rows'!$C$2:$C$201,'Trial Rows'!C131,'Trial Rows'!$F$2:$F$201,'Trial Rows'!F131,'Trial Rows'!$Y$2:$Y$201,'Trial Rows'!Y131))</x:f>
      </x:c>
      <x:c r="F131" s="2" t="str">
        <x:f>IF(A131="","",SUMIFS(Calculations!$G$2:$G$201,'Trial Rows'!$B$2:$B$201,'Trial Rows'!B131,'Trial Rows'!$C$2:$C$201,'Trial Rows'!C131,'Trial Rows'!$F$2:$F$201,'Trial Rows'!F131,'Trial Rows'!$Y$2:$Y$201,'Trial Rows'!Y131))</x:f>
      </x:c>
      <x:c r="G131" s="7" t="str">
        <x:f>IF(OR(A131="",E131=0),"",F131/E131)</x:f>
      </x:c>
      <x:c r="H131" s="7" t="str">
        <x:f>IF(OR(A131="",SUMIFS(Calculations!$H$2:$H$201,'Trial Rows'!$B$2:$B$201,'Trial Rows'!B131,'Trial Rows'!$C$2:$C$201,'Trial Rows'!C131,'Trial Rows'!$F$2:$F$201,'Trial Rows'!F131,'Trial Rows'!$Y$2:$Y$201,'Trial Rows'!Y131)=0),"",SUMIFS(Calculations!$I$2:$I$201,'Trial Rows'!$B$2:$B$201,'Trial Rows'!B131,'Trial Rows'!$C$2:$C$201,'Trial Rows'!C131,'Trial Rows'!$F$2:$F$201,'Trial Rows'!F131,'Trial Rows'!$Y$2:$Y$201,'Trial Rows'!Y131)/SUMIFS(Calculations!$H$2:$H$201,'Trial Rows'!$B$2:$B$201,'Trial Rows'!B131,'Trial Rows'!$C$2:$C$201,'Trial Rows'!C131,'Trial Rows'!$F$2:$F$201,'Trial Rows'!F131,'Trial Rows'!$Y$2:$Y$201,'Trial Rows'!Y131))</x:f>
      </x:c>
      <x:c r="I131" s="2" t="str">
        <x:f>IF(AND(A131&lt;&gt;"",COUNTIFS('Trial Rows'!$B$2:$B$201,'Trial Rows'!B131,'Trial Rows'!$C$2:$C$201,'Trial Rows'!C131,'Trial Rows'!$F$2:$F$201,'Trial Rows'!F131,'Trial Rows'!$Y$2:$Y$201,'Trial Rows'!Y131,'Trial Rows'!$G$2:$G$201,"A",Calculations!$R$2:$R$201,"&gt;=0",Calculations!$R$2:$R$201,"&lt;&gt;")=1),SUMIFS(Calculations!$R$2:$R$201,'Trial Rows'!$B$2:$B$201,'Trial Rows'!B131,'Trial Rows'!$C$2:$C$201,'Trial Rows'!C131,'Trial Rows'!$F$2:$F$201,'Trial Rows'!F131,'Trial Rows'!$Y$2:$Y$201,'Trial Rows'!Y131,'Trial Rows'!$G$2:$G$201,"A"),"")</x:f>
      </x:c>
      <x:c r="J131" s="2" t="str">
        <x:f>IF(AND(A131&lt;&gt;"",COUNTIFS('Trial Rows'!$B$2:$B$201,'Trial Rows'!B131,'Trial Rows'!$C$2:$C$201,'Trial Rows'!C131,'Trial Rows'!$F$2:$F$201,'Trial Rows'!F131,'Trial Rows'!$Y$2:$Y$201,'Trial Rows'!Y131,'Trial Rows'!$G$2:$G$201,"B",Calculations!$R$2:$R$201,"&gt;=0",Calculations!$R$2:$R$201,"&lt;&gt;")=1),SUMIFS(Calculations!$R$2:$R$201,'Trial Rows'!$B$2:$B$201,'Trial Rows'!B131,'Trial Rows'!$C$2:$C$201,'Trial Rows'!C131,'Trial Rows'!$F$2:$F$201,'Trial Rows'!F131,'Trial Rows'!$Y$2:$Y$201,'Trial Rows'!Y131,'Trial Rows'!$G$2:$G$201,"B"),"")</x:f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 t="str">
        <x:f>IF(AND(Calculations!B132=1,'Trial Rows'!G132="B",'Trial Rows'!I132=1,Calculations!D132=1),'Trial Rows'!C132,"")</x:f>
      </x:c>
      <x:c r="B132" s="2" t="str">
        <x:f>IF(A132="","",'Trial Rows'!B132)</x:f>
      </x:c>
      <x:c r="C132" s="2" t="str">
        <x:f>IF(A132="","",'Trial Rows'!F132)</x:f>
      </x:c>
      <x:c r="D132" s="2" t="str">
        <x:f>IF(A132="","",'Trial Rows'!H132)</x:f>
      </x:c>
      <x:c r="E132" s="2" t="str">
        <x:f>IF(A132="","",SUMIFS(Calculations!$F$2:$F$201,'Trial Rows'!$B$2:$B$201,'Trial Rows'!B132,'Trial Rows'!$C$2:$C$201,'Trial Rows'!C132,'Trial Rows'!$F$2:$F$201,'Trial Rows'!F132,'Trial Rows'!$Y$2:$Y$201,'Trial Rows'!Y132))</x:f>
      </x:c>
      <x:c r="F132" s="2" t="str">
        <x:f>IF(A132="","",SUMIFS(Calculations!$G$2:$G$201,'Trial Rows'!$B$2:$B$201,'Trial Rows'!B132,'Trial Rows'!$C$2:$C$201,'Trial Rows'!C132,'Trial Rows'!$F$2:$F$201,'Trial Rows'!F132,'Trial Rows'!$Y$2:$Y$201,'Trial Rows'!Y132))</x:f>
      </x:c>
      <x:c r="G132" s="7" t="str">
        <x:f>IF(OR(A132="",E132=0),"",F132/E132)</x:f>
      </x:c>
      <x:c r="H132" s="7" t="str">
        <x:f>IF(OR(A132="",SUMIFS(Calculations!$H$2:$H$201,'Trial Rows'!$B$2:$B$201,'Trial Rows'!B132,'Trial Rows'!$C$2:$C$201,'Trial Rows'!C132,'Trial Rows'!$F$2:$F$201,'Trial Rows'!F132,'Trial Rows'!$Y$2:$Y$201,'Trial Rows'!Y132)=0),"",SUMIFS(Calculations!$I$2:$I$201,'Trial Rows'!$B$2:$B$201,'Trial Rows'!B132,'Trial Rows'!$C$2:$C$201,'Trial Rows'!C132,'Trial Rows'!$F$2:$F$201,'Trial Rows'!F132,'Trial Rows'!$Y$2:$Y$201,'Trial Rows'!Y132)/SUMIFS(Calculations!$H$2:$H$201,'Trial Rows'!$B$2:$B$201,'Trial Rows'!B132,'Trial Rows'!$C$2:$C$201,'Trial Rows'!C132,'Trial Rows'!$F$2:$F$201,'Trial Rows'!F132,'Trial Rows'!$Y$2:$Y$201,'Trial Rows'!Y132))</x:f>
      </x:c>
      <x:c r="I132" s="2" t="str">
        <x:f>IF(AND(A132&lt;&gt;"",COUNTIFS('Trial Rows'!$B$2:$B$201,'Trial Rows'!B132,'Trial Rows'!$C$2:$C$201,'Trial Rows'!C132,'Trial Rows'!$F$2:$F$201,'Trial Rows'!F132,'Trial Rows'!$Y$2:$Y$201,'Trial Rows'!Y132,'Trial Rows'!$G$2:$G$201,"A",Calculations!$R$2:$R$201,"&gt;=0",Calculations!$R$2:$R$201,"&lt;&gt;")=1),SUMIFS(Calculations!$R$2:$R$201,'Trial Rows'!$B$2:$B$201,'Trial Rows'!B132,'Trial Rows'!$C$2:$C$201,'Trial Rows'!C132,'Trial Rows'!$F$2:$F$201,'Trial Rows'!F132,'Trial Rows'!$Y$2:$Y$201,'Trial Rows'!Y132,'Trial Rows'!$G$2:$G$201,"A"),"")</x:f>
      </x:c>
      <x:c r="J132" s="2" t="str">
        <x:f>IF(AND(A132&lt;&gt;"",COUNTIFS('Trial Rows'!$B$2:$B$201,'Trial Rows'!B132,'Trial Rows'!$C$2:$C$201,'Trial Rows'!C132,'Trial Rows'!$F$2:$F$201,'Trial Rows'!F132,'Trial Rows'!$Y$2:$Y$201,'Trial Rows'!Y132,'Trial Rows'!$G$2:$G$201,"B",Calculations!$R$2:$R$201,"&gt;=0",Calculations!$R$2:$R$201,"&lt;&gt;")=1),SUMIFS(Calculations!$R$2:$R$201,'Trial Rows'!$B$2:$B$201,'Trial Rows'!B132,'Trial Rows'!$C$2:$C$201,'Trial Rows'!C132,'Trial Rows'!$F$2:$F$201,'Trial Rows'!F132,'Trial Rows'!$Y$2:$Y$201,'Trial Rows'!Y132,'Trial Rows'!$G$2:$G$201,"B"),"")</x:f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 t="str">
        <x:f>IF(AND(Calculations!B133=1,'Trial Rows'!G133="B",'Trial Rows'!I133=1,Calculations!D133=1),'Trial Rows'!C133,"")</x:f>
      </x:c>
      <x:c r="B133" s="2" t="str">
        <x:f>IF(A133="","",'Trial Rows'!B133)</x:f>
      </x:c>
      <x:c r="C133" s="2" t="str">
        <x:f>IF(A133="","",'Trial Rows'!F133)</x:f>
      </x:c>
      <x:c r="D133" s="2" t="str">
        <x:f>IF(A133="","",'Trial Rows'!H133)</x:f>
      </x:c>
      <x:c r="E133" s="2" t="str">
        <x:f>IF(A133="","",SUMIFS(Calculations!$F$2:$F$201,'Trial Rows'!$B$2:$B$201,'Trial Rows'!B133,'Trial Rows'!$C$2:$C$201,'Trial Rows'!C133,'Trial Rows'!$F$2:$F$201,'Trial Rows'!F133,'Trial Rows'!$Y$2:$Y$201,'Trial Rows'!Y133))</x:f>
      </x:c>
      <x:c r="F133" s="2" t="str">
        <x:f>IF(A133="","",SUMIFS(Calculations!$G$2:$G$201,'Trial Rows'!$B$2:$B$201,'Trial Rows'!B133,'Trial Rows'!$C$2:$C$201,'Trial Rows'!C133,'Trial Rows'!$F$2:$F$201,'Trial Rows'!F133,'Trial Rows'!$Y$2:$Y$201,'Trial Rows'!Y133))</x:f>
      </x:c>
      <x:c r="G133" s="7" t="str">
        <x:f>IF(OR(A133="",E133=0),"",F133/E133)</x:f>
      </x:c>
      <x:c r="H133" s="7" t="str">
        <x:f>IF(OR(A133="",SUMIFS(Calculations!$H$2:$H$201,'Trial Rows'!$B$2:$B$201,'Trial Rows'!B133,'Trial Rows'!$C$2:$C$201,'Trial Rows'!C133,'Trial Rows'!$F$2:$F$201,'Trial Rows'!F133,'Trial Rows'!$Y$2:$Y$201,'Trial Rows'!Y133)=0),"",SUMIFS(Calculations!$I$2:$I$201,'Trial Rows'!$B$2:$B$201,'Trial Rows'!B133,'Trial Rows'!$C$2:$C$201,'Trial Rows'!C133,'Trial Rows'!$F$2:$F$201,'Trial Rows'!F133,'Trial Rows'!$Y$2:$Y$201,'Trial Rows'!Y133)/SUMIFS(Calculations!$H$2:$H$201,'Trial Rows'!$B$2:$B$201,'Trial Rows'!B133,'Trial Rows'!$C$2:$C$201,'Trial Rows'!C133,'Trial Rows'!$F$2:$F$201,'Trial Rows'!F133,'Trial Rows'!$Y$2:$Y$201,'Trial Rows'!Y133))</x:f>
      </x:c>
      <x:c r="I133" s="2" t="str">
        <x:f>IF(AND(A133&lt;&gt;"",COUNTIFS('Trial Rows'!$B$2:$B$201,'Trial Rows'!B133,'Trial Rows'!$C$2:$C$201,'Trial Rows'!C133,'Trial Rows'!$F$2:$F$201,'Trial Rows'!F133,'Trial Rows'!$Y$2:$Y$201,'Trial Rows'!Y133,'Trial Rows'!$G$2:$G$201,"A",Calculations!$R$2:$R$201,"&gt;=0",Calculations!$R$2:$R$201,"&lt;&gt;")=1),SUMIFS(Calculations!$R$2:$R$201,'Trial Rows'!$B$2:$B$201,'Trial Rows'!B133,'Trial Rows'!$C$2:$C$201,'Trial Rows'!C133,'Trial Rows'!$F$2:$F$201,'Trial Rows'!F133,'Trial Rows'!$Y$2:$Y$201,'Trial Rows'!Y133,'Trial Rows'!$G$2:$G$201,"A"),"")</x:f>
      </x:c>
      <x:c r="J133" s="2" t="str">
        <x:f>IF(AND(A133&lt;&gt;"",COUNTIFS('Trial Rows'!$B$2:$B$201,'Trial Rows'!B133,'Trial Rows'!$C$2:$C$201,'Trial Rows'!C133,'Trial Rows'!$F$2:$F$201,'Trial Rows'!F133,'Trial Rows'!$Y$2:$Y$201,'Trial Rows'!Y133,'Trial Rows'!$G$2:$G$201,"B",Calculations!$R$2:$R$201,"&gt;=0",Calculations!$R$2:$R$201,"&lt;&gt;")=1),SUMIFS(Calculations!$R$2:$R$201,'Trial Rows'!$B$2:$B$201,'Trial Rows'!B133,'Trial Rows'!$C$2:$C$201,'Trial Rows'!C133,'Trial Rows'!$F$2:$F$201,'Trial Rows'!F133,'Trial Rows'!$Y$2:$Y$201,'Trial Rows'!Y133,'Trial Rows'!$G$2:$G$201,"B"),"")</x:f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 t="str">
        <x:f>IF(AND(Calculations!B134=1,'Trial Rows'!G134="B",'Trial Rows'!I134=1,Calculations!D134=1),'Trial Rows'!C134,"")</x:f>
      </x:c>
      <x:c r="B134" s="2" t="str">
        <x:f>IF(A134="","",'Trial Rows'!B134)</x:f>
      </x:c>
      <x:c r="C134" s="2" t="str">
        <x:f>IF(A134="","",'Trial Rows'!F134)</x:f>
      </x:c>
      <x:c r="D134" s="2" t="str">
        <x:f>IF(A134="","",'Trial Rows'!H134)</x:f>
      </x:c>
      <x:c r="E134" s="2" t="str">
        <x:f>IF(A134="","",SUMIFS(Calculations!$F$2:$F$201,'Trial Rows'!$B$2:$B$201,'Trial Rows'!B134,'Trial Rows'!$C$2:$C$201,'Trial Rows'!C134,'Trial Rows'!$F$2:$F$201,'Trial Rows'!F134,'Trial Rows'!$Y$2:$Y$201,'Trial Rows'!Y134))</x:f>
      </x:c>
      <x:c r="F134" s="2" t="str">
        <x:f>IF(A134="","",SUMIFS(Calculations!$G$2:$G$201,'Trial Rows'!$B$2:$B$201,'Trial Rows'!B134,'Trial Rows'!$C$2:$C$201,'Trial Rows'!C134,'Trial Rows'!$F$2:$F$201,'Trial Rows'!F134,'Trial Rows'!$Y$2:$Y$201,'Trial Rows'!Y134))</x:f>
      </x:c>
      <x:c r="G134" s="7" t="str">
        <x:f>IF(OR(A134="",E134=0),"",F134/E134)</x:f>
      </x:c>
      <x:c r="H134" s="7" t="str">
        <x:f>IF(OR(A134="",SUMIFS(Calculations!$H$2:$H$201,'Trial Rows'!$B$2:$B$201,'Trial Rows'!B134,'Trial Rows'!$C$2:$C$201,'Trial Rows'!C134,'Trial Rows'!$F$2:$F$201,'Trial Rows'!F134,'Trial Rows'!$Y$2:$Y$201,'Trial Rows'!Y134)=0),"",SUMIFS(Calculations!$I$2:$I$201,'Trial Rows'!$B$2:$B$201,'Trial Rows'!B134,'Trial Rows'!$C$2:$C$201,'Trial Rows'!C134,'Trial Rows'!$F$2:$F$201,'Trial Rows'!F134,'Trial Rows'!$Y$2:$Y$201,'Trial Rows'!Y134)/SUMIFS(Calculations!$H$2:$H$201,'Trial Rows'!$B$2:$B$201,'Trial Rows'!B134,'Trial Rows'!$C$2:$C$201,'Trial Rows'!C134,'Trial Rows'!$F$2:$F$201,'Trial Rows'!F134,'Trial Rows'!$Y$2:$Y$201,'Trial Rows'!Y134))</x:f>
      </x:c>
      <x:c r="I134" s="2" t="str">
        <x:f>IF(AND(A134&lt;&gt;"",COUNTIFS('Trial Rows'!$B$2:$B$201,'Trial Rows'!B134,'Trial Rows'!$C$2:$C$201,'Trial Rows'!C134,'Trial Rows'!$F$2:$F$201,'Trial Rows'!F134,'Trial Rows'!$Y$2:$Y$201,'Trial Rows'!Y134,'Trial Rows'!$G$2:$G$201,"A",Calculations!$R$2:$R$201,"&gt;=0",Calculations!$R$2:$R$201,"&lt;&gt;")=1),SUMIFS(Calculations!$R$2:$R$201,'Trial Rows'!$B$2:$B$201,'Trial Rows'!B134,'Trial Rows'!$C$2:$C$201,'Trial Rows'!C134,'Trial Rows'!$F$2:$F$201,'Trial Rows'!F134,'Trial Rows'!$Y$2:$Y$201,'Trial Rows'!Y134,'Trial Rows'!$G$2:$G$201,"A"),"")</x:f>
      </x:c>
      <x:c r="J134" s="2" t="str">
        <x:f>IF(AND(A134&lt;&gt;"",COUNTIFS('Trial Rows'!$B$2:$B$201,'Trial Rows'!B134,'Trial Rows'!$C$2:$C$201,'Trial Rows'!C134,'Trial Rows'!$F$2:$F$201,'Trial Rows'!F134,'Trial Rows'!$Y$2:$Y$201,'Trial Rows'!Y134,'Trial Rows'!$G$2:$G$201,"B",Calculations!$R$2:$R$201,"&gt;=0",Calculations!$R$2:$R$201,"&lt;&gt;")=1),SUMIFS(Calculations!$R$2:$R$201,'Trial Rows'!$B$2:$B$201,'Trial Rows'!B134,'Trial Rows'!$C$2:$C$201,'Trial Rows'!C134,'Trial Rows'!$F$2:$F$201,'Trial Rows'!F134,'Trial Rows'!$Y$2:$Y$201,'Trial Rows'!Y134,'Trial Rows'!$G$2:$G$201,"B"),"")</x:f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 t="str">
        <x:f>IF(AND(Calculations!B135=1,'Trial Rows'!G135="B",'Trial Rows'!I135=1,Calculations!D135=1),'Trial Rows'!C135,"")</x:f>
      </x:c>
      <x:c r="B135" s="2" t="str">
        <x:f>IF(A135="","",'Trial Rows'!B135)</x:f>
      </x:c>
      <x:c r="C135" s="2" t="str">
        <x:f>IF(A135="","",'Trial Rows'!F135)</x:f>
      </x:c>
      <x:c r="D135" s="2" t="str">
        <x:f>IF(A135="","",'Trial Rows'!H135)</x:f>
      </x:c>
      <x:c r="E135" s="2" t="str">
        <x:f>IF(A135="","",SUMIFS(Calculations!$F$2:$F$201,'Trial Rows'!$B$2:$B$201,'Trial Rows'!B135,'Trial Rows'!$C$2:$C$201,'Trial Rows'!C135,'Trial Rows'!$F$2:$F$201,'Trial Rows'!F135,'Trial Rows'!$Y$2:$Y$201,'Trial Rows'!Y135))</x:f>
      </x:c>
      <x:c r="F135" s="2" t="str">
        <x:f>IF(A135="","",SUMIFS(Calculations!$G$2:$G$201,'Trial Rows'!$B$2:$B$201,'Trial Rows'!B135,'Trial Rows'!$C$2:$C$201,'Trial Rows'!C135,'Trial Rows'!$F$2:$F$201,'Trial Rows'!F135,'Trial Rows'!$Y$2:$Y$201,'Trial Rows'!Y135))</x:f>
      </x:c>
      <x:c r="G135" s="7" t="str">
        <x:f>IF(OR(A135="",E135=0),"",F135/E135)</x:f>
      </x:c>
      <x:c r="H135" s="7" t="str">
        <x:f>IF(OR(A135="",SUMIFS(Calculations!$H$2:$H$201,'Trial Rows'!$B$2:$B$201,'Trial Rows'!B135,'Trial Rows'!$C$2:$C$201,'Trial Rows'!C135,'Trial Rows'!$F$2:$F$201,'Trial Rows'!F135,'Trial Rows'!$Y$2:$Y$201,'Trial Rows'!Y135)=0),"",SUMIFS(Calculations!$I$2:$I$201,'Trial Rows'!$B$2:$B$201,'Trial Rows'!B135,'Trial Rows'!$C$2:$C$201,'Trial Rows'!C135,'Trial Rows'!$F$2:$F$201,'Trial Rows'!F135,'Trial Rows'!$Y$2:$Y$201,'Trial Rows'!Y135)/SUMIFS(Calculations!$H$2:$H$201,'Trial Rows'!$B$2:$B$201,'Trial Rows'!B135,'Trial Rows'!$C$2:$C$201,'Trial Rows'!C135,'Trial Rows'!$F$2:$F$201,'Trial Rows'!F135,'Trial Rows'!$Y$2:$Y$201,'Trial Rows'!Y135))</x:f>
      </x:c>
      <x:c r="I135" s="2" t="str">
        <x:f>IF(AND(A135&lt;&gt;"",COUNTIFS('Trial Rows'!$B$2:$B$201,'Trial Rows'!B135,'Trial Rows'!$C$2:$C$201,'Trial Rows'!C135,'Trial Rows'!$F$2:$F$201,'Trial Rows'!F135,'Trial Rows'!$Y$2:$Y$201,'Trial Rows'!Y135,'Trial Rows'!$G$2:$G$201,"A",Calculations!$R$2:$R$201,"&gt;=0",Calculations!$R$2:$R$201,"&lt;&gt;")=1),SUMIFS(Calculations!$R$2:$R$201,'Trial Rows'!$B$2:$B$201,'Trial Rows'!B135,'Trial Rows'!$C$2:$C$201,'Trial Rows'!C135,'Trial Rows'!$F$2:$F$201,'Trial Rows'!F135,'Trial Rows'!$Y$2:$Y$201,'Trial Rows'!Y135,'Trial Rows'!$G$2:$G$201,"A"),"")</x:f>
      </x:c>
      <x:c r="J135" s="2" t="str">
        <x:f>IF(AND(A135&lt;&gt;"",COUNTIFS('Trial Rows'!$B$2:$B$201,'Trial Rows'!B135,'Trial Rows'!$C$2:$C$201,'Trial Rows'!C135,'Trial Rows'!$F$2:$F$201,'Trial Rows'!F135,'Trial Rows'!$Y$2:$Y$201,'Trial Rows'!Y135,'Trial Rows'!$G$2:$G$201,"B",Calculations!$R$2:$R$201,"&gt;=0",Calculations!$R$2:$R$201,"&lt;&gt;")=1),SUMIFS(Calculations!$R$2:$R$201,'Trial Rows'!$B$2:$B$201,'Trial Rows'!B135,'Trial Rows'!$C$2:$C$201,'Trial Rows'!C135,'Trial Rows'!$F$2:$F$201,'Trial Rows'!F135,'Trial Rows'!$Y$2:$Y$201,'Trial Rows'!Y135,'Trial Rows'!$G$2:$G$201,"B"),"")</x:f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 t="str">
        <x:f>IF(AND(Calculations!B136=1,'Trial Rows'!G136="B",'Trial Rows'!I136=1,Calculations!D136=1),'Trial Rows'!C136,"")</x:f>
      </x:c>
      <x:c r="B136" s="2" t="str">
        <x:f>IF(A136="","",'Trial Rows'!B136)</x:f>
      </x:c>
      <x:c r="C136" s="2" t="str">
        <x:f>IF(A136="","",'Trial Rows'!F136)</x:f>
      </x:c>
      <x:c r="D136" s="2" t="str">
        <x:f>IF(A136="","",'Trial Rows'!H136)</x:f>
      </x:c>
      <x:c r="E136" s="2" t="str">
        <x:f>IF(A136="","",SUMIFS(Calculations!$F$2:$F$201,'Trial Rows'!$B$2:$B$201,'Trial Rows'!B136,'Trial Rows'!$C$2:$C$201,'Trial Rows'!C136,'Trial Rows'!$F$2:$F$201,'Trial Rows'!F136,'Trial Rows'!$Y$2:$Y$201,'Trial Rows'!Y136))</x:f>
      </x:c>
      <x:c r="F136" s="2" t="str">
        <x:f>IF(A136="","",SUMIFS(Calculations!$G$2:$G$201,'Trial Rows'!$B$2:$B$201,'Trial Rows'!B136,'Trial Rows'!$C$2:$C$201,'Trial Rows'!C136,'Trial Rows'!$F$2:$F$201,'Trial Rows'!F136,'Trial Rows'!$Y$2:$Y$201,'Trial Rows'!Y136))</x:f>
      </x:c>
      <x:c r="G136" s="7" t="str">
        <x:f>IF(OR(A136="",E136=0),"",F136/E136)</x:f>
      </x:c>
      <x:c r="H136" s="7" t="str">
        <x:f>IF(OR(A136="",SUMIFS(Calculations!$H$2:$H$201,'Trial Rows'!$B$2:$B$201,'Trial Rows'!B136,'Trial Rows'!$C$2:$C$201,'Trial Rows'!C136,'Trial Rows'!$F$2:$F$201,'Trial Rows'!F136,'Trial Rows'!$Y$2:$Y$201,'Trial Rows'!Y136)=0),"",SUMIFS(Calculations!$I$2:$I$201,'Trial Rows'!$B$2:$B$201,'Trial Rows'!B136,'Trial Rows'!$C$2:$C$201,'Trial Rows'!C136,'Trial Rows'!$F$2:$F$201,'Trial Rows'!F136,'Trial Rows'!$Y$2:$Y$201,'Trial Rows'!Y136)/SUMIFS(Calculations!$H$2:$H$201,'Trial Rows'!$B$2:$B$201,'Trial Rows'!B136,'Trial Rows'!$C$2:$C$201,'Trial Rows'!C136,'Trial Rows'!$F$2:$F$201,'Trial Rows'!F136,'Trial Rows'!$Y$2:$Y$201,'Trial Rows'!Y136))</x:f>
      </x:c>
      <x:c r="I136" s="2" t="str">
        <x:f>IF(AND(A136&lt;&gt;"",COUNTIFS('Trial Rows'!$B$2:$B$201,'Trial Rows'!B136,'Trial Rows'!$C$2:$C$201,'Trial Rows'!C136,'Trial Rows'!$F$2:$F$201,'Trial Rows'!F136,'Trial Rows'!$Y$2:$Y$201,'Trial Rows'!Y136,'Trial Rows'!$G$2:$G$201,"A",Calculations!$R$2:$R$201,"&gt;=0",Calculations!$R$2:$R$201,"&lt;&gt;")=1),SUMIFS(Calculations!$R$2:$R$201,'Trial Rows'!$B$2:$B$201,'Trial Rows'!B136,'Trial Rows'!$C$2:$C$201,'Trial Rows'!C136,'Trial Rows'!$F$2:$F$201,'Trial Rows'!F136,'Trial Rows'!$Y$2:$Y$201,'Trial Rows'!Y136,'Trial Rows'!$G$2:$G$201,"A"),"")</x:f>
      </x:c>
      <x:c r="J136" s="2" t="str">
        <x:f>IF(AND(A136&lt;&gt;"",COUNTIFS('Trial Rows'!$B$2:$B$201,'Trial Rows'!B136,'Trial Rows'!$C$2:$C$201,'Trial Rows'!C136,'Trial Rows'!$F$2:$F$201,'Trial Rows'!F136,'Trial Rows'!$Y$2:$Y$201,'Trial Rows'!Y136,'Trial Rows'!$G$2:$G$201,"B",Calculations!$R$2:$R$201,"&gt;=0",Calculations!$R$2:$R$201,"&lt;&gt;")=1),SUMIFS(Calculations!$R$2:$R$201,'Trial Rows'!$B$2:$B$201,'Trial Rows'!B136,'Trial Rows'!$C$2:$C$201,'Trial Rows'!C136,'Trial Rows'!$F$2:$F$201,'Trial Rows'!F136,'Trial Rows'!$Y$2:$Y$201,'Trial Rows'!Y136,'Trial Rows'!$G$2:$G$201,"B"),"")</x:f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 t="str">
        <x:f>IF(AND(Calculations!B137=1,'Trial Rows'!G137="B",'Trial Rows'!I137=1,Calculations!D137=1),'Trial Rows'!C137,"")</x:f>
      </x:c>
      <x:c r="B137" s="2" t="str">
        <x:f>IF(A137="","",'Trial Rows'!B137)</x:f>
      </x:c>
      <x:c r="C137" s="2" t="str">
        <x:f>IF(A137="","",'Trial Rows'!F137)</x:f>
      </x:c>
      <x:c r="D137" s="2" t="str">
        <x:f>IF(A137="","",'Trial Rows'!H137)</x:f>
      </x:c>
      <x:c r="E137" s="2" t="str">
        <x:f>IF(A137="","",SUMIFS(Calculations!$F$2:$F$201,'Trial Rows'!$B$2:$B$201,'Trial Rows'!B137,'Trial Rows'!$C$2:$C$201,'Trial Rows'!C137,'Trial Rows'!$F$2:$F$201,'Trial Rows'!F137,'Trial Rows'!$Y$2:$Y$201,'Trial Rows'!Y137))</x:f>
      </x:c>
      <x:c r="F137" s="2" t="str">
        <x:f>IF(A137="","",SUMIFS(Calculations!$G$2:$G$201,'Trial Rows'!$B$2:$B$201,'Trial Rows'!B137,'Trial Rows'!$C$2:$C$201,'Trial Rows'!C137,'Trial Rows'!$F$2:$F$201,'Trial Rows'!F137,'Trial Rows'!$Y$2:$Y$201,'Trial Rows'!Y137))</x:f>
      </x:c>
      <x:c r="G137" s="7" t="str">
        <x:f>IF(OR(A137="",E137=0),"",F137/E137)</x:f>
      </x:c>
      <x:c r="H137" s="7" t="str">
        <x:f>IF(OR(A137="",SUMIFS(Calculations!$H$2:$H$201,'Trial Rows'!$B$2:$B$201,'Trial Rows'!B137,'Trial Rows'!$C$2:$C$201,'Trial Rows'!C137,'Trial Rows'!$F$2:$F$201,'Trial Rows'!F137,'Trial Rows'!$Y$2:$Y$201,'Trial Rows'!Y137)=0),"",SUMIFS(Calculations!$I$2:$I$201,'Trial Rows'!$B$2:$B$201,'Trial Rows'!B137,'Trial Rows'!$C$2:$C$201,'Trial Rows'!C137,'Trial Rows'!$F$2:$F$201,'Trial Rows'!F137,'Trial Rows'!$Y$2:$Y$201,'Trial Rows'!Y137)/SUMIFS(Calculations!$H$2:$H$201,'Trial Rows'!$B$2:$B$201,'Trial Rows'!B137,'Trial Rows'!$C$2:$C$201,'Trial Rows'!C137,'Trial Rows'!$F$2:$F$201,'Trial Rows'!F137,'Trial Rows'!$Y$2:$Y$201,'Trial Rows'!Y137))</x:f>
      </x:c>
      <x:c r="I137" s="2" t="str">
        <x:f>IF(AND(A137&lt;&gt;"",COUNTIFS('Trial Rows'!$B$2:$B$201,'Trial Rows'!B137,'Trial Rows'!$C$2:$C$201,'Trial Rows'!C137,'Trial Rows'!$F$2:$F$201,'Trial Rows'!F137,'Trial Rows'!$Y$2:$Y$201,'Trial Rows'!Y137,'Trial Rows'!$G$2:$G$201,"A",Calculations!$R$2:$R$201,"&gt;=0",Calculations!$R$2:$R$201,"&lt;&gt;")=1),SUMIFS(Calculations!$R$2:$R$201,'Trial Rows'!$B$2:$B$201,'Trial Rows'!B137,'Trial Rows'!$C$2:$C$201,'Trial Rows'!C137,'Trial Rows'!$F$2:$F$201,'Trial Rows'!F137,'Trial Rows'!$Y$2:$Y$201,'Trial Rows'!Y137,'Trial Rows'!$G$2:$G$201,"A"),"")</x:f>
      </x:c>
      <x:c r="J137" s="2" t="str">
        <x:f>IF(AND(A137&lt;&gt;"",COUNTIFS('Trial Rows'!$B$2:$B$201,'Trial Rows'!B137,'Trial Rows'!$C$2:$C$201,'Trial Rows'!C137,'Trial Rows'!$F$2:$F$201,'Trial Rows'!F137,'Trial Rows'!$Y$2:$Y$201,'Trial Rows'!Y137,'Trial Rows'!$G$2:$G$201,"B",Calculations!$R$2:$R$201,"&gt;=0",Calculations!$R$2:$R$201,"&lt;&gt;")=1),SUMIFS(Calculations!$R$2:$R$201,'Trial Rows'!$B$2:$B$201,'Trial Rows'!B137,'Trial Rows'!$C$2:$C$201,'Trial Rows'!C137,'Trial Rows'!$F$2:$F$201,'Trial Rows'!F137,'Trial Rows'!$Y$2:$Y$201,'Trial Rows'!Y137,'Trial Rows'!$G$2:$G$201,"B"),"")</x:f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 t="str">
        <x:f>IF(AND(Calculations!B138=1,'Trial Rows'!G138="B",'Trial Rows'!I138=1,Calculations!D138=1),'Trial Rows'!C138,"")</x:f>
      </x:c>
      <x:c r="B138" s="2" t="str">
        <x:f>IF(A138="","",'Trial Rows'!B138)</x:f>
      </x:c>
      <x:c r="C138" s="2" t="str">
        <x:f>IF(A138="","",'Trial Rows'!F138)</x:f>
      </x:c>
      <x:c r="D138" s="2" t="str">
        <x:f>IF(A138="","",'Trial Rows'!H138)</x:f>
      </x:c>
      <x:c r="E138" s="2" t="str">
        <x:f>IF(A138="","",SUMIFS(Calculations!$F$2:$F$201,'Trial Rows'!$B$2:$B$201,'Trial Rows'!B138,'Trial Rows'!$C$2:$C$201,'Trial Rows'!C138,'Trial Rows'!$F$2:$F$201,'Trial Rows'!F138,'Trial Rows'!$Y$2:$Y$201,'Trial Rows'!Y138))</x:f>
      </x:c>
      <x:c r="F138" s="2" t="str">
        <x:f>IF(A138="","",SUMIFS(Calculations!$G$2:$G$201,'Trial Rows'!$B$2:$B$201,'Trial Rows'!B138,'Trial Rows'!$C$2:$C$201,'Trial Rows'!C138,'Trial Rows'!$F$2:$F$201,'Trial Rows'!F138,'Trial Rows'!$Y$2:$Y$201,'Trial Rows'!Y138))</x:f>
      </x:c>
      <x:c r="G138" s="7" t="str">
        <x:f>IF(OR(A138="",E138=0),"",F138/E138)</x:f>
      </x:c>
      <x:c r="H138" s="7" t="str">
        <x:f>IF(OR(A138="",SUMIFS(Calculations!$H$2:$H$201,'Trial Rows'!$B$2:$B$201,'Trial Rows'!B138,'Trial Rows'!$C$2:$C$201,'Trial Rows'!C138,'Trial Rows'!$F$2:$F$201,'Trial Rows'!F138,'Trial Rows'!$Y$2:$Y$201,'Trial Rows'!Y138)=0),"",SUMIFS(Calculations!$I$2:$I$201,'Trial Rows'!$B$2:$B$201,'Trial Rows'!B138,'Trial Rows'!$C$2:$C$201,'Trial Rows'!C138,'Trial Rows'!$F$2:$F$201,'Trial Rows'!F138,'Trial Rows'!$Y$2:$Y$201,'Trial Rows'!Y138)/SUMIFS(Calculations!$H$2:$H$201,'Trial Rows'!$B$2:$B$201,'Trial Rows'!B138,'Trial Rows'!$C$2:$C$201,'Trial Rows'!C138,'Trial Rows'!$F$2:$F$201,'Trial Rows'!F138,'Trial Rows'!$Y$2:$Y$201,'Trial Rows'!Y138))</x:f>
      </x:c>
      <x:c r="I138" s="2" t="str">
        <x:f>IF(AND(A138&lt;&gt;"",COUNTIFS('Trial Rows'!$B$2:$B$201,'Trial Rows'!B138,'Trial Rows'!$C$2:$C$201,'Trial Rows'!C138,'Trial Rows'!$F$2:$F$201,'Trial Rows'!F138,'Trial Rows'!$Y$2:$Y$201,'Trial Rows'!Y138,'Trial Rows'!$G$2:$G$201,"A",Calculations!$R$2:$R$201,"&gt;=0",Calculations!$R$2:$R$201,"&lt;&gt;")=1),SUMIFS(Calculations!$R$2:$R$201,'Trial Rows'!$B$2:$B$201,'Trial Rows'!B138,'Trial Rows'!$C$2:$C$201,'Trial Rows'!C138,'Trial Rows'!$F$2:$F$201,'Trial Rows'!F138,'Trial Rows'!$Y$2:$Y$201,'Trial Rows'!Y138,'Trial Rows'!$G$2:$G$201,"A"),"")</x:f>
      </x:c>
      <x:c r="J138" s="2" t="str">
        <x:f>IF(AND(A138&lt;&gt;"",COUNTIFS('Trial Rows'!$B$2:$B$201,'Trial Rows'!B138,'Trial Rows'!$C$2:$C$201,'Trial Rows'!C138,'Trial Rows'!$F$2:$F$201,'Trial Rows'!F138,'Trial Rows'!$Y$2:$Y$201,'Trial Rows'!Y138,'Trial Rows'!$G$2:$G$201,"B",Calculations!$R$2:$R$201,"&gt;=0",Calculations!$R$2:$R$201,"&lt;&gt;")=1),SUMIFS(Calculations!$R$2:$R$201,'Trial Rows'!$B$2:$B$201,'Trial Rows'!B138,'Trial Rows'!$C$2:$C$201,'Trial Rows'!C138,'Trial Rows'!$F$2:$F$201,'Trial Rows'!F138,'Trial Rows'!$Y$2:$Y$201,'Trial Rows'!Y138,'Trial Rows'!$G$2:$G$201,"B"),"")</x:f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 t="str">
        <x:f>IF(AND(Calculations!B139=1,'Trial Rows'!G139="B",'Trial Rows'!I139=1,Calculations!D139=1),'Trial Rows'!C139,"")</x:f>
      </x:c>
      <x:c r="B139" s="2" t="str">
        <x:f>IF(A139="","",'Trial Rows'!B139)</x:f>
      </x:c>
      <x:c r="C139" s="2" t="str">
        <x:f>IF(A139="","",'Trial Rows'!F139)</x:f>
      </x:c>
      <x:c r="D139" s="2" t="str">
        <x:f>IF(A139="","",'Trial Rows'!H139)</x:f>
      </x:c>
      <x:c r="E139" s="2" t="str">
        <x:f>IF(A139="","",SUMIFS(Calculations!$F$2:$F$201,'Trial Rows'!$B$2:$B$201,'Trial Rows'!B139,'Trial Rows'!$C$2:$C$201,'Trial Rows'!C139,'Trial Rows'!$F$2:$F$201,'Trial Rows'!F139,'Trial Rows'!$Y$2:$Y$201,'Trial Rows'!Y139))</x:f>
      </x:c>
      <x:c r="F139" s="2" t="str">
        <x:f>IF(A139="","",SUMIFS(Calculations!$G$2:$G$201,'Trial Rows'!$B$2:$B$201,'Trial Rows'!B139,'Trial Rows'!$C$2:$C$201,'Trial Rows'!C139,'Trial Rows'!$F$2:$F$201,'Trial Rows'!F139,'Trial Rows'!$Y$2:$Y$201,'Trial Rows'!Y139))</x:f>
      </x:c>
      <x:c r="G139" s="7" t="str">
        <x:f>IF(OR(A139="",E139=0),"",F139/E139)</x:f>
      </x:c>
      <x:c r="H139" s="7" t="str">
        <x:f>IF(OR(A139="",SUMIFS(Calculations!$H$2:$H$201,'Trial Rows'!$B$2:$B$201,'Trial Rows'!B139,'Trial Rows'!$C$2:$C$201,'Trial Rows'!C139,'Trial Rows'!$F$2:$F$201,'Trial Rows'!F139,'Trial Rows'!$Y$2:$Y$201,'Trial Rows'!Y139)=0),"",SUMIFS(Calculations!$I$2:$I$201,'Trial Rows'!$B$2:$B$201,'Trial Rows'!B139,'Trial Rows'!$C$2:$C$201,'Trial Rows'!C139,'Trial Rows'!$F$2:$F$201,'Trial Rows'!F139,'Trial Rows'!$Y$2:$Y$201,'Trial Rows'!Y139)/SUMIFS(Calculations!$H$2:$H$201,'Trial Rows'!$B$2:$B$201,'Trial Rows'!B139,'Trial Rows'!$C$2:$C$201,'Trial Rows'!C139,'Trial Rows'!$F$2:$F$201,'Trial Rows'!F139,'Trial Rows'!$Y$2:$Y$201,'Trial Rows'!Y139))</x:f>
      </x:c>
      <x:c r="I139" s="2" t="str">
        <x:f>IF(AND(A139&lt;&gt;"",COUNTIFS('Trial Rows'!$B$2:$B$201,'Trial Rows'!B139,'Trial Rows'!$C$2:$C$201,'Trial Rows'!C139,'Trial Rows'!$F$2:$F$201,'Trial Rows'!F139,'Trial Rows'!$Y$2:$Y$201,'Trial Rows'!Y139,'Trial Rows'!$G$2:$G$201,"A",Calculations!$R$2:$R$201,"&gt;=0",Calculations!$R$2:$R$201,"&lt;&gt;")=1),SUMIFS(Calculations!$R$2:$R$201,'Trial Rows'!$B$2:$B$201,'Trial Rows'!B139,'Trial Rows'!$C$2:$C$201,'Trial Rows'!C139,'Trial Rows'!$F$2:$F$201,'Trial Rows'!F139,'Trial Rows'!$Y$2:$Y$201,'Trial Rows'!Y139,'Trial Rows'!$G$2:$G$201,"A"),"")</x:f>
      </x:c>
      <x:c r="J139" s="2" t="str">
        <x:f>IF(AND(A139&lt;&gt;"",COUNTIFS('Trial Rows'!$B$2:$B$201,'Trial Rows'!B139,'Trial Rows'!$C$2:$C$201,'Trial Rows'!C139,'Trial Rows'!$F$2:$F$201,'Trial Rows'!F139,'Trial Rows'!$Y$2:$Y$201,'Trial Rows'!Y139,'Trial Rows'!$G$2:$G$201,"B",Calculations!$R$2:$R$201,"&gt;=0",Calculations!$R$2:$R$201,"&lt;&gt;")=1),SUMIFS(Calculations!$R$2:$R$201,'Trial Rows'!$B$2:$B$201,'Trial Rows'!B139,'Trial Rows'!$C$2:$C$201,'Trial Rows'!C139,'Trial Rows'!$F$2:$F$201,'Trial Rows'!F139,'Trial Rows'!$Y$2:$Y$201,'Trial Rows'!Y139,'Trial Rows'!$G$2:$G$201,"B"),"")</x:f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 t="str">
        <x:f>IF(AND(Calculations!B140=1,'Trial Rows'!G140="B",'Trial Rows'!I140=1,Calculations!D140=1),'Trial Rows'!C140,"")</x:f>
      </x:c>
      <x:c r="B140" s="2" t="str">
        <x:f>IF(A140="","",'Trial Rows'!B140)</x:f>
      </x:c>
      <x:c r="C140" s="2" t="str">
        <x:f>IF(A140="","",'Trial Rows'!F140)</x:f>
      </x:c>
      <x:c r="D140" s="2" t="str">
        <x:f>IF(A140="","",'Trial Rows'!H140)</x:f>
      </x:c>
      <x:c r="E140" s="2" t="str">
        <x:f>IF(A140="","",SUMIFS(Calculations!$F$2:$F$201,'Trial Rows'!$B$2:$B$201,'Trial Rows'!B140,'Trial Rows'!$C$2:$C$201,'Trial Rows'!C140,'Trial Rows'!$F$2:$F$201,'Trial Rows'!F140,'Trial Rows'!$Y$2:$Y$201,'Trial Rows'!Y140))</x:f>
      </x:c>
      <x:c r="F140" s="2" t="str">
        <x:f>IF(A140="","",SUMIFS(Calculations!$G$2:$G$201,'Trial Rows'!$B$2:$B$201,'Trial Rows'!B140,'Trial Rows'!$C$2:$C$201,'Trial Rows'!C140,'Trial Rows'!$F$2:$F$201,'Trial Rows'!F140,'Trial Rows'!$Y$2:$Y$201,'Trial Rows'!Y140))</x:f>
      </x:c>
      <x:c r="G140" s="7" t="str">
        <x:f>IF(OR(A140="",E140=0),"",F140/E140)</x:f>
      </x:c>
      <x:c r="H140" s="7" t="str">
        <x:f>IF(OR(A140="",SUMIFS(Calculations!$H$2:$H$201,'Trial Rows'!$B$2:$B$201,'Trial Rows'!B140,'Trial Rows'!$C$2:$C$201,'Trial Rows'!C140,'Trial Rows'!$F$2:$F$201,'Trial Rows'!F140,'Trial Rows'!$Y$2:$Y$201,'Trial Rows'!Y140)=0),"",SUMIFS(Calculations!$I$2:$I$201,'Trial Rows'!$B$2:$B$201,'Trial Rows'!B140,'Trial Rows'!$C$2:$C$201,'Trial Rows'!C140,'Trial Rows'!$F$2:$F$201,'Trial Rows'!F140,'Trial Rows'!$Y$2:$Y$201,'Trial Rows'!Y140)/SUMIFS(Calculations!$H$2:$H$201,'Trial Rows'!$B$2:$B$201,'Trial Rows'!B140,'Trial Rows'!$C$2:$C$201,'Trial Rows'!C140,'Trial Rows'!$F$2:$F$201,'Trial Rows'!F140,'Trial Rows'!$Y$2:$Y$201,'Trial Rows'!Y140))</x:f>
      </x:c>
      <x:c r="I140" s="2" t="str">
        <x:f>IF(AND(A140&lt;&gt;"",COUNTIFS('Trial Rows'!$B$2:$B$201,'Trial Rows'!B140,'Trial Rows'!$C$2:$C$201,'Trial Rows'!C140,'Trial Rows'!$F$2:$F$201,'Trial Rows'!F140,'Trial Rows'!$Y$2:$Y$201,'Trial Rows'!Y140,'Trial Rows'!$G$2:$G$201,"A",Calculations!$R$2:$R$201,"&gt;=0",Calculations!$R$2:$R$201,"&lt;&gt;")=1),SUMIFS(Calculations!$R$2:$R$201,'Trial Rows'!$B$2:$B$201,'Trial Rows'!B140,'Trial Rows'!$C$2:$C$201,'Trial Rows'!C140,'Trial Rows'!$F$2:$F$201,'Trial Rows'!F140,'Trial Rows'!$Y$2:$Y$201,'Trial Rows'!Y140,'Trial Rows'!$G$2:$G$201,"A"),"")</x:f>
      </x:c>
      <x:c r="J140" s="2" t="str">
        <x:f>IF(AND(A140&lt;&gt;"",COUNTIFS('Trial Rows'!$B$2:$B$201,'Trial Rows'!B140,'Trial Rows'!$C$2:$C$201,'Trial Rows'!C140,'Trial Rows'!$F$2:$F$201,'Trial Rows'!F140,'Trial Rows'!$Y$2:$Y$201,'Trial Rows'!Y140,'Trial Rows'!$G$2:$G$201,"B",Calculations!$R$2:$R$201,"&gt;=0",Calculations!$R$2:$R$201,"&lt;&gt;")=1),SUMIFS(Calculations!$R$2:$R$201,'Trial Rows'!$B$2:$B$201,'Trial Rows'!B140,'Trial Rows'!$C$2:$C$201,'Trial Rows'!C140,'Trial Rows'!$F$2:$F$201,'Trial Rows'!F140,'Trial Rows'!$Y$2:$Y$201,'Trial Rows'!Y140,'Trial Rows'!$G$2:$G$201,"B"),"")</x:f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 t="str">
        <x:f>IF(AND(Calculations!B141=1,'Trial Rows'!G141="B",'Trial Rows'!I141=1,Calculations!D141=1),'Trial Rows'!C141,"")</x:f>
      </x:c>
      <x:c r="B141" s="2" t="str">
        <x:f>IF(A141="","",'Trial Rows'!B141)</x:f>
      </x:c>
      <x:c r="C141" s="2" t="str">
        <x:f>IF(A141="","",'Trial Rows'!F141)</x:f>
      </x:c>
      <x:c r="D141" s="2" t="str">
        <x:f>IF(A141="","",'Trial Rows'!H141)</x:f>
      </x:c>
      <x:c r="E141" s="2" t="str">
        <x:f>IF(A141="","",SUMIFS(Calculations!$F$2:$F$201,'Trial Rows'!$B$2:$B$201,'Trial Rows'!B141,'Trial Rows'!$C$2:$C$201,'Trial Rows'!C141,'Trial Rows'!$F$2:$F$201,'Trial Rows'!F141,'Trial Rows'!$Y$2:$Y$201,'Trial Rows'!Y141))</x:f>
      </x:c>
      <x:c r="F141" s="2" t="str">
        <x:f>IF(A141="","",SUMIFS(Calculations!$G$2:$G$201,'Trial Rows'!$B$2:$B$201,'Trial Rows'!B141,'Trial Rows'!$C$2:$C$201,'Trial Rows'!C141,'Trial Rows'!$F$2:$F$201,'Trial Rows'!F141,'Trial Rows'!$Y$2:$Y$201,'Trial Rows'!Y141))</x:f>
      </x:c>
      <x:c r="G141" s="7" t="str">
        <x:f>IF(OR(A141="",E141=0),"",F141/E141)</x:f>
      </x:c>
      <x:c r="H141" s="7" t="str">
        <x:f>IF(OR(A141="",SUMIFS(Calculations!$H$2:$H$201,'Trial Rows'!$B$2:$B$201,'Trial Rows'!B141,'Trial Rows'!$C$2:$C$201,'Trial Rows'!C141,'Trial Rows'!$F$2:$F$201,'Trial Rows'!F141,'Trial Rows'!$Y$2:$Y$201,'Trial Rows'!Y141)=0),"",SUMIFS(Calculations!$I$2:$I$201,'Trial Rows'!$B$2:$B$201,'Trial Rows'!B141,'Trial Rows'!$C$2:$C$201,'Trial Rows'!C141,'Trial Rows'!$F$2:$F$201,'Trial Rows'!F141,'Trial Rows'!$Y$2:$Y$201,'Trial Rows'!Y141)/SUMIFS(Calculations!$H$2:$H$201,'Trial Rows'!$B$2:$B$201,'Trial Rows'!B141,'Trial Rows'!$C$2:$C$201,'Trial Rows'!C141,'Trial Rows'!$F$2:$F$201,'Trial Rows'!F141,'Trial Rows'!$Y$2:$Y$201,'Trial Rows'!Y141))</x:f>
      </x:c>
      <x:c r="I141" s="2" t="str">
        <x:f>IF(AND(A141&lt;&gt;"",COUNTIFS('Trial Rows'!$B$2:$B$201,'Trial Rows'!B141,'Trial Rows'!$C$2:$C$201,'Trial Rows'!C141,'Trial Rows'!$F$2:$F$201,'Trial Rows'!F141,'Trial Rows'!$Y$2:$Y$201,'Trial Rows'!Y141,'Trial Rows'!$G$2:$G$201,"A",Calculations!$R$2:$R$201,"&gt;=0",Calculations!$R$2:$R$201,"&lt;&gt;")=1),SUMIFS(Calculations!$R$2:$R$201,'Trial Rows'!$B$2:$B$201,'Trial Rows'!B141,'Trial Rows'!$C$2:$C$201,'Trial Rows'!C141,'Trial Rows'!$F$2:$F$201,'Trial Rows'!F141,'Trial Rows'!$Y$2:$Y$201,'Trial Rows'!Y141,'Trial Rows'!$G$2:$G$201,"A"),"")</x:f>
      </x:c>
      <x:c r="J141" s="2" t="str">
        <x:f>IF(AND(A141&lt;&gt;"",COUNTIFS('Trial Rows'!$B$2:$B$201,'Trial Rows'!B141,'Trial Rows'!$C$2:$C$201,'Trial Rows'!C141,'Trial Rows'!$F$2:$F$201,'Trial Rows'!F141,'Trial Rows'!$Y$2:$Y$201,'Trial Rows'!Y141,'Trial Rows'!$G$2:$G$201,"B",Calculations!$R$2:$R$201,"&gt;=0",Calculations!$R$2:$R$201,"&lt;&gt;")=1),SUMIFS(Calculations!$R$2:$R$201,'Trial Rows'!$B$2:$B$201,'Trial Rows'!B141,'Trial Rows'!$C$2:$C$201,'Trial Rows'!C141,'Trial Rows'!$F$2:$F$201,'Trial Rows'!F141,'Trial Rows'!$Y$2:$Y$201,'Trial Rows'!Y141,'Trial Rows'!$G$2:$G$201,"B"),"")</x:f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 t="str">
        <x:f>IF(AND(Calculations!B142=1,'Trial Rows'!G142="B",'Trial Rows'!I142=1,Calculations!D142=1),'Trial Rows'!C142,"")</x:f>
      </x:c>
      <x:c r="B142" s="2" t="str">
        <x:f>IF(A142="","",'Trial Rows'!B142)</x:f>
      </x:c>
      <x:c r="C142" s="2" t="str">
        <x:f>IF(A142="","",'Trial Rows'!F142)</x:f>
      </x:c>
      <x:c r="D142" s="2" t="str">
        <x:f>IF(A142="","",'Trial Rows'!H142)</x:f>
      </x:c>
      <x:c r="E142" s="2" t="str">
        <x:f>IF(A142="","",SUMIFS(Calculations!$F$2:$F$201,'Trial Rows'!$B$2:$B$201,'Trial Rows'!B142,'Trial Rows'!$C$2:$C$201,'Trial Rows'!C142,'Trial Rows'!$F$2:$F$201,'Trial Rows'!F142,'Trial Rows'!$Y$2:$Y$201,'Trial Rows'!Y142))</x:f>
      </x:c>
      <x:c r="F142" s="2" t="str">
        <x:f>IF(A142="","",SUMIFS(Calculations!$G$2:$G$201,'Trial Rows'!$B$2:$B$201,'Trial Rows'!B142,'Trial Rows'!$C$2:$C$201,'Trial Rows'!C142,'Trial Rows'!$F$2:$F$201,'Trial Rows'!F142,'Trial Rows'!$Y$2:$Y$201,'Trial Rows'!Y142))</x:f>
      </x:c>
      <x:c r="G142" s="7" t="str">
        <x:f>IF(OR(A142="",E142=0),"",F142/E142)</x:f>
      </x:c>
      <x:c r="H142" s="7" t="str">
        <x:f>IF(OR(A142="",SUMIFS(Calculations!$H$2:$H$201,'Trial Rows'!$B$2:$B$201,'Trial Rows'!B142,'Trial Rows'!$C$2:$C$201,'Trial Rows'!C142,'Trial Rows'!$F$2:$F$201,'Trial Rows'!F142,'Trial Rows'!$Y$2:$Y$201,'Trial Rows'!Y142)=0),"",SUMIFS(Calculations!$I$2:$I$201,'Trial Rows'!$B$2:$B$201,'Trial Rows'!B142,'Trial Rows'!$C$2:$C$201,'Trial Rows'!C142,'Trial Rows'!$F$2:$F$201,'Trial Rows'!F142,'Trial Rows'!$Y$2:$Y$201,'Trial Rows'!Y142)/SUMIFS(Calculations!$H$2:$H$201,'Trial Rows'!$B$2:$B$201,'Trial Rows'!B142,'Trial Rows'!$C$2:$C$201,'Trial Rows'!C142,'Trial Rows'!$F$2:$F$201,'Trial Rows'!F142,'Trial Rows'!$Y$2:$Y$201,'Trial Rows'!Y142))</x:f>
      </x:c>
      <x:c r="I142" s="2" t="str">
        <x:f>IF(AND(A142&lt;&gt;"",COUNTIFS('Trial Rows'!$B$2:$B$201,'Trial Rows'!B142,'Trial Rows'!$C$2:$C$201,'Trial Rows'!C142,'Trial Rows'!$F$2:$F$201,'Trial Rows'!F142,'Trial Rows'!$Y$2:$Y$201,'Trial Rows'!Y142,'Trial Rows'!$G$2:$G$201,"A",Calculations!$R$2:$R$201,"&gt;=0",Calculations!$R$2:$R$201,"&lt;&gt;")=1),SUMIFS(Calculations!$R$2:$R$201,'Trial Rows'!$B$2:$B$201,'Trial Rows'!B142,'Trial Rows'!$C$2:$C$201,'Trial Rows'!C142,'Trial Rows'!$F$2:$F$201,'Trial Rows'!F142,'Trial Rows'!$Y$2:$Y$201,'Trial Rows'!Y142,'Trial Rows'!$G$2:$G$201,"A"),"")</x:f>
      </x:c>
      <x:c r="J142" s="2" t="str">
        <x:f>IF(AND(A142&lt;&gt;"",COUNTIFS('Trial Rows'!$B$2:$B$201,'Trial Rows'!B142,'Trial Rows'!$C$2:$C$201,'Trial Rows'!C142,'Trial Rows'!$F$2:$F$201,'Trial Rows'!F142,'Trial Rows'!$Y$2:$Y$201,'Trial Rows'!Y142,'Trial Rows'!$G$2:$G$201,"B",Calculations!$R$2:$R$201,"&gt;=0",Calculations!$R$2:$R$201,"&lt;&gt;")=1),SUMIFS(Calculations!$R$2:$R$201,'Trial Rows'!$B$2:$B$201,'Trial Rows'!B142,'Trial Rows'!$C$2:$C$201,'Trial Rows'!C142,'Trial Rows'!$F$2:$F$201,'Trial Rows'!F142,'Trial Rows'!$Y$2:$Y$201,'Trial Rows'!Y142,'Trial Rows'!$G$2:$G$201,"B"),"")</x:f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 t="str">
        <x:f>IF(AND(Calculations!B143=1,'Trial Rows'!G143="B",'Trial Rows'!I143=1,Calculations!D143=1),'Trial Rows'!C143,"")</x:f>
      </x:c>
      <x:c r="B143" s="2" t="str">
        <x:f>IF(A143="","",'Trial Rows'!B143)</x:f>
      </x:c>
      <x:c r="C143" s="2" t="str">
        <x:f>IF(A143="","",'Trial Rows'!F143)</x:f>
      </x:c>
      <x:c r="D143" s="2" t="str">
        <x:f>IF(A143="","",'Trial Rows'!H143)</x:f>
      </x:c>
      <x:c r="E143" s="2" t="str">
        <x:f>IF(A143="","",SUMIFS(Calculations!$F$2:$F$201,'Trial Rows'!$B$2:$B$201,'Trial Rows'!B143,'Trial Rows'!$C$2:$C$201,'Trial Rows'!C143,'Trial Rows'!$F$2:$F$201,'Trial Rows'!F143,'Trial Rows'!$Y$2:$Y$201,'Trial Rows'!Y143))</x:f>
      </x:c>
      <x:c r="F143" s="2" t="str">
        <x:f>IF(A143="","",SUMIFS(Calculations!$G$2:$G$201,'Trial Rows'!$B$2:$B$201,'Trial Rows'!B143,'Trial Rows'!$C$2:$C$201,'Trial Rows'!C143,'Trial Rows'!$F$2:$F$201,'Trial Rows'!F143,'Trial Rows'!$Y$2:$Y$201,'Trial Rows'!Y143))</x:f>
      </x:c>
      <x:c r="G143" s="7" t="str">
        <x:f>IF(OR(A143="",E143=0),"",F143/E143)</x:f>
      </x:c>
      <x:c r="H143" s="7" t="str">
        <x:f>IF(OR(A143="",SUMIFS(Calculations!$H$2:$H$201,'Trial Rows'!$B$2:$B$201,'Trial Rows'!B143,'Trial Rows'!$C$2:$C$201,'Trial Rows'!C143,'Trial Rows'!$F$2:$F$201,'Trial Rows'!F143,'Trial Rows'!$Y$2:$Y$201,'Trial Rows'!Y143)=0),"",SUMIFS(Calculations!$I$2:$I$201,'Trial Rows'!$B$2:$B$201,'Trial Rows'!B143,'Trial Rows'!$C$2:$C$201,'Trial Rows'!C143,'Trial Rows'!$F$2:$F$201,'Trial Rows'!F143,'Trial Rows'!$Y$2:$Y$201,'Trial Rows'!Y143)/SUMIFS(Calculations!$H$2:$H$201,'Trial Rows'!$B$2:$B$201,'Trial Rows'!B143,'Trial Rows'!$C$2:$C$201,'Trial Rows'!C143,'Trial Rows'!$F$2:$F$201,'Trial Rows'!F143,'Trial Rows'!$Y$2:$Y$201,'Trial Rows'!Y143))</x:f>
      </x:c>
      <x:c r="I143" s="2" t="str">
        <x:f>IF(AND(A143&lt;&gt;"",COUNTIFS('Trial Rows'!$B$2:$B$201,'Trial Rows'!B143,'Trial Rows'!$C$2:$C$201,'Trial Rows'!C143,'Trial Rows'!$F$2:$F$201,'Trial Rows'!F143,'Trial Rows'!$Y$2:$Y$201,'Trial Rows'!Y143,'Trial Rows'!$G$2:$G$201,"A",Calculations!$R$2:$R$201,"&gt;=0",Calculations!$R$2:$R$201,"&lt;&gt;")=1),SUMIFS(Calculations!$R$2:$R$201,'Trial Rows'!$B$2:$B$201,'Trial Rows'!B143,'Trial Rows'!$C$2:$C$201,'Trial Rows'!C143,'Trial Rows'!$F$2:$F$201,'Trial Rows'!F143,'Trial Rows'!$Y$2:$Y$201,'Trial Rows'!Y143,'Trial Rows'!$G$2:$G$201,"A"),"")</x:f>
      </x:c>
      <x:c r="J143" s="2" t="str">
        <x:f>IF(AND(A143&lt;&gt;"",COUNTIFS('Trial Rows'!$B$2:$B$201,'Trial Rows'!B143,'Trial Rows'!$C$2:$C$201,'Trial Rows'!C143,'Trial Rows'!$F$2:$F$201,'Trial Rows'!F143,'Trial Rows'!$Y$2:$Y$201,'Trial Rows'!Y143,'Trial Rows'!$G$2:$G$201,"B",Calculations!$R$2:$R$201,"&gt;=0",Calculations!$R$2:$R$201,"&lt;&gt;")=1),SUMIFS(Calculations!$R$2:$R$201,'Trial Rows'!$B$2:$B$201,'Trial Rows'!B143,'Trial Rows'!$C$2:$C$201,'Trial Rows'!C143,'Trial Rows'!$F$2:$F$201,'Trial Rows'!F143,'Trial Rows'!$Y$2:$Y$201,'Trial Rows'!Y143,'Trial Rows'!$G$2:$G$201,"B"),"")</x:f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 t="str">
        <x:f>IF(AND(Calculations!B144=1,'Trial Rows'!G144="B",'Trial Rows'!I144=1,Calculations!D144=1),'Trial Rows'!C144,"")</x:f>
      </x:c>
      <x:c r="B144" s="2" t="str">
        <x:f>IF(A144="","",'Trial Rows'!B144)</x:f>
      </x:c>
      <x:c r="C144" s="2" t="str">
        <x:f>IF(A144="","",'Trial Rows'!F144)</x:f>
      </x:c>
      <x:c r="D144" s="2" t="str">
        <x:f>IF(A144="","",'Trial Rows'!H144)</x:f>
      </x:c>
      <x:c r="E144" s="2" t="str">
        <x:f>IF(A144="","",SUMIFS(Calculations!$F$2:$F$201,'Trial Rows'!$B$2:$B$201,'Trial Rows'!B144,'Trial Rows'!$C$2:$C$201,'Trial Rows'!C144,'Trial Rows'!$F$2:$F$201,'Trial Rows'!F144,'Trial Rows'!$Y$2:$Y$201,'Trial Rows'!Y144))</x:f>
      </x:c>
      <x:c r="F144" s="2" t="str">
        <x:f>IF(A144="","",SUMIFS(Calculations!$G$2:$G$201,'Trial Rows'!$B$2:$B$201,'Trial Rows'!B144,'Trial Rows'!$C$2:$C$201,'Trial Rows'!C144,'Trial Rows'!$F$2:$F$201,'Trial Rows'!F144,'Trial Rows'!$Y$2:$Y$201,'Trial Rows'!Y144))</x:f>
      </x:c>
      <x:c r="G144" s="7" t="str">
        <x:f>IF(OR(A144="",E144=0),"",F144/E144)</x:f>
      </x:c>
      <x:c r="H144" s="7" t="str">
        <x:f>IF(OR(A144="",SUMIFS(Calculations!$H$2:$H$201,'Trial Rows'!$B$2:$B$201,'Trial Rows'!B144,'Trial Rows'!$C$2:$C$201,'Trial Rows'!C144,'Trial Rows'!$F$2:$F$201,'Trial Rows'!F144,'Trial Rows'!$Y$2:$Y$201,'Trial Rows'!Y144)=0),"",SUMIFS(Calculations!$I$2:$I$201,'Trial Rows'!$B$2:$B$201,'Trial Rows'!B144,'Trial Rows'!$C$2:$C$201,'Trial Rows'!C144,'Trial Rows'!$F$2:$F$201,'Trial Rows'!F144,'Trial Rows'!$Y$2:$Y$201,'Trial Rows'!Y144)/SUMIFS(Calculations!$H$2:$H$201,'Trial Rows'!$B$2:$B$201,'Trial Rows'!B144,'Trial Rows'!$C$2:$C$201,'Trial Rows'!C144,'Trial Rows'!$F$2:$F$201,'Trial Rows'!F144,'Trial Rows'!$Y$2:$Y$201,'Trial Rows'!Y144))</x:f>
      </x:c>
      <x:c r="I144" s="2" t="str">
        <x:f>IF(AND(A144&lt;&gt;"",COUNTIFS('Trial Rows'!$B$2:$B$201,'Trial Rows'!B144,'Trial Rows'!$C$2:$C$201,'Trial Rows'!C144,'Trial Rows'!$F$2:$F$201,'Trial Rows'!F144,'Trial Rows'!$Y$2:$Y$201,'Trial Rows'!Y144,'Trial Rows'!$G$2:$G$201,"A",Calculations!$R$2:$R$201,"&gt;=0",Calculations!$R$2:$R$201,"&lt;&gt;")=1),SUMIFS(Calculations!$R$2:$R$201,'Trial Rows'!$B$2:$B$201,'Trial Rows'!B144,'Trial Rows'!$C$2:$C$201,'Trial Rows'!C144,'Trial Rows'!$F$2:$F$201,'Trial Rows'!F144,'Trial Rows'!$Y$2:$Y$201,'Trial Rows'!Y144,'Trial Rows'!$G$2:$G$201,"A"),"")</x:f>
      </x:c>
      <x:c r="J144" s="2" t="str">
        <x:f>IF(AND(A144&lt;&gt;"",COUNTIFS('Trial Rows'!$B$2:$B$201,'Trial Rows'!B144,'Trial Rows'!$C$2:$C$201,'Trial Rows'!C144,'Trial Rows'!$F$2:$F$201,'Trial Rows'!F144,'Trial Rows'!$Y$2:$Y$201,'Trial Rows'!Y144,'Trial Rows'!$G$2:$G$201,"B",Calculations!$R$2:$R$201,"&gt;=0",Calculations!$R$2:$R$201,"&lt;&gt;")=1),SUMIFS(Calculations!$R$2:$R$201,'Trial Rows'!$B$2:$B$201,'Trial Rows'!B144,'Trial Rows'!$C$2:$C$201,'Trial Rows'!C144,'Trial Rows'!$F$2:$F$201,'Trial Rows'!F144,'Trial Rows'!$Y$2:$Y$201,'Trial Rows'!Y144,'Trial Rows'!$G$2:$G$201,"B"),"")</x:f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 t="str">
        <x:f>IF(AND(Calculations!B145=1,'Trial Rows'!G145="B",'Trial Rows'!I145=1,Calculations!D145=1),'Trial Rows'!C145,"")</x:f>
      </x:c>
      <x:c r="B145" s="2" t="str">
        <x:f>IF(A145="","",'Trial Rows'!B145)</x:f>
      </x:c>
      <x:c r="C145" s="2" t="str">
        <x:f>IF(A145="","",'Trial Rows'!F145)</x:f>
      </x:c>
      <x:c r="D145" s="2" t="str">
        <x:f>IF(A145="","",'Trial Rows'!H145)</x:f>
      </x:c>
      <x:c r="E145" s="2" t="str">
        <x:f>IF(A145="","",SUMIFS(Calculations!$F$2:$F$201,'Trial Rows'!$B$2:$B$201,'Trial Rows'!B145,'Trial Rows'!$C$2:$C$201,'Trial Rows'!C145,'Trial Rows'!$F$2:$F$201,'Trial Rows'!F145,'Trial Rows'!$Y$2:$Y$201,'Trial Rows'!Y145))</x:f>
      </x:c>
      <x:c r="F145" s="2" t="str">
        <x:f>IF(A145="","",SUMIFS(Calculations!$G$2:$G$201,'Trial Rows'!$B$2:$B$201,'Trial Rows'!B145,'Trial Rows'!$C$2:$C$201,'Trial Rows'!C145,'Trial Rows'!$F$2:$F$201,'Trial Rows'!F145,'Trial Rows'!$Y$2:$Y$201,'Trial Rows'!Y145))</x:f>
      </x:c>
      <x:c r="G145" s="7" t="str">
        <x:f>IF(OR(A145="",E145=0),"",F145/E145)</x:f>
      </x:c>
      <x:c r="H145" s="7" t="str">
        <x:f>IF(OR(A145="",SUMIFS(Calculations!$H$2:$H$201,'Trial Rows'!$B$2:$B$201,'Trial Rows'!B145,'Trial Rows'!$C$2:$C$201,'Trial Rows'!C145,'Trial Rows'!$F$2:$F$201,'Trial Rows'!F145,'Trial Rows'!$Y$2:$Y$201,'Trial Rows'!Y145)=0),"",SUMIFS(Calculations!$I$2:$I$201,'Trial Rows'!$B$2:$B$201,'Trial Rows'!B145,'Trial Rows'!$C$2:$C$201,'Trial Rows'!C145,'Trial Rows'!$F$2:$F$201,'Trial Rows'!F145,'Trial Rows'!$Y$2:$Y$201,'Trial Rows'!Y145)/SUMIFS(Calculations!$H$2:$H$201,'Trial Rows'!$B$2:$B$201,'Trial Rows'!B145,'Trial Rows'!$C$2:$C$201,'Trial Rows'!C145,'Trial Rows'!$F$2:$F$201,'Trial Rows'!F145,'Trial Rows'!$Y$2:$Y$201,'Trial Rows'!Y145))</x:f>
      </x:c>
      <x:c r="I145" s="2" t="str">
        <x:f>IF(AND(A145&lt;&gt;"",COUNTIFS('Trial Rows'!$B$2:$B$201,'Trial Rows'!B145,'Trial Rows'!$C$2:$C$201,'Trial Rows'!C145,'Trial Rows'!$F$2:$F$201,'Trial Rows'!F145,'Trial Rows'!$Y$2:$Y$201,'Trial Rows'!Y145,'Trial Rows'!$G$2:$G$201,"A",Calculations!$R$2:$R$201,"&gt;=0",Calculations!$R$2:$R$201,"&lt;&gt;")=1),SUMIFS(Calculations!$R$2:$R$201,'Trial Rows'!$B$2:$B$201,'Trial Rows'!B145,'Trial Rows'!$C$2:$C$201,'Trial Rows'!C145,'Trial Rows'!$F$2:$F$201,'Trial Rows'!F145,'Trial Rows'!$Y$2:$Y$201,'Trial Rows'!Y145,'Trial Rows'!$G$2:$G$201,"A"),"")</x:f>
      </x:c>
      <x:c r="J145" s="2" t="str">
        <x:f>IF(AND(A145&lt;&gt;"",COUNTIFS('Trial Rows'!$B$2:$B$201,'Trial Rows'!B145,'Trial Rows'!$C$2:$C$201,'Trial Rows'!C145,'Trial Rows'!$F$2:$F$201,'Trial Rows'!F145,'Trial Rows'!$Y$2:$Y$201,'Trial Rows'!Y145,'Trial Rows'!$G$2:$G$201,"B",Calculations!$R$2:$R$201,"&gt;=0",Calculations!$R$2:$R$201,"&lt;&gt;")=1),SUMIFS(Calculations!$R$2:$R$201,'Trial Rows'!$B$2:$B$201,'Trial Rows'!B145,'Trial Rows'!$C$2:$C$201,'Trial Rows'!C145,'Trial Rows'!$F$2:$F$201,'Trial Rows'!F145,'Trial Rows'!$Y$2:$Y$201,'Trial Rows'!Y145,'Trial Rows'!$G$2:$G$201,"B"),"")</x:f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 t="str">
        <x:f>IF(AND(Calculations!B146=1,'Trial Rows'!G146="B",'Trial Rows'!I146=1,Calculations!D146=1),'Trial Rows'!C146,"")</x:f>
      </x:c>
      <x:c r="B146" s="2" t="str">
        <x:f>IF(A146="","",'Trial Rows'!B146)</x:f>
      </x:c>
      <x:c r="C146" s="2" t="str">
        <x:f>IF(A146="","",'Trial Rows'!F146)</x:f>
      </x:c>
      <x:c r="D146" s="2" t="str">
        <x:f>IF(A146="","",'Trial Rows'!H146)</x:f>
      </x:c>
      <x:c r="E146" s="2" t="str">
        <x:f>IF(A146="","",SUMIFS(Calculations!$F$2:$F$201,'Trial Rows'!$B$2:$B$201,'Trial Rows'!B146,'Trial Rows'!$C$2:$C$201,'Trial Rows'!C146,'Trial Rows'!$F$2:$F$201,'Trial Rows'!F146,'Trial Rows'!$Y$2:$Y$201,'Trial Rows'!Y146))</x:f>
      </x:c>
      <x:c r="F146" s="2" t="str">
        <x:f>IF(A146="","",SUMIFS(Calculations!$G$2:$G$201,'Trial Rows'!$B$2:$B$201,'Trial Rows'!B146,'Trial Rows'!$C$2:$C$201,'Trial Rows'!C146,'Trial Rows'!$F$2:$F$201,'Trial Rows'!F146,'Trial Rows'!$Y$2:$Y$201,'Trial Rows'!Y146))</x:f>
      </x:c>
      <x:c r="G146" s="7" t="str">
        <x:f>IF(OR(A146="",E146=0),"",F146/E146)</x:f>
      </x:c>
      <x:c r="H146" s="7" t="str">
        <x:f>IF(OR(A146="",SUMIFS(Calculations!$H$2:$H$201,'Trial Rows'!$B$2:$B$201,'Trial Rows'!B146,'Trial Rows'!$C$2:$C$201,'Trial Rows'!C146,'Trial Rows'!$F$2:$F$201,'Trial Rows'!F146,'Trial Rows'!$Y$2:$Y$201,'Trial Rows'!Y146)=0),"",SUMIFS(Calculations!$I$2:$I$201,'Trial Rows'!$B$2:$B$201,'Trial Rows'!B146,'Trial Rows'!$C$2:$C$201,'Trial Rows'!C146,'Trial Rows'!$F$2:$F$201,'Trial Rows'!F146,'Trial Rows'!$Y$2:$Y$201,'Trial Rows'!Y146)/SUMIFS(Calculations!$H$2:$H$201,'Trial Rows'!$B$2:$B$201,'Trial Rows'!B146,'Trial Rows'!$C$2:$C$201,'Trial Rows'!C146,'Trial Rows'!$F$2:$F$201,'Trial Rows'!F146,'Trial Rows'!$Y$2:$Y$201,'Trial Rows'!Y146))</x:f>
      </x:c>
      <x:c r="I146" s="2" t="str">
        <x:f>IF(AND(A146&lt;&gt;"",COUNTIFS('Trial Rows'!$B$2:$B$201,'Trial Rows'!B146,'Trial Rows'!$C$2:$C$201,'Trial Rows'!C146,'Trial Rows'!$F$2:$F$201,'Trial Rows'!F146,'Trial Rows'!$Y$2:$Y$201,'Trial Rows'!Y146,'Trial Rows'!$G$2:$G$201,"A",Calculations!$R$2:$R$201,"&gt;=0",Calculations!$R$2:$R$201,"&lt;&gt;")=1),SUMIFS(Calculations!$R$2:$R$201,'Trial Rows'!$B$2:$B$201,'Trial Rows'!B146,'Trial Rows'!$C$2:$C$201,'Trial Rows'!C146,'Trial Rows'!$F$2:$F$201,'Trial Rows'!F146,'Trial Rows'!$Y$2:$Y$201,'Trial Rows'!Y146,'Trial Rows'!$G$2:$G$201,"A"),"")</x:f>
      </x:c>
      <x:c r="J146" s="2" t="str">
        <x:f>IF(AND(A146&lt;&gt;"",COUNTIFS('Trial Rows'!$B$2:$B$201,'Trial Rows'!B146,'Trial Rows'!$C$2:$C$201,'Trial Rows'!C146,'Trial Rows'!$F$2:$F$201,'Trial Rows'!F146,'Trial Rows'!$Y$2:$Y$201,'Trial Rows'!Y146,'Trial Rows'!$G$2:$G$201,"B",Calculations!$R$2:$R$201,"&gt;=0",Calculations!$R$2:$R$201,"&lt;&gt;")=1),SUMIFS(Calculations!$R$2:$R$201,'Trial Rows'!$B$2:$B$201,'Trial Rows'!B146,'Trial Rows'!$C$2:$C$201,'Trial Rows'!C146,'Trial Rows'!$F$2:$F$201,'Trial Rows'!F146,'Trial Rows'!$Y$2:$Y$201,'Trial Rows'!Y146,'Trial Rows'!$G$2:$G$201,"B"),"")</x:f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 t="str">
        <x:f>IF(AND(Calculations!B147=1,'Trial Rows'!G147="B",'Trial Rows'!I147=1,Calculations!D147=1),'Trial Rows'!C147,"")</x:f>
      </x:c>
      <x:c r="B147" s="2" t="str">
        <x:f>IF(A147="","",'Trial Rows'!B147)</x:f>
      </x:c>
      <x:c r="C147" s="2" t="str">
        <x:f>IF(A147="","",'Trial Rows'!F147)</x:f>
      </x:c>
      <x:c r="D147" s="2" t="str">
        <x:f>IF(A147="","",'Trial Rows'!H147)</x:f>
      </x:c>
      <x:c r="E147" s="2" t="str">
        <x:f>IF(A147="","",SUMIFS(Calculations!$F$2:$F$201,'Trial Rows'!$B$2:$B$201,'Trial Rows'!B147,'Trial Rows'!$C$2:$C$201,'Trial Rows'!C147,'Trial Rows'!$F$2:$F$201,'Trial Rows'!F147,'Trial Rows'!$Y$2:$Y$201,'Trial Rows'!Y147))</x:f>
      </x:c>
      <x:c r="F147" s="2" t="str">
        <x:f>IF(A147="","",SUMIFS(Calculations!$G$2:$G$201,'Trial Rows'!$B$2:$B$201,'Trial Rows'!B147,'Trial Rows'!$C$2:$C$201,'Trial Rows'!C147,'Trial Rows'!$F$2:$F$201,'Trial Rows'!F147,'Trial Rows'!$Y$2:$Y$201,'Trial Rows'!Y147))</x:f>
      </x:c>
      <x:c r="G147" s="7" t="str">
        <x:f>IF(OR(A147="",E147=0),"",F147/E147)</x:f>
      </x:c>
      <x:c r="H147" s="7" t="str">
        <x:f>IF(OR(A147="",SUMIFS(Calculations!$H$2:$H$201,'Trial Rows'!$B$2:$B$201,'Trial Rows'!B147,'Trial Rows'!$C$2:$C$201,'Trial Rows'!C147,'Trial Rows'!$F$2:$F$201,'Trial Rows'!F147,'Trial Rows'!$Y$2:$Y$201,'Trial Rows'!Y147)=0),"",SUMIFS(Calculations!$I$2:$I$201,'Trial Rows'!$B$2:$B$201,'Trial Rows'!B147,'Trial Rows'!$C$2:$C$201,'Trial Rows'!C147,'Trial Rows'!$F$2:$F$201,'Trial Rows'!F147,'Trial Rows'!$Y$2:$Y$201,'Trial Rows'!Y147)/SUMIFS(Calculations!$H$2:$H$201,'Trial Rows'!$B$2:$B$201,'Trial Rows'!B147,'Trial Rows'!$C$2:$C$201,'Trial Rows'!C147,'Trial Rows'!$F$2:$F$201,'Trial Rows'!F147,'Trial Rows'!$Y$2:$Y$201,'Trial Rows'!Y147))</x:f>
      </x:c>
      <x:c r="I147" s="2" t="str">
        <x:f>IF(AND(A147&lt;&gt;"",COUNTIFS('Trial Rows'!$B$2:$B$201,'Trial Rows'!B147,'Trial Rows'!$C$2:$C$201,'Trial Rows'!C147,'Trial Rows'!$F$2:$F$201,'Trial Rows'!F147,'Trial Rows'!$Y$2:$Y$201,'Trial Rows'!Y147,'Trial Rows'!$G$2:$G$201,"A",Calculations!$R$2:$R$201,"&gt;=0",Calculations!$R$2:$R$201,"&lt;&gt;")=1),SUMIFS(Calculations!$R$2:$R$201,'Trial Rows'!$B$2:$B$201,'Trial Rows'!B147,'Trial Rows'!$C$2:$C$201,'Trial Rows'!C147,'Trial Rows'!$F$2:$F$201,'Trial Rows'!F147,'Trial Rows'!$Y$2:$Y$201,'Trial Rows'!Y147,'Trial Rows'!$G$2:$G$201,"A"),"")</x:f>
      </x:c>
      <x:c r="J147" s="2" t="str">
        <x:f>IF(AND(A147&lt;&gt;"",COUNTIFS('Trial Rows'!$B$2:$B$201,'Trial Rows'!B147,'Trial Rows'!$C$2:$C$201,'Trial Rows'!C147,'Trial Rows'!$F$2:$F$201,'Trial Rows'!F147,'Trial Rows'!$Y$2:$Y$201,'Trial Rows'!Y147,'Trial Rows'!$G$2:$G$201,"B",Calculations!$R$2:$R$201,"&gt;=0",Calculations!$R$2:$R$201,"&lt;&gt;")=1),SUMIFS(Calculations!$R$2:$R$201,'Trial Rows'!$B$2:$B$201,'Trial Rows'!B147,'Trial Rows'!$C$2:$C$201,'Trial Rows'!C147,'Trial Rows'!$F$2:$F$201,'Trial Rows'!F147,'Trial Rows'!$Y$2:$Y$201,'Trial Rows'!Y147,'Trial Rows'!$G$2:$G$201,"B"),"")</x:f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 t="str">
        <x:f>IF(AND(Calculations!B148=1,'Trial Rows'!G148="B",'Trial Rows'!I148=1,Calculations!D148=1),'Trial Rows'!C148,"")</x:f>
      </x:c>
      <x:c r="B148" s="2" t="str">
        <x:f>IF(A148="","",'Trial Rows'!B148)</x:f>
      </x:c>
      <x:c r="C148" s="2" t="str">
        <x:f>IF(A148="","",'Trial Rows'!F148)</x:f>
      </x:c>
      <x:c r="D148" s="2" t="str">
        <x:f>IF(A148="","",'Trial Rows'!H148)</x:f>
      </x:c>
      <x:c r="E148" s="2" t="str">
        <x:f>IF(A148="","",SUMIFS(Calculations!$F$2:$F$201,'Trial Rows'!$B$2:$B$201,'Trial Rows'!B148,'Trial Rows'!$C$2:$C$201,'Trial Rows'!C148,'Trial Rows'!$F$2:$F$201,'Trial Rows'!F148,'Trial Rows'!$Y$2:$Y$201,'Trial Rows'!Y148))</x:f>
      </x:c>
      <x:c r="F148" s="2" t="str">
        <x:f>IF(A148="","",SUMIFS(Calculations!$G$2:$G$201,'Trial Rows'!$B$2:$B$201,'Trial Rows'!B148,'Trial Rows'!$C$2:$C$201,'Trial Rows'!C148,'Trial Rows'!$F$2:$F$201,'Trial Rows'!F148,'Trial Rows'!$Y$2:$Y$201,'Trial Rows'!Y148))</x:f>
      </x:c>
      <x:c r="G148" s="7" t="str">
        <x:f>IF(OR(A148="",E148=0),"",F148/E148)</x:f>
      </x:c>
      <x:c r="H148" s="7" t="str">
        <x:f>IF(OR(A148="",SUMIFS(Calculations!$H$2:$H$201,'Trial Rows'!$B$2:$B$201,'Trial Rows'!B148,'Trial Rows'!$C$2:$C$201,'Trial Rows'!C148,'Trial Rows'!$F$2:$F$201,'Trial Rows'!F148,'Trial Rows'!$Y$2:$Y$201,'Trial Rows'!Y148)=0),"",SUMIFS(Calculations!$I$2:$I$201,'Trial Rows'!$B$2:$B$201,'Trial Rows'!B148,'Trial Rows'!$C$2:$C$201,'Trial Rows'!C148,'Trial Rows'!$F$2:$F$201,'Trial Rows'!F148,'Trial Rows'!$Y$2:$Y$201,'Trial Rows'!Y148)/SUMIFS(Calculations!$H$2:$H$201,'Trial Rows'!$B$2:$B$201,'Trial Rows'!B148,'Trial Rows'!$C$2:$C$201,'Trial Rows'!C148,'Trial Rows'!$F$2:$F$201,'Trial Rows'!F148,'Trial Rows'!$Y$2:$Y$201,'Trial Rows'!Y148))</x:f>
      </x:c>
      <x:c r="I148" s="2" t="str">
        <x:f>IF(AND(A148&lt;&gt;"",COUNTIFS('Trial Rows'!$B$2:$B$201,'Trial Rows'!B148,'Trial Rows'!$C$2:$C$201,'Trial Rows'!C148,'Trial Rows'!$F$2:$F$201,'Trial Rows'!F148,'Trial Rows'!$Y$2:$Y$201,'Trial Rows'!Y148,'Trial Rows'!$G$2:$G$201,"A",Calculations!$R$2:$R$201,"&gt;=0",Calculations!$R$2:$R$201,"&lt;&gt;")=1),SUMIFS(Calculations!$R$2:$R$201,'Trial Rows'!$B$2:$B$201,'Trial Rows'!B148,'Trial Rows'!$C$2:$C$201,'Trial Rows'!C148,'Trial Rows'!$F$2:$F$201,'Trial Rows'!F148,'Trial Rows'!$Y$2:$Y$201,'Trial Rows'!Y148,'Trial Rows'!$G$2:$G$201,"A"),"")</x:f>
      </x:c>
      <x:c r="J148" s="2" t="str">
        <x:f>IF(AND(A148&lt;&gt;"",COUNTIFS('Trial Rows'!$B$2:$B$201,'Trial Rows'!B148,'Trial Rows'!$C$2:$C$201,'Trial Rows'!C148,'Trial Rows'!$F$2:$F$201,'Trial Rows'!F148,'Trial Rows'!$Y$2:$Y$201,'Trial Rows'!Y148,'Trial Rows'!$G$2:$G$201,"B",Calculations!$R$2:$R$201,"&gt;=0",Calculations!$R$2:$R$201,"&lt;&gt;")=1),SUMIFS(Calculations!$R$2:$R$201,'Trial Rows'!$B$2:$B$201,'Trial Rows'!B148,'Trial Rows'!$C$2:$C$201,'Trial Rows'!C148,'Trial Rows'!$F$2:$F$201,'Trial Rows'!F148,'Trial Rows'!$Y$2:$Y$201,'Trial Rows'!Y148,'Trial Rows'!$G$2:$G$201,"B"),"")</x:f>
      </x:c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 t="str">
        <x:f>IF(AND(Calculations!B149=1,'Trial Rows'!G149="B",'Trial Rows'!I149=1,Calculations!D149=1),'Trial Rows'!C149,"")</x:f>
      </x:c>
      <x:c r="B149" s="2" t="str">
        <x:f>IF(A149="","",'Trial Rows'!B149)</x:f>
      </x:c>
      <x:c r="C149" s="2" t="str">
        <x:f>IF(A149="","",'Trial Rows'!F149)</x:f>
      </x:c>
      <x:c r="D149" s="2" t="str">
        <x:f>IF(A149="","",'Trial Rows'!H149)</x:f>
      </x:c>
      <x:c r="E149" s="2" t="str">
        <x:f>IF(A149="","",SUMIFS(Calculations!$F$2:$F$201,'Trial Rows'!$B$2:$B$201,'Trial Rows'!B149,'Trial Rows'!$C$2:$C$201,'Trial Rows'!C149,'Trial Rows'!$F$2:$F$201,'Trial Rows'!F149,'Trial Rows'!$Y$2:$Y$201,'Trial Rows'!Y149))</x:f>
      </x:c>
      <x:c r="F149" s="2" t="str">
        <x:f>IF(A149="","",SUMIFS(Calculations!$G$2:$G$201,'Trial Rows'!$B$2:$B$201,'Trial Rows'!B149,'Trial Rows'!$C$2:$C$201,'Trial Rows'!C149,'Trial Rows'!$F$2:$F$201,'Trial Rows'!F149,'Trial Rows'!$Y$2:$Y$201,'Trial Rows'!Y149))</x:f>
      </x:c>
      <x:c r="G149" s="7" t="str">
        <x:f>IF(OR(A149="",E149=0),"",F149/E149)</x:f>
      </x:c>
      <x:c r="H149" s="7" t="str">
        <x:f>IF(OR(A149="",SUMIFS(Calculations!$H$2:$H$201,'Trial Rows'!$B$2:$B$201,'Trial Rows'!B149,'Trial Rows'!$C$2:$C$201,'Trial Rows'!C149,'Trial Rows'!$F$2:$F$201,'Trial Rows'!F149,'Trial Rows'!$Y$2:$Y$201,'Trial Rows'!Y149)=0),"",SUMIFS(Calculations!$I$2:$I$201,'Trial Rows'!$B$2:$B$201,'Trial Rows'!B149,'Trial Rows'!$C$2:$C$201,'Trial Rows'!C149,'Trial Rows'!$F$2:$F$201,'Trial Rows'!F149,'Trial Rows'!$Y$2:$Y$201,'Trial Rows'!Y149)/SUMIFS(Calculations!$H$2:$H$201,'Trial Rows'!$B$2:$B$201,'Trial Rows'!B149,'Trial Rows'!$C$2:$C$201,'Trial Rows'!C149,'Trial Rows'!$F$2:$F$201,'Trial Rows'!F149,'Trial Rows'!$Y$2:$Y$201,'Trial Rows'!Y149))</x:f>
      </x:c>
      <x:c r="I149" s="2" t="str">
        <x:f>IF(AND(A149&lt;&gt;"",COUNTIFS('Trial Rows'!$B$2:$B$201,'Trial Rows'!B149,'Trial Rows'!$C$2:$C$201,'Trial Rows'!C149,'Trial Rows'!$F$2:$F$201,'Trial Rows'!F149,'Trial Rows'!$Y$2:$Y$201,'Trial Rows'!Y149,'Trial Rows'!$G$2:$G$201,"A",Calculations!$R$2:$R$201,"&gt;=0",Calculations!$R$2:$R$201,"&lt;&gt;")=1),SUMIFS(Calculations!$R$2:$R$201,'Trial Rows'!$B$2:$B$201,'Trial Rows'!B149,'Trial Rows'!$C$2:$C$201,'Trial Rows'!C149,'Trial Rows'!$F$2:$F$201,'Trial Rows'!F149,'Trial Rows'!$Y$2:$Y$201,'Trial Rows'!Y149,'Trial Rows'!$G$2:$G$201,"A"),"")</x:f>
      </x:c>
      <x:c r="J149" s="2" t="str">
        <x:f>IF(AND(A149&lt;&gt;"",COUNTIFS('Trial Rows'!$B$2:$B$201,'Trial Rows'!B149,'Trial Rows'!$C$2:$C$201,'Trial Rows'!C149,'Trial Rows'!$F$2:$F$201,'Trial Rows'!F149,'Trial Rows'!$Y$2:$Y$201,'Trial Rows'!Y149,'Trial Rows'!$G$2:$G$201,"B",Calculations!$R$2:$R$201,"&gt;=0",Calculations!$R$2:$R$201,"&lt;&gt;")=1),SUMIFS(Calculations!$R$2:$R$201,'Trial Rows'!$B$2:$B$201,'Trial Rows'!B149,'Trial Rows'!$C$2:$C$201,'Trial Rows'!C149,'Trial Rows'!$F$2:$F$201,'Trial Rows'!F149,'Trial Rows'!$Y$2:$Y$201,'Trial Rows'!Y149,'Trial Rows'!$G$2:$G$201,"B"),"")</x:f>
      </x:c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 t="str">
        <x:f>IF(AND(Calculations!B150=1,'Trial Rows'!G150="B",'Trial Rows'!I150=1,Calculations!D150=1),'Trial Rows'!C150,"")</x:f>
      </x:c>
      <x:c r="B150" s="2" t="str">
        <x:f>IF(A150="","",'Trial Rows'!B150)</x:f>
      </x:c>
      <x:c r="C150" s="2" t="str">
        <x:f>IF(A150="","",'Trial Rows'!F150)</x:f>
      </x:c>
      <x:c r="D150" s="2" t="str">
        <x:f>IF(A150="","",'Trial Rows'!H150)</x:f>
      </x:c>
      <x:c r="E150" s="2" t="str">
        <x:f>IF(A150="","",SUMIFS(Calculations!$F$2:$F$201,'Trial Rows'!$B$2:$B$201,'Trial Rows'!B150,'Trial Rows'!$C$2:$C$201,'Trial Rows'!C150,'Trial Rows'!$F$2:$F$201,'Trial Rows'!F150,'Trial Rows'!$Y$2:$Y$201,'Trial Rows'!Y150))</x:f>
      </x:c>
      <x:c r="F150" s="2" t="str">
        <x:f>IF(A150="","",SUMIFS(Calculations!$G$2:$G$201,'Trial Rows'!$B$2:$B$201,'Trial Rows'!B150,'Trial Rows'!$C$2:$C$201,'Trial Rows'!C150,'Trial Rows'!$F$2:$F$201,'Trial Rows'!F150,'Trial Rows'!$Y$2:$Y$201,'Trial Rows'!Y150))</x:f>
      </x:c>
      <x:c r="G150" s="7" t="str">
        <x:f>IF(OR(A150="",E150=0),"",F150/E150)</x:f>
      </x:c>
      <x:c r="H150" s="7" t="str">
        <x:f>IF(OR(A150="",SUMIFS(Calculations!$H$2:$H$201,'Trial Rows'!$B$2:$B$201,'Trial Rows'!B150,'Trial Rows'!$C$2:$C$201,'Trial Rows'!C150,'Trial Rows'!$F$2:$F$201,'Trial Rows'!F150,'Trial Rows'!$Y$2:$Y$201,'Trial Rows'!Y150)=0),"",SUMIFS(Calculations!$I$2:$I$201,'Trial Rows'!$B$2:$B$201,'Trial Rows'!B150,'Trial Rows'!$C$2:$C$201,'Trial Rows'!C150,'Trial Rows'!$F$2:$F$201,'Trial Rows'!F150,'Trial Rows'!$Y$2:$Y$201,'Trial Rows'!Y150)/SUMIFS(Calculations!$H$2:$H$201,'Trial Rows'!$B$2:$B$201,'Trial Rows'!B150,'Trial Rows'!$C$2:$C$201,'Trial Rows'!C150,'Trial Rows'!$F$2:$F$201,'Trial Rows'!F150,'Trial Rows'!$Y$2:$Y$201,'Trial Rows'!Y150))</x:f>
      </x:c>
      <x:c r="I150" s="2" t="str">
        <x:f>IF(AND(A150&lt;&gt;"",COUNTIFS('Trial Rows'!$B$2:$B$201,'Trial Rows'!B150,'Trial Rows'!$C$2:$C$201,'Trial Rows'!C150,'Trial Rows'!$F$2:$F$201,'Trial Rows'!F150,'Trial Rows'!$Y$2:$Y$201,'Trial Rows'!Y150,'Trial Rows'!$G$2:$G$201,"A",Calculations!$R$2:$R$201,"&gt;=0",Calculations!$R$2:$R$201,"&lt;&gt;")=1),SUMIFS(Calculations!$R$2:$R$201,'Trial Rows'!$B$2:$B$201,'Trial Rows'!B150,'Trial Rows'!$C$2:$C$201,'Trial Rows'!C150,'Trial Rows'!$F$2:$F$201,'Trial Rows'!F150,'Trial Rows'!$Y$2:$Y$201,'Trial Rows'!Y150,'Trial Rows'!$G$2:$G$201,"A"),"")</x:f>
      </x:c>
      <x:c r="J150" s="2" t="str">
        <x:f>IF(AND(A150&lt;&gt;"",COUNTIFS('Trial Rows'!$B$2:$B$201,'Trial Rows'!B150,'Trial Rows'!$C$2:$C$201,'Trial Rows'!C150,'Trial Rows'!$F$2:$F$201,'Trial Rows'!F150,'Trial Rows'!$Y$2:$Y$201,'Trial Rows'!Y150,'Trial Rows'!$G$2:$G$201,"B",Calculations!$R$2:$R$201,"&gt;=0",Calculations!$R$2:$R$201,"&lt;&gt;")=1),SUMIFS(Calculations!$R$2:$R$201,'Trial Rows'!$B$2:$B$201,'Trial Rows'!B150,'Trial Rows'!$C$2:$C$201,'Trial Rows'!C150,'Trial Rows'!$F$2:$F$201,'Trial Rows'!F150,'Trial Rows'!$Y$2:$Y$201,'Trial Rows'!Y150,'Trial Rows'!$G$2:$G$201,"B"),"")</x:f>
      </x:c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 t="str">
        <x:f>IF(AND(Calculations!B151=1,'Trial Rows'!G151="B",'Trial Rows'!I151=1,Calculations!D151=1),'Trial Rows'!C151,"")</x:f>
      </x:c>
      <x:c r="B151" s="2" t="str">
        <x:f>IF(A151="","",'Trial Rows'!B151)</x:f>
      </x:c>
      <x:c r="C151" s="2" t="str">
        <x:f>IF(A151="","",'Trial Rows'!F151)</x:f>
      </x:c>
      <x:c r="D151" s="2" t="str">
        <x:f>IF(A151="","",'Trial Rows'!H151)</x:f>
      </x:c>
      <x:c r="E151" s="2" t="str">
        <x:f>IF(A151="","",SUMIFS(Calculations!$F$2:$F$201,'Trial Rows'!$B$2:$B$201,'Trial Rows'!B151,'Trial Rows'!$C$2:$C$201,'Trial Rows'!C151,'Trial Rows'!$F$2:$F$201,'Trial Rows'!F151,'Trial Rows'!$Y$2:$Y$201,'Trial Rows'!Y151))</x:f>
      </x:c>
      <x:c r="F151" s="2" t="str">
        <x:f>IF(A151="","",SUMIFS(Calculations!$G$2:$G$201,'Trial Rows'!$B$2:$B$201,'Trial Rows'!B151,'Trial Rows'!$C$2:$C$201,'Trial Rows'!C151,'Trial Rows'!$F$2:$F$201,'Trial Rows'!F151,'Trial Rows'!$Y$2:$Y$201,'Trial Rows'!Y151))</x:f>
      </x:c>
      <x:c r="G151" s="7" t="str">
        <x:f>IF(OR(A151="",E151=0),"",F151/E151)</x:f>
      </x:c>
      <x:c r="H151" s="7" t="str">
        <x:f>IF(OR(A151="",SUMIFS(Calculations!$H$2:$H$201,'Trial Rows'!$B$2:$B$201,'Trial Rows'!B151,'Trial Rows'!$C$2:$C$201,'Trial Rows'!C151,'Trial Rows'!$F$2:$F$201,'Trial Rows'!F151,'Trial Rows'!$Y$2:$Y$201,'Trial Rows'!Y151)=0),"",SUMIFS(Calculations!$I$2:$I$201,'Trial Rows'!$B$2:$B$201,'Trial Rows'!B151,'Trial Rows'!$C$2:$C$201,'Trial Rows'!C151,'Trial Rows'!$F$2:$F$201,'Trial Rows'!F151,'Trial Rows'!$Y$2:$Y$201,'Trial Rows'!Y151)/SUMIFS(Calculations!$H$2:$H$201,'Trial Rows'!$B$2:$B$201,'Trial Rows'!B151,'Trial Rows'!$C$2:$C$201,'Trial Rows'!C151,'Trial Rows'!$F$2:$F$201,'Trial Rows'!F151,'Trial Rows'!$Y$2:$Y$201,'Trial Rows'!Y151))</x:f>
      </x:c>
      <x:c r="I151" s="2" t="str">
        <x:f>IF(AND(A151&lt;&gt;"",COUNTIFS('Trial Rows'!$B$2:$B$201,'Trial Rows'!B151,'Trial Rows'!$C$2:$C$201,'Trial Rows'!C151,'Trial Rows'!$F$2:$F$201,'Trial Rows'!F151,'Trial Rows'!$Y$2:$Y$201,'Trial Rows'!Y151,'Trial Rows'!$G$2:$G$201,"A",Calculations!$R$2:$R$201,"&gt;=0",Calculations!$R$2:$R$201,"&lt;&gt;")=1),SUMIFS(Calculations!$R$2:$R$201,'Trial Rows'!$B$2:$B$201,'Trial Rows'!B151,'Trial Rows'!$C$2:$C$201,'Trial Rows'!C151,'Trial Rows'!$F$2:$F$201,'Trial Rows'!F151,'Trial Rows'!$Y$2:$Y$201,'Trial Rows'!Y151,'Trial Rows'!$G$2:$G$201,"A"),"")</x:f>
      </x:c>
      <x:c r="J151" s="2" t="str">
        <x:f>IF(AND(A151&lt;&gt;"",COUNTIFS('Trial Rows'!$B$2:$B$201,'Trial Rows'!B151,'Trial Rows'!$C$2:$C$201,'Trial Rows'!C151,'Trial Rows'!$F$2:$F$201,'Trial Rows'!F151,'Trial Rows'!$Y$2:$Y$201,'Trial Rows'!Y151,'Trial Rows'!$G$2:$G$201,"B",Calculations!$R$2:$R$201,"&gt;=0",Calculations!$R$2:$R$201,"&lt;&gt;")=1),SUMIFS(Calculations!$R$2:$R$201,'Trial Rows'!$B$2:$B$201,'Trial Rows'!B151,'Trial Rows'!$C$2:$C$201,'Trial Rows'!C151,'Trial Rows'!$F$2:$F$201,'Trial Rows'!F151,'Trial Rows'!$Y$2:$Y$201,'Trial Rows'!Y151,'Trial Rows'!$G$2:$G$201,"B"),"")</x:f>
      </x:c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 t="str">
        <x:f>IF(AND(Calculations!B152=1,'Trial Rows'!G152="B",'Trial Rows'!I152=1,Calculations!D152=1),'Trial Rows'!C152,"")</x:f>
      </x:c>
      <x:c r="B152" s="2" t="str">
        <x:f>IF(A152="","",'Trial Rows'!B152)</x:f>
      </x:c>
      <x:c r="C152" s="2" t="str">
        <x:f>IF(A152="","",'Trial Rows'!F152)</x:f>
      </x:c>
      <x:c r="D152" s="2" t="str">
        <x:f>IF(A152="","",'Trial Rows'!H152)</x:f>
      </x:c>
      <x:c r="E152" s="2" t="str">
        <x:f>IF(A152="","",SUMIFS(Calculations!$F$2:$F$201,'Trial Rows'!$B$2:$B$201,'Trial Rows'!B152,'Trial Rows'!$C$2:$C$201,'Trial Rows'!C152,'Trial Rows'!$F$2:$F$201,'Trial Rows'!F152,'Trial Rows'!$Y$2:$Y$201,'Trial Rows'!Y152))</x:f>
      </x:c>
      <x:c r="F152" s="2" t="str">
        <x:f>IF(A152="","",SUMIFS(Calculations!$G$2:$G$201,'Trial Rows'!$B$2:$B$201,'Trial Rows'!B152,'Trial Rows'!$C$2:$C$201,'Trial Rows'!C152,'Trial Rows'!$F$2:$F$201,'Trial Rows'!F152,'Trial Rows'!$Y$2:$Y$201,'Trial Rows'!Y152))</x:f>
      </x:c>
      <x:c r="G152" s="7" t="str">
        <x:f>IF(OR(A152="",E152=0),"",F152/E152)</x:f>
      </x:c>
      <x:c r="H152" s="7" t="str">
        <x:f>IF(OR(A152="",SUMIFS(Calculations!$H$2:$H$201,'Trial Rows'!$B$2:$B$201,'Trial Rows'!B152,'Trial Rows'!$C$2:$C$201,'Trial Rows'!C152,'Trial Rows'!$F$2:$F$201,'Trial Rows'!F152,'Trial Rows'!$Y$2:$Y$201,'Trial Rows'!Y152)=0),"",SUMIFS(Calculations!$I$2:$I$201,'Trial Rows'!$B$2:$B$201,'Trial Rows'!B152,'Trial Rows'!$C$2:$C$201,'Trial Rows'!C152,'Trial Rows'!$F$2:$F$201,'Trial Rows'!F152,'Trial Rows'!$Y$2:$Y$201,'Trial Rows'!Y152)/SUMIFS(Calculations!$H$2:$H$201,'Trial Rows'!$B$2:$B$201,'Trial Rows'!B152,'Trial Rows'!$C$2:$C$201,'Trial Rows'!C152,'Trial Rows'!$F$2:$F$201,'Trial Rows'!F152,'Trial Rows'!$Y$2:$Y$201,'Trial Rows'!Y152))</x:f>
      </x:c>
      <x:c r="I152" s="2" t="str">
        <x:f>IF(AND(A152&lt;&gt;"",COUNTIFS('Trial Rows'!$B$2:$B$201,'Trial Rows'!B152,'Trial Rows'!$C$2:$C$201,'Trial Rows'!C152,'Trial Rows'!$F$2:$F$201,'Trial Rows'!F152,'Trial Rows'!$Y$2:$Y$201,'Trial Rows'!Y152,'Trial Rows'!$G$2:$G$201,"A",Calculations!$R$2:$R$201,"&gt;=0",Calculations!$R$2:$R$201,"&lt;&gt;")=1),SUMIFS(Calculations!$R$2:$R$201,'Trial Rows'!$B$2:$B$201,'Trial Rows'!B152,'Trial Rows'!$C$2:$C$201,'Trial Rows'!C152,'Trial Rows'!$F$2:$F$201,'Trial Rows'!F152,'Trial Rows'!$Y$2:$Y$201,'Trial Rows'!Y152,'Trial Rows'!$G$2:$G$201,"A"),"")</x:f>
      </x:c>
      <x:c r="J152" s="2" t="str">
        <x:f>IF(AND(A152&lt;&gt;"",COUNTIFS('Trial Rows'!$B$2:$B$201,'Trial Rows'!B152,'Trial Rows'!$C$2:$C$201,'Trial Rows'!C152,'Trial Rows'!$F$2:$F$201,'Trial Rows'!F152,'Trial Rows'!$Y$2:$Y$201,'Trial Rows'!Y152,'Trial Rows'!$G$2:$G$201,"B",Calculations!$R$2:$R$201,"&gt;=0",Calculations!$R$2:$R$201,"&lt;&gt;")=1),SUMIFS(Calculations!$R$2:$R$201,'Trial Rows'!$B$2:$B$201,'Trial Rows'!B152,'Trial Rows'!$C$2:$C$201,'Trial Rows'!C152,'Trial Rows'!$F$2:$F$201,'Trial Rows'!F152,'Trial Rows'!$Y$2:$Y$201,'Trial Rows'!Y152,'Trial Rows'!$G$2:$G$201,"B"),"")</x:f>
      </x:c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 t="str">
        <x:f>IF(AND(Calculations!B153=1,'Trial Rows'!G153="B",'Trial Rows'!I153=1,Calculations!D153=1),'Trial Rows'!C153,"")</x:f>
      </x:c>
      <x:c r="B153" s="2" t="str">
        <x:f>IF(A153="","",'Trial Rows'!B153)</x:f>
      </x:c>
      <x:c r="C153" s="2" t="str">
        <x:f>IF(A153="","",'Trial Rows'!F153)</x:f>
      </x:c>
      <x:c r="D153" s="2" t="str">
        <x:f>IF(A153="","",'Trial Rows'!H153)</x:f>
      </x:c>
      <x:c r="E153" s="2" t="str">
        <x:f>IF(A153="","",SUMIFS(Calculations!$F$2:$F$201,'Trial Rows'!$B$2:$B$201,'Trial Rows'!B153,'Trial Rows'!$C$2:$C$201,'Trial Rows'!C153,'Trial Rows'!$F$2:$F$201,'Trial Rows'!F153,'Trial Rows'!$Y$2:$Y$201,'Trial Rows'!Y153))</x:f>
      </x:c>
      <x:c r="F153" s="2" t="str">
        <x:f>IF(A153="","",SUMIFS(Calculations!$G$2:$G$201,'Trial Rows'!$B$2:$B$201,'Trial Rows'!B153,'Trial Rows'!$C$2:$C$201,'Trial Rows'!C153,'Trial Rows'!$F$2:$F$201,'Trial Rows'!F153,'Trial Rows'!$Y$2:$Y$201,'Trial Rows'!Y153))</x:f>
      </x:c>
      <x:c r="G153" s="7" t="str">
        <x:f>IF(OR(A153="",E153=0),"",F153/E153)</x:f>
      </x:c>
      <x:c r="H153" s="7" t="str">
        <x:f>IF(OR(A153="",SUMIFS(Calculations!$H$2:$H$201,'Trial Rows'!$B$2:$B$201,'Trial Rows'!B153,'Trial Rows'!$C$2:$C$201,'Trial Rows'!C153,'Trial Rows'!$F$2:$F$201,'Trial Rows'!F153,'Trial Rows'!$Y$2:$Y$201,'Trial Rows'!Y153)=0),"",SUMIFS(Calculations!$I$2:$I$201,'Trial Rows'!$B$2:$B$201,'Trial Rows'!B153,'Trial Rows'!$C$2:$C$201,'Trial Rows'!C153,'Trial Rows'!$F$2:$F$201,'Trial Rows'!F153,'Trial Rows'!$Y$2:$Y$201,'Trial Rows'!Y153)/SUMIFS(Calculations!$H$2:$H$201,'Trial Rows'!$B$2:$B$201,'Trial Rows'!B153,'Trial Rows'!$C$2:$C$201,'Trial Rows'!C153,'Trial Rows'!$F$2:$F$201,'Trial Rows'!F153,'Trial Rows'!$Y$2:$Y$201,'Trial Rows'!Y153))</x:f>
      </x:c>
      <x:c r="I153" s="2" t="str">
        <x:f>IF(AND(A153&lt;&gt;"",COUNTIFS('Trial Rows'!$B$2:$B$201,'Trial Rows'!B153,'Trial Rows'!$C$2:$C$201,'Trial Rows'!C153,'Trial Rows'!$F$2:$F$201,'Trial Rows'!F153,'Trial Rows'!$Y$2:$Y$201,'Trial Rows'!Y153,'Trial Rows'!$G$2:$G$201,"A",Calculations!$R$2:$R$201,"&gt;=0",Calculations!$R$2:$R$201,"&lt;&gt;")=1),SUMIFS(Calculations!$R$2:$R$201,'Trial Rows'!$B$2:$B$201,'Trial Rows'!B153,'Trial Rows'!$C$2:$C$201,'Trial Rows'!C153,'Trial Rows'!$F$2:$F$201,'Trial Rows'!F153,'Trial Rows'!$Y$2:$Y$201,'Trial Rows'!Y153,'Trial Rows'!$G$2:$G$201,"A"),"")</x:f>
      </x:c>
      <x:c r="J153" s="2" t="str">
        <x:f>IF(AND(A153&lt;&gt;"",COUNTIFS('Trial Rows'!$B$2:$B$201,'Trial Rows'!B153,'Trial Rows'!$C$2:$C$201,'Trial Rows'!C153,'Trial Rows'!$F$2:$F$201,'Trial Rows'!F153,'Trial Rows'!$Y$2:$Y$201,'Trial Rows'!Y153,'Trial Rows'!$G$2:$G$201,"B",Calculations!$R$2:$R$201,"&gt;=0",Calculations!$R$2:$R$201,"&lt;&gt;")=1),SUMIFS(Calculations!$R$2:$R$201,'Trial Rows'!$B$2:$B$201,'Trial Rows'!B153,'Trial Rows'!$C$2:$C$201,'Trial Rows'!C153,'Trial Rows'!$F$2:$F$201,'Trial Rows'!F153,'Trial Rows'!$Y$2:$Y$201,'Trial Rows'!Y153,'Trial Rows'!$G$2:$G$201,"B"),"")</x:f>
      </x:c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 t="str">
        <x:f>IF(AND(Calculations!B154=1,'Trial Rows'!G154="B",'Trial Rows'!I154=1,Calculations!D154=1),'Trial Rows'!C154,"")</x:f>
      </x:c>
      <x:c r="B154" s="2" t="str">
        <x:f>IF(A154="","",'Trial Rows'!B154)</x:f>
      </x:c>
      <x:c r="C154" s="2" t="str">
        <x:f>IF(A154="","",'Trial Rows'!F154)</x:f>
      </x:c>
      <x:c r="D154" s="2" t="str">
        <x:f>IF(A154="","",'Trial Rows'!H154)</x:f>
      </x:c>
      <x:c r="E154" s="2" t="str">
        <x:f>IF(A154="","",SUMIFS(Calculations!$F$2:$F$201,'Trial Rows'!$B$2:$B$201,'Trial Rows'!B154,'Trial Rows'!$C$2:$C$201,'Trial Rows'!C154,'Trial Rows'!$F$2:$F$201,'Trial Rows'!F154,'Trial Rows'!$Y$2:$Y$201,'Trial Rows'!Y154))</x:f>
      </x:c>
      <x:c r="F154" s="2" t="str">
        <x:f>IF(A154="","",SUMIFS(Calculations!$G$2:$G$201,'Trial Rows'!$B$2:$B$201,'Trial Rows'!B154,'Trial Rows'!$C$2:$C$201,'Trial Rows'!C154,'Trial Rows'!$F$2:$F$201,'Trial Rows'!F154,'Trial Rows'!$Y$2:$Y$201,'Trial Rows'!Y154))</x:f>
      </x:c>
      <x:c r="G154" s="7" t="str">
        <x:f>IF(OR(A154="",E154=0),"",F154/E154)</x:f>
      </x:c>
      <x:c r="H154" s="7" t="str">
        <x:f>IF(OR(A154="",SUMIFS(Calculations!$H$2:$H$201,'Trial Rows'!$B$2:$B$201,'Trial Rows'!B154,'Trial Rows'!$C$2:$C$201,'Trial Rows'!C154,'Trial Rows'!$F$2:$F$201,'Trial Rows'!F154,'Trial Rows'!$Y$2:$Y$201,'Trial Rows'!Y154)=0),"",SUMIFS(Calculations!$I$2:$I$201,'Trial Rows'!$B$2:$B$201,'Trial Rows'!B154,'Trial Rows'!$C$2:$C$201,'Trial Rows'!C154,'Trial Rows'!$F$2:$F$201,'Trial Rows'!F154,'Trial Rows'!$Y$2:$Y$201,'Trial Rows'!Y154)/SUMIFS(Calculations!$H$2:$H$201,'Trial Rows'!$B$2:$B$201,'Trial Rows'!B154,'Trial Rows'!$C$2:$C$201,'Trial Rows'!C154,'Trial Rows'!$F$2:$F$201,'Trial Rows'!F154,'Trial Rows'!$Y$2:$Y$201,'Trial Rows'!Y154))</x:f>
      </x:c>
      <x:c r="I154" s="2" t="str">
        <x:f>IF(AND(A154&lt;&gt;"",COUNTIFS('Trial Rows'!$B$2:$B$201,'Trial Rows'!B154,'Trial Rows'!$C$2:$C$201,'Trial Rows'!C154,'Trial Rows'!$F$2:$F$201,'Trial Rows'!F154,'Trial Rows'!$Y$2:$Y$201,'Trial Rows'!Y154,'Trial Rows'!$G$2:$G$201,"A",Calculations!$R$2:$R$201,"&gt;=0",Calculations!$R$2:$R$201,"&lt;&gt;")=1),SUMIFS(Calculations!$R$2:$R$201,'Trial Rows'!$B$2:$B$201,'Trial Rows'!B154,'Trial Rows'!$C$2:$C$201,'Trial Rows'!C154,'Trial Rows'!$F$2:$F$201,'Trial Rows'!F154,'Trial Rows'!$Y$2:$Y$201,'Trial Rows'!Y154,'Trial Rows'!$G$2:$G$201,"A"),"")</x:f>
      </x:c>
      <x:c r="J154" s="2" t="str">
        <x:f>IF(AND(A154&lt;&gt;"",COUNTIFS('Trial Rows'!$B$2:$B$201,'Trial Rows'!B154,'Trial Rows'!$C$2:$C$201,'Trial Rows'!C154,'Trial Rows'!$F$2:$F$201,'Trial Rows'!F154,'Trial Rows'!$Y$2:$Y$201,'Trial Rows'!Y154,'Trial Rows'!$G$2:$G$201,"B",Calculations!$R$2:$R$201,"&gt;=0",Calculations!$R$2:$R$201,"&lt;&gt;")=1),SUMIFS(Calculations!$R$2:$R$201,'Trial Rows'!$B$2:$B$201,'Trial Rows'!B154,'Trial Rows'!$C$2:$C$201,'Trial Rows'!C154,'Trial Rows'!$F$2:$F$201,'Trial Rows'!F154,'Trial Rows'!$Y$2:$Y$201,'Trial Rows'!Y154,'Trial Rows'!$G$2:$G$201,"B"),"")</x:f>
      </x:c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 t="str">
        <x:f>IF(AND(Calculations!B155=1,'Trial Rows'!G155="B",'Trial Rows'!I155=1,Calculations!D155=1),'Trial Rows'!C155,"")</x:f>
      </x:c>
      <x:c r="B155" s="2" t="str">
        <x:f>IF(A155="","",'Trial Rows'!B155)</x:f>
      </x:c>
      <x:c r="C155" s="2" t="str">
        <x:f>IF(A155="","",'Trial Rows'!F155)</x:f>
      </x:c>
      <x:c r="D155" s="2" t="str">
        <x:f>IF(A155="","",'Trial Rows'!H155)</x:f>
      </x:c>
      <x:c r="E155" s="2" t="str">
        <x:f>IF(A155="","",SUMIFS(Calculations!$F$2:$F$201,'Trial Rows'!$B$2:$B$201,'Trial Rows'!B155,'Trial Rows'!$C$2:$C$201,'Trial Rows'!C155,'Trial Rows'!$F$2:$F$201,'Trial Rows'!F155,'Trial Rows'!$Y$2:$Y$201,'Trial Rows'!Y155))</x:f>
      </x:c>
      <x:c r="F155" s="2" t="str">
        <x:f>IF(A155="","",SUMIFS(Calculations!$G$2:$G$201,'Trial Rows'!$B$2:$B$201,'Trial Rows'!B155,'Trial Rows'!$C$2:$C$201,'Trial Rows'!C155,'Trial Rows'!$F$2:$F$201,'Trial Rows'!F155,'Trial Rows'!$Y$2:$Y$201,'Trial Rows'!Y155))</x:f>
      </x:c>
      <x:c r="G155" s="7" t="str">
        <x:f>IF(OR(A155="",E155=0),"",F155/E155)</x:f>
      </x:c>
      <x:c r="H155" s="7" t="str">
        <x:f>IF(OR(A155="",SUMIFS(Calculations!$H$2:$H$201,'Trial Rows'!$B$2:$B$201,'Trial Rows'!B155,'Trial Rows'!$C$2:$C$201,'Trial Rows'!C155,'Trial Rows'!$F$2:$F$201,'Trial Rows'!F155,'Trial Rows'!$Y$2:$Y$201,'Trial Rows'!Y155)=0),"",SUMIFS(Calculations!$I$2:$I$201,'Trial Rows'!$B$2:$B$201,'Trial Rows'!B155,'Trial Rows'!$C$2:$C$201,'Trial Rows'!C155,'Trial Rows'!$F$2:$F$201,'Trial Rows'!F155,'Trial Rows'!$Y$2:$Y$201,'Trial Rows'!Y155)/SUMIFS(Calculations!$H$2:$H$201,'Trial Rows'!$B$2:$B$201,'Trial Rows'!B155,'Trial Rows'!$C$2:$C$201,'Trial Rows'!C155,'Trial Rows'!$F$2:$F$201,'Trial Rows'!F155,'Trial Rows'!$Y$2:$Y$201,'Trial Rows'!Y155))</x:f>
      </x:c>
      <x:c r="I155" s="2" t="str">
        <x:f>IF(AND(A155&lt;&gt;"",COUNTIFS('Trial Rows'!$B$2:$B$201,'Trial Rows'!B155,'Trial Rows'!$C$2:$C$201,'Trial Rows'!C155,'Trial Rows'!$F$2:$F$201,'Trial Rows'!F155,'Trial Rows'!$Y$2:$Y$201,'Trial Rows'!Y155,'Trial Rows'!$G$2:$G$201,"A",Calculations!$R$2:$R$201,"&gt;=0",Calculations!$R$2:$R$201,"&lt;&gt;")=1),SUMIFS(Calculations!$R$2:$R$201,'Trial Rows'!$B$2:$B$201,'Trial Rows'!B155,'Trial Rows'!$C$2:$C$201,'Trial Rows'!C155,'Trial Rows'!$F$2:$F$201,'Trial Rows'!F155,'Trial Rows'!$Y$2:$Y$201,'Trial Rows'!Y155,'Trial Rows'!$G$2:$G$201,"A"),"")</x:f>
      </x:c>
      <x:c r="J155" s="2" t="str">
        <x:f>IF(AND(A155&lt;&gt;"",COUNTIFS('Trial Rows'!$B$2:$B$201,'Trial Rows'!B155,'Trial Rows'!$C$2:$C$201,'Trial Rows'!C155,'Trial Rows'!$F$2:$F$201,'Trial Rows'!F155,'Trial Rows'!$Y$2:$Y$201,'Trial Rows'!Y155,'Trial Rows'!$G$2:$G$201,"B",Calculations!$R$2:$R$201,"&gt;=0",Calculations!$R$2:$R$201,"&lt;&gt;")=1),SUMIFS(Calculations!$R$2:$R$201,'Trial Rows'!$B$2:$B$201,'Trial Rows'!B155,'Trial Rows'!$C$2:$C$201,'Trial Rows'!C155,'Trial Rows'!$F$2:$F$201,'Trial Rows'!F155,'Trial Rows'!$Y$2:$Y$201,'Trial Rows'!Y155,'Trial Rows'!$G$2:$G$201,"B"),"")</x:f>
      </x:c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 t="str">
        <x:f>IF(AND(Calculations!B156=1,'Trial Rows'!G156="B",'Trial Rows'!I156=1,Calculations!D156=1),'Trial Rows'!C156,"")</x:f>
      </x:c>
      <x:c r="B156" s="2" t="str">
        <x:f>IF(A156="","",'Trial Rows'!B156)</x:f>
      </x:c>
      <x:c r="C156" s="2" t="str">
        <x:f>IF(A156="","",'Trial Rows'!F156)</x:f>
      </x:c>
      <x:c r="D156" s="2" t="str">
        <x:f>IF(A156="","",'Trial Rows'!H156)</x:f>
      </x:c>
      <x:c r="E156" s="2" t="str">
        <x:f>IF(A156="","",SUMIFS(Calculations!$F$2:$F$201,'Trial Rows'!$B$2:$B$201,'Trial Rows'!B156,'Trial Rows'!$C$2:$C$201,'Trial Rows'!C156,'Trial Rows'!$F$2:$F$201,'Trial Rows'!F156,'Trial Rows'!$Y$2:$Y$201,'Trial Rows'!Y156))</x:f>
      </x:c>
      <x:c r="F156" s="2" t="str">
        <x:f>IF(A156="","",SUMIFS(Calculations!$G$2:$G$201,'Trial Rows'!$B$2:$B$201,'Trial Rows'!B156,'Trial Rows'!$C$2:$C$201,'Trial Rows'!C156,'Trial Rows'!$F$2:$F$201,'Trial Rows'!F156,'Trial Rows'!$Y$2:$Y$201,'Trial Rows'!Y156))</x:f>
      </x:c>
      <x:c r="G156" s="7" t="str">
        <x:f>IF(OR(A156="",E156=0),"",F156/E156)</x:f>
      </x:c>
      <x:c r="H156" s="7" t="str">
        <x:f>IF(OR(A156="",SUMIFS(Calculations!$H$2:$H$201,'Trial Rows'!$B$2:$B$201,'Trial Rows'!B156,'Trial Rows'!$C$2:$C$201,'Trial Rows'!C156,'Trial Rows'!$F$2:$F$201,'Trial Rows'!F156,'Trial Rows'!$Y$2:$Y$201,'Trial Rows'!Y156)=0),"",SUMIFS(Calculations!$I$2:$I$201,'Trial Rows'!$B$2:$B$201,'Trial Rows'!B156,'Trial Rows'!$C$2:$C$201,'Trial Rows'!C156,'Trial Rows'!$F$2:$F$201,'Trial Rows'!F156,'Trial Rows'!$Y$2:$Y$201,'Trial Rows'!Y156)/SUMIFS(Calculations!$H$2:$H$201,'Trial Rows'!$B$2:$B$201,'Trial Rows'!B156,'Trial Rows'!$C$2:$C$201,'Trial Rows'!C156,'Trial Rows'!$F$2:$F$201,'Trial Rows'!F156,'Trial Rows'!$Y$2:$Y$201,'Trial Rows'!Y156))</x:f>
      </x:c>
      <x:c r="I156" s="2" t="str">
        <x:f>IF(AND(A156&lt;&gt;"",COUNTIFS('Trial Rows'!$B$2:$B$201,'Trial Rows'!B156,'Trial Rows'!$C$2:$C$201,'Trial Rows'!C156,'Trial Rows'!$F$2:$F$201,'Trial Rows'!F156,'Trial Rows'!$Y$2:$Y$201,'Trial Rows'!Y156,'Trial Rows'!$G$2:$G$201,"A",Calculations!$R$2:$R$201,"&gt;=0",Calculations!$R$2:$R$201,"&lt;&gt;")=1),SUMIFS(Calculations!$R$2:$R$201,'Trial Rows'!$B$2:$B$201,'Trial Rows'!B156,'Trial Rows'!$C$2:$C$201,'Trial Rows'!C156,'Trial Rows'!$F$2:$F$201,'Trial Rows'!F156,'Trial Rows'!$Y$2:$Y$201,'Trial Rows'!Y156,'Trial Rows'!$G$2:$G$201,"A"),"")</x:f>
      </x:c>
      <x:c r="J156" s="2" t="str">
        <x:f>IF(AND(A156&lt;&gt;"",COUNTIFS('Trial Rows'!$B$2:$B$201,'Trial Rows'!B156,'Trial Rows'!$C$2:$C$201,'Trial Rows'!C156,'Trial Rows'!$F$2:$F$201,'Trial Rows'!F156,'Trial Rows'!$Y$2:$Y$201,'Trial Rows'!Y156,'Trial Rows'!$G$2:$G$201,"B",Calculations!$R$2:$R$201,"&gt;=0",Calculations!$R$2:$R$201,"&lt;&gt;")=1),SUMIFS(Calculations!$R$2:$R$201,'Trial Rows'!$B$2:$B$201,'Trial Rows'!B156,'Trial Rows'!$C$2:$C$201,'Trial Rows'!C156,'Trial Rows'!$F$2:$F$201,'Trial Rows'!F156,'Trial Rows'!$Y$2:$Y$201,'Trial Rows'!Y156,'Trial Rows'!$G$2:$G$201,"B"),"")</x:f>
      </x:c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 t="str">
        <x:f>IF(AND(Calculations!B157=1,'Trial Rows'!G157="B",'Trial Rows'!I157=1,Calculations!D157=1),'Trial Rows'!C157,"")</x:f>
      </x:c>
      <x:c r="B157" s="2" t="str">
        <x:f>IF(A157="","",'Trial Rows'!B157)</x:f>
      </x:c>
      <x:c r="C157" s="2" t="str">
        <x:f>IF(A157="","",'Trial Rows'!F157)</x:f>
      </x:c>
      <x:c r="D157" s="2" t="str">
        <x:f>IF(A157="","",'Trial Rows'!H157)</x:f>
      </x:c>
      <x:c r="E157" s="2" t="str">
        <x:f>IF(A157="","",SUMIFS(Calculations!$F$2:$F$201,'Trial Rows'!$B$2:$B$201,'Trial Rows'!B157,'Trial Rows'!$C$2:$C$201,'Trial Rows'!C157,'Trial Rows'!$F$2:$F$201,'Trial Rows'!F157,'Trial Rows'!$Y$2:$Y$201,'Trial Rows'!Y157))</x:f>
      </x:c>
      <x:c r="F157" s="2" t="str">
        <x:f>IF(A157="","",SUMIFS(Calculations!$G$2:$G$201,'Trial Rows'!$B$2:$B$201,'Trial Rows'!B157,'Trial Rows'!$C$2:$C$201,'Trial Rows'!C157,'Trial Rows'!$F$2:$F$201,'Trial Rows'!F157,'Trial Rows'!$Y$2:$Y$201,'Trial Rows'!Y157))</x:f>
      </x:c>
      <x:c r="G157" s="7" t="str">
        <x:f>IF(OR(A157="",E157=0),"",F157/E157)</x:f>
      </x:c>
      <x:c r="H157" s="7" t="str">
        <x:f>IF(OR(A157="",SUMIFS(Calculations!$H$2:$H$201,'Trial Rows'!$B$2:$B$201,'Trial Rows'!B157,'Trial Rows'!$C$2:$C$201,'Trial Rows'!C157,'Trial Rows'!$F$2:$F$201,'Trial Rows'!F157,'Trial Rows'!$Y$2:$Y$201,'Trial Rows'!Y157)=0),"",SUMIFS(Calculations!$I$2:$I$201,'Trial Rows'!$B$2:$B$201,'Trial Rows'!B157,'Trial Rows'!$C$2:$C$201,'Trial Rows'!C157,'Trial Rows'!$F$2:$F$201,'Trial Rows'!F157,'Trial Rows'!$Y$2:$Y$201,'Trial Rows'!Y157)/SUMIFS(Calculations!$H$2:$H$201,'Trial Rows'!$B$2:$B$201,'Trial Rows'!B157,'Trial Rows'!$C$2:$C$201,'Trial Rows'!C157,'Trial Rows'!$F$2:$F$201,'Trial Rows'!F157,'Trial Rows'!$Y$2:$Y$201,'Trial Rows'!Y157))</x:f>
      </x:c>
      <x:c r="I157" s="2" t="str">
        <x:f>IF(AND(A157&lt;&gt;"",COUNTIFS('Trial Rows'!$B$2:$B$201,'Trial Rows'!B157,'Trial Rows'!$C$2:$C$201,'Trial Rows'!C157,'Trial Rows'!$F$2:$F$201,'Trial Rows'!F157,'Trial Rows'!$Y$2:$Y$201,'Trial Rows'!Y157,'Trial Rows'!$G$2:$G$201,"A",Calculations!$R$2:$R$201,"&gt;=0",Calculations!$R$2:$R$201,"&lt;&gt;")=1),SUMIFS(Calculations!$R$2:$R$201,'Trial Rows'!$B$2:$B$201,'Trial Rows'!B157,'Trial Rows'!$C$2:$C$201,'Trial Rows'!C157,'Trial Rows'!$F$2:$F$201,'Trial Rows'!F157,'Trial Rows'!$Y$2:$Y$201,'Trial Rows'!Y157,'Trial Rows'!$G$2:$G$201,"A"),"")</x:f>
      </x:c>
      <x:c r="J157" s="2" t="str">
        <x:f>IF(AND(A157&lt;&gt;"",COUNTIFS('Trial Rows'!$B$2:$B$201,'Trial Rows'!B157,'Trial Rows'!$C$2:$C$201,'Trial Rows'!C157,'Trial Rows'!$F$2:$F$201,'Trial Rows'!F157,'Trial Rows'!$Y$2:$Y$201,'Trial Rows'!Y157,'Trial Rows'!$G$2:$G$201,"B",Calculations!$R$2:$R$201,"&gt;=0",Calculations!$R$2:$R$201,"&lt;&gt;")=1),SUMIFS(Calculations!$R$2:$R$201,'Trial Rows'!$B$2:$B$201,'Trial Rows'!B157,'Trial Rows'!$C$2:$C$201,'Trial Rows'!C157,'Trial Rows'!$F$2:$F$201,'Trial Rows'!F157,'Trial Rows'!$Y$2:$Y$201,'Trial Rows'!Y157,'Trial Rows'!$G$2:$G$201,"B"),"")</x:f>
      </x:c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 t="str">
        <x:f>IF(AND(Calculations!B158=1,'Trial Rows'!G158="B",'Trial Rows'!I158=1,Calculations!D158=1),'Trial Rows'!C158,"")</x:f>
      </x:c>
      <x:c r="B158" s="2" t="str">
        <x:f>IF(A158="","",'Trial Rows'!B158)</x:f>
      </x:c>
      <x:c r="C158" s="2" t="str">
        <x:f>IF(A158="","",'Trial Rows'!F158)</x:f>
      </x:c>
      <x:c r="D158" s="2" t="str">
        <x:f>IF(A158="","",'Trial Rows'!H158)</x:f>
      </x:c>
      <x:c r="E158" s="2" t="str">
        <x:f>IF(A158="","",SUMIFS(Calculations!$F$2:$F$201,'Trial Rows'!$B$2:$B$201,'Trial Rows'!B158,'Trial Rows'!$C$2:$C$201,'Trial Rows'!C158,'Trial Rows'!$F$2:$F$201,'Trial Rows'!F158,'Trial Rows'!$Y$2:$Y$201,'Trial Rows'!Y158))</x:f>
      </x:c>
      <x:c r="F158" s="2" t="str">
        <x:f>IF(A158="","",SUMIFS(Calculations!$G$2:$G$201,'Trial Rows'!$B$2:$B$201,'Trial Rows'!B158,'Trial Rows'!$C$2:$C$201,'Trial Rows'!C158,'Trial Rows'!$F$2:$F$201,'Trial Rows'!F158,'Trial Rows'!$Y$2:$Y$201,'Trial Rows'!Y158))</x:f>
      </x:c>
      <x:c r="G158" s="7" t="str">
        <x:f>IF(OR(A158="",E158=0),"",F158/E158)</x:f>
      </x:c>
      <x:c r="H158" s="7" t="str">
        <x:f>IF(OR(A158="",SUMIFS(Calculations!$H$2:$H$201,'Trial Rows'!$B$2:$B$201,'Trial Rows'!B158,'Trial Rows'!$C$2:$C$201,'Trial Rows'!C158,'Trial Rows'!$F$2:$F$201,'Trial Rows'!F158,'Trial Rows'!$Y$2:$Y$201,'Trial Rows'!Y158)=0),"",SUMIFS(Calculations!$I$2:$I$201,'Trial Rows'!$B$2:$B$201,'Trial Rows'!B158,'Trial Rows'!$C$2:$C$201,'Trial Rows'!C158,'Trial Rows'!$F$2:$F$201,'Trial Rows'!F158,'Trial Rows'!$Y$2:$Y$201,'Trial Rows'!Y158)/SUMIFS(Calculations!$H$2:$H$201,'Trial Rows'!$B$2:$B$201,'Trial Rows'!B158,'Trial Rows'!$C$2:$C$201,'Trial Rows'!C158,'Trial Rows'!$F$2:$F$201,'Trial Rows'!F158,'Trial Rows'!$Y$2:$Y$201,'Trial Rows'!Y158))</x:f>
      </x:c>
      <x:c r="I158" s="2" t="str">
        <x:f>IF(AND(A158&lt;&gt;"",COUNTIFS('Trial Rows'!$B$2:$B$201,'Trial Rows'!B158,'Trial Rows'!$C$2:$C$201,'Trial Rows'!C158,'Trial Rows'!$F$2:$F$201,'Trial Rows'!F158,'Trial Rows'!$Y$2:$Y$201,'Trial Rows'!Y158,'Trial Rows'!$G$2:$G$201,"A",Calculations!$R$2:$R$201,"&gt;=0",Calculations!$R$2:$R$201,"&lt;&gt;")=1),SUMIFS(Calculations!$R$2:$R$201,'Trial Rows'!$B$2:$B$201,'Trial Rows'!B158,'Trial Rows'!$C$2:$C$201,'Trial Rows'!C158,'Trial Rows'!$F$2:$F$201,'Trial Rows'!F158,'Trial Rows'!$Y$2:$Y$201,'Trial Rows'!Y158,'Trial Rows'!$G$2:$G$201,"A"),"")</x:f>
      </x:c>
      <x:c r="J158" s="2" t="str">
        <x:f>IF(AND(A158&lt;&gt;"",COUNTIFS('Trial Rows'!$B$2:$B$201,'Trial Rows'!B158,'Trial Rows'!$C$2:$C$201,'Trial Rows'!C158,'Trial Rows'!$F$2:$F$201,'Trial Rows'!F158,'Trial Rows'!$Y$2:$Y$201,'Trial Rows'!Y158,'Trial Rows'!$G$2:$G$201,"B",Calculations!$R$2:$R$201,"&gt;=0",Calculations!$R$2:$R$201,"&lt;&gt;")=1),SUMIFS(Calculations!$R$2:$R$201,'Trial Rows'!$B$2:$B$201,'Trial Rows'!B158,'Trial Rows'!$C$2:$C$201,'Trial Rows'!C158,'Trial Rows'!$F$2:$F$201,'Trial Rows'!F158,'Trial Rows'!$Y$2:$Y$201,'Trial Rows'!Y158,'Trial Rows'!$G$2:$G$201,"B"),"")</x:f>
      </x:c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 t="str">
        <x:f>IF(AND(Calculations!B159=1,'Trial Rows'!G159="B",'Trial Rows'!I159=1,Calculations!D159=1),'Trial Rows'!C159,"")</x:f>
      </x:c>
      <x:c r="B159" s="2" t="str">
        <x:f>IF(A159="","",'Trial Rows'!B159)</x:f>
      </x:c>
      <x:c r="C159" s="2" t="str">
        <x:f>IF(A159="","",'Trial Rows'!F159)</x:f>
      </x:c>
      <x:c r="D159" s="2" t="str">
        <x:f>IF(A159="","",'Trial Rows'!H159)</x:f>
      </x:c>
      <x:c r="E159" s="2" t="str">
        <x:f>IF(A159="","",SUMIFS(Calculations!$F$2:$F$201,'Trial Rows'!$B$2:$B$201,'Trial Rows'!B159,'Trial Rows'!$C$2:$C$201,'Trial Rows'!C159,'Trial Rows'!$F$2:$F$201,'Trial Rows'!F159,'Trial Rows'!$Y$2:$Y$201,'Trial Rows'!Y159))</x:f>
      </x:c>
      <x:c r="F159" s="2" t="str">
        <x:f>IF(A159="","",SUMIFS(Calculations!$G$2:$G$201,'Trial Rows'!$B$2:$B$201,'Trial Rows'!B159,'Trial Rows'!$C$2:$C$201,'Trial Rows'!C159,'Trial Rows'!$F$2:$F$201,'Trial Rows'!F159,'Trial Rows'!$Y$2:$Y$201,'Trial Rows'!Y159))</x:f>
      </x:c>
      <x:c r="G159" s="7" t="str">
        <x:f>IF(OR(A159="",E159=0),"",F159/E159)</x:f>
      </x:c>
      <x:c r="H159" s="7" t="str">
        <x:f>IF(OR(A159="",SUMIFS(Calculations!$H$2:$H$201,'Trial Rows'!$B$2:$B$201,'Trial Rows'!B159,'Trial Rows'!$C$2:$C$201,'Trial Rows'!C159,'Trial Rows'!$F$2:$F$201,'Trial Rows'!F159,'Trial Rows'!$Y$2:$Y$201,'Trial Rows'!Y159)=0),"",SUMIFS(Calculations!$I$2:$I$201,'Trial Rows'!$B$2:$B$201,'Trial Rows'!B159,'Trial Rows'!$C$2:$C$201,'Trial Rows'!C159,'Trial Rows'!$F$2:$F$201,'Trial Rows'!F159,'Trial Rows'!$Y$2:$Y$201,'Trial Rows'!Y159)/SUMIFS(Calculations!$H$2:$H$201,'Trial Rows'!$B$2:$B$201,'Trial Rows'!B159,'Trial Rows'!$C$2:$C$201,'Trial Rows'!C159,'Trial Rows'!$F$2:$F$201,'Trial Rows'!F159,'Trial Rows'!$Y$2:$Y$201,'Trial Rows'!Y159))</x:f>
      </x:c>
      <x:c r="I159" s="2" t="str">
        <x:f>IF(AND(A159&lt;&gt;"",COUNTIFS('Trial Rows'!$B$2:$B$201,'Trial Rows'!B159,'Trial Rows'!$C$2:$C$201,'Trial Rows'!C159,'Trial Rows'!$F$2:$F$201,'Trial Rows'!F159,'Trial Rows'!$Y$2:$Y$201,'Trial Rows'!Y159,'Trial Rows'!$G$2:$G$201,"A",Calculations!$R$2:$R$201,"&gt;=0",Calculations!$R$2:$R$201,"&lt;&gt;")=1),SUMIFS(Calculations!$R$2:$R$201,'Trial Rows'!$B$2:$B$201,'Trial Rows'!B159,'Trial Rows'!$C$2:$C$201,'Trial Rows'!C159,'Trial Rows'!$F$2:$F$201,'Trial Rows'!F159,'Trial Rows'!$Y$2:$Y$201,'Trial Rows'!Y159,'Trial Rows'!$G$2:$G$201,"A"),"")</x:f>
      </x:c>
      <x:c r="J159" s="2" t="str">
        <x:f>IF(AND(A159&lt;&gt;"",COUNTIFS('Trial Rows'!$B$2:$B$201,'Trial Rows'!B159,'Trial Rows'!$C$2:$C$201,'Trial Rows'!C159,'Trial Rows'!$F$2:$F$201,'Trial Rows'!F159,'Trial Rows'!$Y$2:$Y$201,'Trial Rows'!Y159,'Trial Rows'!$G$2:$G$201,"B",Calculations!$R$2:$R$201,"&gt;=0",Calculations!$R$2:$R$201,"&lt;&gt;")=1),SUMIFS(Calculations!$R$2:$R$201,'Trial Rows'!$B$2:$B$201,'Trial Rows'!B159,'Trial Rows'!$C$2:$C$201,'Trial Rows'!C159,'Trial Rows'!$F$2:$F$201,'Trial Rows'!F159,'Trial Rows'!$Y$2:$Y$201,'Trial Rows'!Y159,'Trial Rows'!$G$2:$G$201,"B"),"")</x:f>
      </x:c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 t="str">
        <x:f>IF(AND(Calculations!B160=1,'Trial Rows'!G160="B",'Trial Rows'!I160=1,Calculations!D160=1),'Trial Rows'!C160,"")</x:f>
      </x:c>
      <x:c r="B160" s="2" t="str">
        <x:f>IF(A160="","",'Trial Rows'!B160)</x:f>
      </x:c>
      <x:c r="C160" s="2" t="str">
        <x:f>IF(A160="","",'Trial Rows'!F160)</x:f>
      </x:c>
      <x:c r="D160" s="2" t="str">
        <x:f>IF(A160="","",'Trial Rows'!H160)</x:f>
      </x:c>
      <x:c r="E160" s="2" t="str">
        <x:f>IF(A160="","",SUMIFS(Calculations!$F$2:$F$201,'Trial Rows'!$B$2:$B$201,'Trial Rows'!B160,'Trial Rows'!$C$2:$C$201,'Trial Rows'!C160,'Trial Rows'!$F$2:$F$201,'Trial Rows'!F160,'Trial Rows'!$Y$2:$Y$201,'Trial Rows'!Y160))</x:f>
      </x:c>
      <x:c r="F160" s="2" t="str">
        <x:f>IF(A160="","",SUMIFS(Calculations!$G$2:$G$201,'Trial Rows'!$B$2:$B$201,'Trial Rows'!B160,'Trial Rows'!$C$2:$C$201,'Trial Rows'!C160,'Trial Rows'!$F$2:$F$201,'Trial Rows'!F160,'Trial Rows'!$Y$2:$Y$201,'Trial Rows'!Y160))</x:f>
      </x:c>
      <x:c r="G160" s="7" t="str">
        <x:f>IF(OR(A160="",E160=0),"",F160/E160)</x:f>
      </x:c>
      <x:c r="H160" s="7" t="str">
        <x:f>IF(OR(A160="",SUMIFS(Calculations!$H$2:$H$201,'Trial Rows'!$B$2:$B$201,'Trial Rows'!B160,'Trial Rows'!$C$2:$C$201,'Trial Rows'!C160,'Trial Rows'!$F$2:$F$201,'Trial Rows'!F160,'Trial Rows'!$Y$2:$Y$201,'Trial Rows'!Y160)=0),"",SUMIFS(Calculations!$I$2:$I$201,'Trial Rows'!$B$2:$B$201,'Trial Rows'!B160,'Trial Rows'!$C$2:$C$201,'Trial Rows'!C160,'Trial Rows'!$F$2:$F$201,'Trial Rows'!F160,'Trial Rows'!$Y$2:$Y$201,'Trial Rows'!Y160)/SUMIFS(Calculations!$H$2:$H$201,'Trial Rows'!$B$2:$B$201,'Trial Rows'!B160,'Trial Rows'!$C$2:$C$201,'Trial Rows'!C160,'Trial Rows'!$F$2:$F$201,'Trial Rows'!F160,'Trial Rows'!$Y$2:$Y$201,'Trial Rows'!Y160))</x:f>
      </x:c>
      <x:c r="I160" s="2" t="str">
        <x:f>IF(AND(A160&lt;&gt;"",COUNTIFS('Trial Rows'!$B$2:$B$201,'Trial Rows'!B160,'Trial Rows'!$C$2:$C$201,'Trial Rows'!C160,'Trial Rows'!$F$2:$F$201,'Trial Rows'!F160,'Trial Rows'!$Y$2:$Y$201,'Trial Rows'!Y160,'Trial Rows'!$G$2:$G$201,"A",Calculations!$R$2:$R$201,"&gt;=0",Calculations!$R$2:$R$201,"&lt;&gt;")=1),SUMIFS(Calculations!$R$2:$R$201,'Trial Rows'!$B$2:$B$201,'Trial Rows'!B160,'Trial Rows'!$C$2:$C$201,'Trial Rows'!C160,'Trial Rows'!$F$2:$F$201,'Trial Rows'!F160,'Trial Rows'!$Y$2:$Y$201,'Trial Rows'!Y160,'Trial Rows'!$G$2:$G$201,"A"),"")</x:f>
      </x:c>
      <x:c r="J160" s="2" t="str">
        <x:f>IF(AND(A160&lt;&gt;"",COUNTIFS('Trial Rows'!$B$2:$B$201,'Trial Rows'!B160,'Trial Rows'!$C$2:$C$201,'Trial Rows'!C160,'Trial Rows'!$F$2:$F$201,'Trial Rows'!F160,'Trial Rows'!$Y$2:$Y$201,'Trial Rows'!Y160,'Trial Rows'!$G$2:$G$201,"B",Calculations!$R$2:$R$201,"&gt;=0",Calculations!$R$2:$R$201,"&lt;&gt;")=1),SUMIFS(Calculations!$R$2:$R$201,'Trial Rows'!$B$2:$B$201,'Trial Rows'!B160,'Trial Rows'!$C$2:$C$201,'Trial Rows'!C160,'Trial Rows'!$F$2:$F$201,'Trial Rows'!F160,'Trial Rows'!$Y$2:$Y$201,'Trial Rows'!Y160,'Trial Rows'!$G$2:$G$201,"B"),"")</x:f>
      </x:c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 t="str">
        <x:f>IF(AND(Calculations!B161=1,'Trial Rows'!G161="B",'Trial Rows'!I161=1,Calculations!D161=1),'Trial Rows'!C161,"")</x:f>
      </x:c>
      <x:c r="B161" s="2" t="str">
        <x:f>IF(A161="","",'Trial Rows'!B161)</x:f>
      </x:c>
      <x:c r="C161" s="2" t="str">
        <x:f>IF(A161="","",'Trial Rows'!F161)</x:f>
      </x:c>
      <x:c r="D161" s="2" t="str">
        <x:f>IF(A161="","",'Trial Rows'!H161)</x:f>
      </x:c>
      <x:c r="E161" s="2" t="str">
        <x:f>IF(A161="","",SUMIFS(Calculations!$F$2:$F$201,'Trial Rows'!$B$2:$B$201,'Trial Rows'!B161,'Trial Rows'!$C$2:$C$201,'Trial Rows'!C161,'Trial Rows'!$F$2:$F$201,'Trial Rows'!F161,'Trial Rows'!$Y$2:$Y$201,'Trial Rows'!Y161))</x:f>
      </x:c>
      <x:c r="F161" s="2" t="str">
        <x:f>IF(A161="","",SUMIFS(Calculations!$G$2:$G$201,'Trial Rows'!$B$2:$B$201,'Trial Rows'!B161,'Trial Rows'!$C$2:$C$201,'Trial Rows'!C161,'Trial Rows'!$F$2:$F$201,'Trial Rows'!F161,'Trial Rows'!$Y$2:$Y$201,'Trial Rows'!Y161))</x:f>
      </x:c>
      <x:c r="G161" s="7" t="str">
        <x:f>IF(OR(A161="",E161=0),"",F161/E161)</x:f>
      </x:c>
      <x:c r="H161" s="7" t="str">
        <x:f>IF(OR(A161="",SUMIFS(Calculations!$H$2:$H$201,'Trial Rows'!$B$2:$B$201,'Trial Rows'!B161,'Trial Rows'!$C$2:$C$201,'Trial Rows'!C161,'Trial Rows'!$F$2:$F$201,'Trial Rows'!F161,'Trial Rows'!$Y$2:$Y$201,'Trial Rows'!Y161)=0),"",SUMIFS(Calculations!$I$2:$I$201,'Trial Rows'!$B$2:$B$201,'Trial Rows'!B161,'Trial Rows'!$C$2:$C$201,'Trial Rows'!C161,'Trial Rows'!$F$2:$F$201,'Trial Rows'!F161,'Trial Rows'!$Y$2:$Y$201,'Trial Rows'!Y161)/SUMIFS(Calculations!$H$2:$H$201,'Trial Rows'!$B$2:$B$201,'Trial Rows'!B161,'Trial Rows'!$C$2:$C$201,'Trial Rows'!C161,'Trial Rows'!$F$2:$F$201,'Trial Rows'!F161,'Trial Rows'!$Y$2:$Y$201,'Trial Rows'!Y161))</x:f>
      </x:c>
      <x:c r="I161" s="2" t="str">
        <x:f>IF(AND(A161&lt;&gt;"",COUNTIFS('Trial Rows'!$B$2:$B$201,'Trial Rows'!B161,'Trial Rows'!$C$2:$C$201,'Trial Rows'!C161,'Trial Rows'!$F$2:$F$201,'Trial Rows'!F161,'Trial Rows'!$Y$2:$Y$201,'Trial Rows'!Y161,'Trial Rows'!$G$2:$G$201,"A",Calculations!$R$2:$R$201,"&gt;=0",Calculations!$R$2:$R$201,"&lt;&gt;")=1),SUMIFS(Calculations!$R$2:$R$201,'Trial Rows'!$B$2:$B$201,'Trial Rows'!B161,'Trial Rows'!$C$2:$C$201,'Trial Rows'!C161,'Trial Rows'!$F$2:$F$201,'Trial Rows'!F161,'Trial Rows'!$Y$2:$Y$201,'Trial Rows'!Y161,'Trial Rows'!$G$2:$G$201,"A"),"")</x:f>
      </x:c>
      <x:c r="J161" s="2" t="str">
        <x:f>IF(AND(A161&lt;&gt;"",COUNTIFS('Trial Rows'!$B$2:$B$201,'Trial Rows'!B161,'Trial Rows'!$C$2:$C$201,'Trial Rows'!C161,'Trial Rows'!$F$2:$F$201,'Trial Rows'!F161,'Trial Rows'!$Y$2:$Y$201,'Trial Rows'!Y161,'Trial Rows'!$G$2:$G$201,"B",Calculations!$R$2:$R$201,"&gt;=0",Calculations!$R$2:$R$201,"&lt;&gt;")=1),SUMIFS(Calculations!$R$2:$R$201,'Trial Rows'!$B$2:$B$201,'Trial Rows'!B161,'Trial Rows'!$C$2:$C$201,'Trial Rows'!C161,'Trial Rows'!$F$2:$F$201,'Trial Rows'!F161,'Trial Rows'!$Y$2:$Y$201,'Trial Rows'!Y161,'Trial Rows'!$G$2:$G$201,"B"),"")</x:f>
      </x:c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 t="str">
        <x:f>IF(AND(Calculations!B162=1,'Trial Rows'!G162="B",'Trial Rows'!I162=1,Calculations!D162=1),'Trial Rows'!C162,"")</x:f>
      </x:c>
      <x:c r="B162" s="2" t="str">
        <x:f>IF(A162="","",'Trial Rows'!B162)</x:f>
      </x:c>
      <x:c r="C162" s="2" t="str">
        <x:f>IF(A162="","",'Trial Rows'!F162)</x:f>
      </x:c>
      <x:c r="D162" s="2" t="str">
        <x:f>IF(A162="","",'Trial Rows'!H162)</x:f>
      </x:c>
      <x:c r="E162" s="2" t="str">
        <x:f>IF(A162="","",SUMIFS(Calculations!$F$2:$F$201,'Trial Rows'!$B$2:$B$201,'Trial Rows'!B162,'Trial Rows'!$C$2:$C$201,'Trial Rows'!C162,'Trial Rows'!$F$2:$F$201,'Trial Rows'!F162,'Trial Rows'!$Y$2:$Y$201,'Trial Rows'!Y162))</x:f>
      </x:c>
      <x:c r="F162" s="2" t="str">
        <x:f>IF(A162="","",SUMIFS(Calculations!$G$2:$G$201,'Trial Rows'!$B$2:$B$201,'Trial Rows'!B162,'Trial Rows'!$C$2:$C$201,'Trial Rows'!C162,'Trial Rows'!$F$2:$F$201,'Trial Rows'!F162,'Trial Rows'!$Y$2:$Y$201,'Trial Rows'!Y162))</x:f>
      </x:c>
      <x:c r="G162" s="7" t="str">
        <x:f>IF(OR(A162="",E162=0),"",F162/E162)</x:f>
      </x:c>
      <x:c r="H162" s="7" t="str">
        <x:f>IF(OR(A162="",SUMIFS(Calculations!$H$2:$H$201,'Trial Rows'!$B$2:$B$201,'Trial Rows'!B162,'Trial Rows'!$C$2:$C$201,'Trial Rows'!C162,'Trial Rows'!$F$2:$F$201,'Trial Rows'!F162,'Trial Rows'!$Y$2:$Y$201,'Trial Rows'!Y162)=0),"",SUMIFS(Calculations!$I$2:$I$201,'Trial Rows'!$B$2:$B$201,'Trial Rows'!B162,'Trial Rows'!$C$2:$C$201,'Trial Rows'!C162,'Trial Rows'!$F$2:$F$201,'Trial Rows'!F162,'Trial Rows'!$Y$2:$Y$201,'Trial Rows'!Y162)/SUMIFS(Calculations!$H$2:$H$201,'Trial Rows'!$B$2:$B$201,'Trial Rows'!B162,'Trial Rows'!$C$2:$C$201,'Trial Rows'!C162,'Trial Rows'!$F$2:$F$201,'Trial Rows'!F162,'Trial Rows'!$Y$2:$Y$201,'Trial Rows'!Y162))</x:f>
      </x:c>
      <x:c r="I162" s="2" t="str">
        <x:f>IF(AND(A162&lt;&gt;"",COUNTIFS('Trial Rows'!$B$2:$B$201,'Trial Rows'!B162,'Trial Rows'!$C$2:$C$201,'Trial Rows'!C162,'Trial Rows'!$F$2:$F$201,'Trial Rows'!F162,'Trial Rows'!$Y$2:$Y$201,'Trial Rows'!Y162,'Trial Rows'!$G$2:$G$201,"A",Calculations!$R$2:$R$201,"&gt;=0",Calculations!$R$2:$R$201,"&lt;&gt;")=1),SUMIFS(Calculations!$R$2:$R$201,'Trial Rows'!$B$2:$B$201,'Trial Rows'!B162,'Trial Rows'!$C$2:$C$201,'Trial Rows'!C162,'Trial Rows'!$F$2:$F$201,'Trial Rows'!F162,'Trial Rows'!$Y$2:$Y$201,'Trial Rows'!Y162,'Trial Rows'!$G$2:$G$201,"A"),"")</x:f>
      </x:c>
      <x:c r="J162" s="2" t="str">
        <x:f>IF(AND(A162&lt;&gt;"",COUNTIFS('Trial Rows'!$B$2:$B$201,'Trial Rows'!B162,'Trial Rows'!$C$2:$C$201,'Trial Rows'!C162,'Trial Rows'!$F$2:$F$201,'Trial Rows'!F162,'Trial Rows'!$Y$2:$Y$201,'Trial Rows'!Y162,'Trial Rows'!$G$2:$G$201,"B",Calculations!$R$2:$R$201,"&gt;=0",Calculations!$R$2:$R$201,"&lt;&gt;")=1),SUMIFS(Calculations!$R$2:$R$201,'Trial Rows'!$B$2:$B$201,'Trial Rows'!B162,'Trial Rows'!$C$2:$C$201,'Trial Rows'!C162,'Trial Rows'!$F$2:$F$201,'Trial Rows'!F162,'Trial Rows'!$Y$2:$Y$201,'Trial Rows'!Y162,'Trial Rows'!$G$2:$G$201,"B"),"")</x:f>
      </x:c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 t="str">
        <x:f>IF(AND(Calculations!B163=1,'Trial Rows'!G163="B",'Trial Rows'!I163=1,Calculations!D163=1),'Trial Rows'!C163,"")</x:f>
      </x:c>
      <x:c r="B163" s="2" t="str">
        <x:f>IF(A163="","",'Trial Rows'!B163)</x:f>
      </x:c>
      <x:c r="C163" s="2" t="str">
        <x:f>IF(A163="","",'Trial Rows'!F163)</x:f>
      </x:c>
      <x:c r="D163" s="2" t="str">
        <x:f>IF(A163="","",'Trial Rows'!H163)</x:f>
      </x:c>
      <x:c r="E163" s="2" t="str">
        <x:f>IF(A163="","",SUMIFS(Calculations!$F$2:$F$201,'Trial Rows'!$B$2:$B$201,'Trial Rows'!B163,'Trial Rows'!$C$2:$C$201,'Trial Rows'!C163,'Trial Rows'!$F$2:$F$201,'Trial Rows'!F163,'Trial Rows'!$Y$2:$Y$201,'Trial Rows'!Y163))</x:f>
      </x:c>
      <x:c r="F163" s="2" t="str">
        <x:f>IF(A163="","",SUMIFS(Calculations!$G$2:$G$201,'Trial Rows'!$B$2:$B$201,'Trial Rows'!B163,'Trial Rows'!$C$2:$C$201,'Trial Rows'!C163,'Trial Rows'!$F$2:$F$201,'Trial Rows'!F163,'Trial Rows'!$Y$2:$Y$201,'Trial Rows'!Y163))</x:f>
      </x:c>
      <x:c r="G163" s="7" t="str">
        <x:f>IF(OR(A163="",E163=0),"",F163/E163)</x:f>
      </x:c>
      <x:c r="H163" s="7" t="str">
        <x:f>IF(OR(A163="",SUMIFS(Calculations!$H$2:$H$201,'Trial Rows'!$B$2:$B$201,'Trial Rows'!B163,'Trial Rows'!$C$2:$C$201,'Trial Rows'!C163,'Trial Rows'!$F$2:$F$201,'Trial Rows'!F163,'Trial Rows'!$Y$2:$Y$201,'Trial Rows'!Y163)=0),"",SUMIFS(Calculations!$I$2:$I$201,'Trial Rows'!$B$2:$B$201,'Trial Rows'!B163,'Trial Rows'!$C$2:$C$201,'Trial Rows'!C163,'Trial Rows'!$F$2:$F$201,'Trial Rows'!F163,'Trial Rows'!$Y$2:$Y$201,'Trial Rows'!Y163)/SUMIFS(Calculations!$H$2:$H$201,'Trial Rows'!$B$2:$B$201,'Trial Rows'!B163,'Trial Rows'!$C$2:$C$201,'Trial Rows'!C163,'Trial Rows'!$F$2:$F$201,'Trial Rows'!F163,'Trial Rows'!$Y$2:$Y$201,'Trial Rows'!Y163))</x:f>
      </x:c>
      <x:c r="I163" s="2" t="str">
        <x:f>IF(AND(A163&lt;&gt;"",COUNTIFS('Trial Rows'!$B$2:$B$201,'Trial Rows'!B163,'Trial Rows'!$C$2:$C$201,'Trial Rows'!C163,'Trial Rows'!$F$2:$F$201,'Trial Rows'!F163,'Trial Rows'!$Y$2:$Y$201,'Trial Rows'!Y163,'Trial Rows'!$G$2:$G$201,"A",Calculations!$R$2:$R$201,"&gt;=0",Calculations!$R$2:$R$201,"&lt;&gt;")=1),SUMIFS(Calculations!$R$2:$R$201,'Trial Rows'!$B$2:$B$201,'Trial Rows'!B163,'Trial Rows'!$C$2:$C$201,'Trial Rows'!C163,'Trial Rows'!$F$2:$F$201,'Trial Rows'!F163,'Trial Rows'!$Y$2:$Y$201,'Trial Rows'!Y163,'Trial Rows'!$G$2:$G$201,"A"),"")</x:f>
      </x:c>
      <x:c r="J163" s="2" t="str">
        <x:f>IF(AND(A163&lt;&gt;"",COUNTIFS('Trial Rows'!$B$2:$B$201,'Trial Rows'!B163,'Trial Rows'!$C$2:$C$201,'Trial Rows'!C163,'Trial Rows'!$F$2:$F$201,'Trial Rows'!F163,'Trial Rows'!$Y$2:$Y$201,'Trial Rows'!Y163,'Trial Rows'!$G$2:$G$201,"B",Calculations!$R$2:$R$201,"&gt;=0",Calculations!$R$2:$R$201,"&lt;&gt;")=1),SUMIFS(Calculations!$R$2:$R$201,'Trial Rows'!$B$2:$B$201,'Trial Rows'!B163,'Trial Rows'!$C$2:$C$201,'Trial Rows'!C163,'Trial Rows'!$F$2:$F$201,'Trial Rows'!F163,'Trial Rows'!$Y$2:$Y$201,'Trial Rows'!Y163,'Trial Rows'!$G$2:$G$201,"B"),"")</x:f>
      </x:c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 t="str">
        <x:f>IF(AND(Calculations!B164=1,'Trial Rows'!G164="B",'Trial Rows'!I164=1,Calculations!D164=1),'Trial Rows'!C164,"")</x:f>
      </x:c>
      <x:c r="B164" s="2" t="str">
        <x:f>IF(A164="","",'Trial Rows'!B164)</x:f>
      </x:c>
      <x:c r="C164" s="2" t="str">
        <x:f>IF(A164="","",'Trial Rows'!F164)</x:f>
      </x:c>
      <x:c r="D164" s="2" t="str">
        <x:f>IF(A164="","",'Trial Rows'!H164)</x:f>
      </x:c>
      <x:c r="E164" s="2" t="str">
        <x:f>IF(A164="","",SUMIFS(Calculations!$F$2:$F$201,'Trial Rows'!$B$2:$B$201,'Trial Rows'!B164,'Trial Rows'!$C$2:$C$201,'Trial Rows'!C164,'Trial Rows'!$F$2:$F$201,'Trial Rows'!F164,'Trial Rows'!$Y$2:$Y$201,'Trial Rows'!Y164))</x:f>
      </x:c>
      <x:c r="F164" s="2" t="str">
        <x:f>IF(A164="","",SUMIFS(Calculations!$G$2:$G$201,'Trial Rows'!$B$2:$B$201,'Trial Rows'!B164,'Trial Rows'!$C$2:$C$201,'Trial Rows'!C164,'Trial Rows'!$F$2:$F$201,'Trial Rows'!F164,'Trial Rows'!$Y$2:$Y$201,'Trial Rows'!Y164))</x:f>
      </x:c>
      <x:c r="G164" s="7" t="str">
        <x:f>IF(OR(A164="",E164=0),"",F164/E164)</x:f>
      </x:c>
      <x:c r="H164" s="7" t="str">
        <x:f>IF(OR(A164="",SUMIFS(Calculations!$H$2:$H$201,'Trial Rows'!$B$2:$B$201,'Trial Rows'!B164,'Trial Rows'!$C$2:$C$201,'Trial Rows'!C164,'Trial Rows'!$F$2:$F$201,'Trial Rows'!F164,'Trial Rows'!$Y$2:$Y$201,'Trial Rows'!Y164)=0),"",SUMIFS(Calculations!$I$2:$I$201,'Trial Rows'!$B$2:$B$201,'Trial Rows'!B164,'Trial Rows'!$C$2:$C$201,'Trial Rows'!C164,'Trial Rows'!$F$2:$F$201,'Trial Rows'!F164,'Trial Rows'!$Y$2:$Y$201,'Trial Rows'!Y164)/SUMIFS(Calculations!$H$2:$H$201,'Trial Rows'!$B$2:$B$201,'Trial Rows'!B164,'Trial Rows'!$C$2:$C$201,'Trial Rows'!C164,'Trial Rows'!$F$2:$F$201,'Trial Rows'!F164,'Trial Rows'!$Y$2:$Y$201,'Trial Rows'!Y164))</x:f>
      </x:c>
      <x:c r="I164" s="2" t="str">
        <x:f>IF(AND(A164&lt;&gt;"",COUNTIFS('Trial Rows'!$B$2:$B$201,'Trial Rows'!B164,'Trial Rows'!$C$2:$C$201,'Trial Rows'!C164,'Trial Rows'!$F$2:$F$201,'Trial Rows'!F164,'Trial Rows'!$Y$2:$Y$201,'Trial Rows'!Y164,'Trial Rows'!$G$2:$G$201,"A",Calculations!$R$2:$R$201,"&gt;=0",Calculations!$R$2:$R$201,"&lt;&gt;")=1),SUMIFS(Calculations!$R$2:$R$201,'Trial Rows'!$B$2:$B$201,'Trial Rows'!B164,'Trial Rows'!$C$2:$C$201,'Trial Rows'!C164,'Trial Rows'!$F$2:$F$201,'Trial Rows'!F164,'Trial Rows'!$Y$2:$Y$201,'Trial Rows'!Y164,'Trial Rows'!$G$2:$G$201,"A"),"")</x:f>
      </x:c>
      <x:c r="J164" s="2" t="str">
        <x:f>IF(AND(A164&lt;&gt;"",COUNTIFS('Trial Rows'!$B$2:$B$201,'Trial Rows'!B164,'Trial Rows'!$C$2:$C$201,'Trial Rows'!C164,'Trial Rows'!$F$2:$F$201,'Trial Rows'!F164,'Trial Rows'!$Y$2:$Y$201,'Trial Rows'!Y164,'Trial Rows'!$G$2:$G$201,"B",Calculations!$R$2:$R$201,"&gt;=0",Calculations!$R$2:$R$201,"&lt;&gt;")=1),SUMIFS(Calculations!$R$2:$R$201,'Trial Rows'!$B$2:$B$201,'Trial Rows'!B164,'Trial Rows'!$C$2:$C$201,'Trial Rows'!C164,'Trial Rows'!$F$2:$F$201,'Trial Rows'!F164,'Trial Rows'!$Y$2:$Y$201,'Trial Rows'!Y164,'Trial Rows'!$G$2:$G$201,"B"),"")</x:f>
      </x:c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 t="str">
        <x:f>IF(AND(Calculations!B165=1,'Trial Rows'!G165="B",'Trial Rows'!I165=1,Calculations!D165=1),'Trial Rows'!C165,"")</x:f>
      </x:c>
      <x:c r="B165" s="2" t="str">
        <x:f>IF(A165="","",'Trial Rows'!B165)</x:f>
      </x:c>
      <x:c r="C165" s="2" t="str">
        <x:f>IF(A165="","",'Trial Rows'!F165)</x:f>
      </x:c>
      <x:c r="D165" s="2" t="str">
        <x:f>IF(A165="","",'Trial Rows'!H165)</x:f>
      </x:c>
      <x:c r="E165" s="2" t="str">
        <x:f>IF(A165="","",SUMIFS(Calculations!$F$2:$F$201,'Trial Rows'!$B$2:$B$201,'Trial Rows'!B165,'Trial Rows'!$C$2:$C$201,'Trial Rows'!C165,'Trial Rows'!$F$2:$F$201,'Trial Rows'!F165,'Trial Rows'!$Y$2:$Y$201,'Trial Rows'!Y165))</x:f>
      </x:c>
      <x:c r="F165" s="2" t="str">
        <x:f>IF(A165="","",SUMIFS(Calculations!$G$2:$G$201,'Trial Rows'!$B$2:$B$201,'Trial Rows'!B165,'Trial Rows'!$C$2:$C$201,'Trial Rows'!C165,'Trial Rows'!$F$2:$F$201,'Trial Rows'!F165,'Trial Rows'!$Y$2:$Y$201,'Trial Rows'!Y165))</x:f>
      </x:c>
      <x:c r="G165" s="7" t="str">
        <x:f>IF(OR(A165="",E165=0),"",F165/E165)</x:f>
      </x:c>
      <x:c r="H165" s="7" t="str">
        <x:f>IF(OR(A165="",SUMIFS(Calculations!$H$2:$H$201,'Trial Rows'!$B$2:$B$201,'Trial Rows'!B165,'Trial Rows'!$C$2:$C$201,'Trial Rows'!C165,'Trial Rows'!$F$2:$F$201,'Trial Rows'!F165,'Trial Rows'!$Y$2:$Y$201,'Trial Rows'!Y165)=0),"",SUMIFS(Calculations!$I$2:$I$201,'Trial Rows'!$B$2:$B$201,'Trial Rows'!B165,'Trial Rows'!$C$2:$C$201,'Trial Rows'!C165,'Trial Rows'!$F$2:$F$201,'Trial Rows'!F165,'Trial Rows'!$Y$2:$Y$201,'Trial Rows'!Y165)/SUMIFS(Calculations!$H$2:$H$201,'Trial Rows'!$B$2:$B$201,'Trial Rows'!B165,'Trial Rows'!$C$2:$C$201,'Trial Rows'!C165,'Trial Rows'!$F$2:$F$201,'Trial Rows'!F165,'Trial Rows'!$Y$2:$Y$201,'Trial Rows'!Y165))</x:f>
      </x:c>
      <x:c r="I165" s="2" t="str">
        <x:f>IF(AND(A165&lt;&gt;"",COUNTIFS('Trial Rows'!$B$2:$B$201,'Trial Rows'!B165,'Trial Rows'!$C$2:$C$201,'Trial Rows'!C165,'Trial Rows'!$F$2:$F$201,'Trial Rows'!F165,'Trial Rows'!$Y$2:$Y$201,'Trial Rows'!Y165,'Trial Rows'!$G$2:$G$201,"A",Calculations!$R$2:$R$201,"&gt;=0",Calculations!$R$2:$R$201,"&lt;&gt;")=1),SUMIFS(Calculations!$R$2:$R$201,'Trial Rows'!$B$2:$B$201,'Trial Rows'!B165,'Trial Rows'!$C$2:$C$201,'Trial Rows'!C165,'Trial Rows'!$F$2:$F$201,'Trial Rows'!F165,'Trial Rows'!$Y$2:$Y$201,'Trial Rows'!Y165,'Trial Rows'!$G$2:$G$201,"A"),"")</x:f>
      </x:c>
      <x:c r="J165" s="2" t="str">
        <x:f>IF(AND(A165&lt;&gt;"",COUNTIFS('Trial Rows'!$B$2:$B$201,'Trial Rows'!B165,'Trial Rows'!$C$2:$C$201,'Trial Rows'!C165,'Trial Rows'!$F$2:$F$201,'Trial Rows'!F165,'Trial Rows'!$Y$2:$Y$201,'Trial Rows'!Y165,'Trial Rows'!$G$2:$G$201,"B",Calculations!$R$2:$R$201,"&gt;=0",Calculations!$R$2:$R$201,"&lt;&gt;")=1),SUMIFS(Calculations!$R$2:$R$201,'Trial Rows'!$B$2:$B$201,'Trial Rows'!B165,'Trial Rows'!$C$2:$C$201,'Trial Rows'!C165,'Trial Rows'!$F$2:$F$201,'Trial Rows'!F165,'Trial Rows'!$Y$2:$Y$201,'Trial Rows'!Y165,'Trial Rows'!$G$2:$G$201,"B"),"")</x:f>
      </x:c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 t="str">
        <x:f>IF(AND(Calculations!B166=1,'Trial Rows'!G166="B",'Trial Rows'!I166=1,Calculations!D166=1),'Trial Rows'!C166,"")</x:f>
      </x:c>
      <x:c r="B166" s="2" t="str">
        <x:f>IF(A166="","",'Trial Rows'!B166)</x:f>
      </x:c>
      <x:c r="C166" s="2" t="str">
        <x:f>IF(A166="","",'Trial Rows'!F166)</x:f>
      </x:c>
      <x:c r="D166" s="2" t="str">
        <x:f>IF(A166="","",'Trial Rows'!H166)</x:f>
      </x:c>
      <x:c r="E166" s="2" t="str">
        <x:f>IF(A166="","",SUMIFS(Calculations!$F$2:$F$201,'Trial Rows'!$B$2:$B$201,'Trial Rows'!B166,'Trial Rows'!$C$2:$C$201,'Trial Rows'!C166,'Trial Rows'!$F$2:$F$201,'Trial Rows'!F166,'Trial Rows'!$Y$2:$Y$201,'Trial Rows'!Y166))</x:f>
      </x:c>
      <x:c r="F166" s="2" t="str">
        <x:f>IF(A166="","",SUMIFS(Calculations!$G$2:$G$201,'Trial Rows'!$B$2:$B$201,'Trial Rows'!B166,'Trial Rows'!$C$2:$C$201,'Trial Rows'!C166,'Trial Rows'!$F$2:$F$201,'Trial Rows'!F166,'Trial Rows'!$Y$2:$Y$201,'Trial Rows'!Y166))</x:f>
      </x:c>
      <x:c r="G166" s="7" t="str">
        <x:f>IF(OR(A166="",E166=0),"",F166/E166)</x:f>
      </x:c>
      <x:c r="H166" s="7" t="str">
        <x:f>IF(OR(A166="",SUMIFS(Calculations!$H$2:$H$201,'Trial Rows'!$B$2:$B$201,'Trial Rows'!B166,'Trial Rows'!$C$2:$C$201,'Trial Rows'!C166,'Trial Rows'!$F$2:$F$201,'Trial Rows'!F166,'Trial Rows'!$Y$2:$Y$201,'Trial Rows'!Y166)=0),"",SUMIFS(Calculations!$I$2:$I$201,'Trial Rows'!$B$2:$B$201,'Trial Rows'!B166,'Trial Rows'!$C$2:$C$201,'Trial Rows'!C166,'Trial Rows'!$F$2:$F$201,'Trial Rows'!F166,'Trial Rows'!$Y$2:$Y$201,'Trial Rows'!Y166)/SUMIFS(Calculations!$H$2:$H$201,'Trial Rows'!$B$2:$B$201,'Trial Rows'!B166,'Trial Rows'!$C$2:$C$201,'Trial Rows'!C166,'Trial Rows'!$F$2:$F$201,'Trial Rows'!F166,'Trial Rows'!$Y$2:$Y$201,'Trial Rows'!Y166))</x:f>
      </x:c>
      <x:c r="I166" s="2" t="str">
        <x:f>IF(AND(A166&lt;&gt;"",COUNTIFS('Trial Rows'!$B$2:$B$201,'Trial Rows'!B166,'Trial Rows'!$C$2:$C$201,'Trial Rows'!C166,'Trial Rows'!$F$2:$F$201,'Trial Rows'!F166,'Trial Rows'!$Y$2:$Y$201,'Trial Rows'!Y166,'Trial Rows'!$G$2:$G$201,"A",Calculations!$R$2:$R$201,"&gt;=0",Calculations!$R$2:$R$201,"&lt;&gt;")=1),SUMIFS(Calculations!$R$2:$R$201,'Trial Rows'!$B$2:$B$201,'Trial Rows'!B166,'Trial Rows'!$C$2:$C$201,'Trial Rows'!C166,'Trial Rows'!$F$2:$F$201,'Trial Rows'!F166,'Trial Rows'!$Y$2:$Y$201,'Trial Rows'!Y166,'Trial Rows'!$G$2:$G$201,"A"),"")</x:f>
      </x:c>
      <x:c r="J166" s="2" t="str">
        <x:f>IF(AND(A166&lt;&gt;"",COUNTIFS('Trial Rows'!$B$2:$B$201,'Trial Rows'!B166,'Trial Rows'!$C$2:$C$201,'Trial Rows'!C166,'Trial Rows'!$F$2:$F$201,'Trial Rows'!F166,'Trial Rows'!$Y$2:$Y$201,'Trial Rows'!Y166,'Trial Rows'!$G$2:$G$201,"B",Calculations!$R$2:$R$201,"&gt;=0",Calculations!$R$2:$R$201,"&lt;&gt;")=1),SUMIFS(Calculations!$R$2:$R$201,'Trial Rows'!$B$2:$B$201,'Trial Rows'!B166,'Trial Rows'!$C$2:$C$201,'Trial Rows'!C166,'Trial Rows'!$F$2:$F$201,'Trial Rows'!F166,'Trial Rows'!$Y$2:$Y$201,'Trial Rows'!Y166,'Trial Rows'!$G$2:$G$201,"B"),"")</x:f>
      </x:c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 t="str">
        <x:f>IF(AND(Calculations!B167=1,'Trial Rows'!G167="B",'Trial Rows'!I167=1,Calculations!D167=1),'Trial Rows'!C167,"")</x:f>
      </x:c>
      <x:c r="B167" s="2" t="str">
        <x:f>IF(A167="","",'Trial Rows'!B167)</x:f>
      </x:c>
      <x:c r="C167" s="2" t="str">
        <x:f>IF(A167="","",'Trial Rows'!F167)</x:f>
      </x:c>
      <x:c r="D167" s="2" t="str">
        <x:f>IF(A167="","",'Trial Rows'!H167)</x:f>
      </x:c>
      <x:c r="E167" s="2" t="str">
        <x:f>IF(A167="","",SUMIFS(Calculations!$F$2:$F$201,'Trial Rows'!$B$2:$B$201,'Trial Rows'!B167,'Trial Rows'!$C$2:$C$201,'Trial Rows'!C167,'Trial Rows'!$F$2:$F$201,'Trial Rows'!F167,'Trial Rows'!$Y$2:$Y$201,'Trial Rows'!Y167))</x:f>
      </x:c>
      <x:c r="F167" s="2" t="str">
        <x:f>IF(A167="","",SUMIFS(Calculations!$G$2:$G$201,'Trial Rows'!$B$2:$B$201,'Trial Rows'!B167,'Trial Rows'!$C$2:$C$201,'Trial Rows'!C167,'Trial Rows'!$F$2:$F$201,'Trial Rows'!F167,'Trial Rows'!$Y$2:$Y$201,'Trial Rows'!Y167))</x:f>
      </x:c>
      <x:c r="G167" s="7" t="str">
        <x:f>IF(OR(A167="",E167=0),"",F167/E167)</x:f>
      </x:c>
      <x:c r="H167" s="7" t="str">
        <x:f>IF(OR(A167="",SUMIFS(Calculations!$H$2:$H$201,'Trial Rows'!$B$2:$B$201,'Trial Rows'!B167,'Trial Rows'!$C$2:$C$201,'Trial Rows'!C167,'Trial Rows'!$F$2:$F$201,'Trial Rows'!F167,'Trial Rows'!$Y$2:$Y$201,'Trial Rows'!Y167)=0),"",SUMIFS(Calculations!$I$2:$I$201,'Trial Rows'!$B$2:$B$201,'Trial Rows'!B167,'Trial Rows'!$C$2:$C$201,'Trial Rows'!C167,'Trial Rows'!$F$2:$F$201,'Trial Rows'!F167,'Trial Rows'!$Y$2:$Y$201,'Trial Rows'!Y167)/SUMIFS(Calculations!$H$2:$H$201,'Trial Rows'!$B$2:$B$201,'Trial Rows'!B167,'Trial Rows'!$C$2:$C$201,'Trial Rows'!C167,'Trial Rows'!$F$2:$F$201,'Trial Rows'!F167,'Trial Rows'!$Y$2:$Y$201,'Trial Rows'!Y167))</x:f>
      </x:c>
      <x:c r="I167" s="2" t="str">
        <x:f>IF(AND(A167&lt;&gt;"",COUNTIFS('Trial Rows'!$B$2:$B$201,'Trial Rows'!B167,'Trial Rows'!$C$2:$C$201,'Trial Rows'!C167,'Trial Rows'!$F$2:$F$201,'Trial Rows'!F167,'Trial Rows'!$Y$2:$Y$201,'Trial Rows'!Y167,'Trial Rows'!$G$2:$G$201,"A",Calculations!$R$2:$R$201,"&gt;=0",Calculations!$R$2:$R$201,"&lt;&gt;")=1),SUMIFS(Calculations!$R$2:$R$201,'Trial Rows'!$B$2:$B$201,'Trial Rows'!B167,'Trial Rows'!$C$2:$C$201,'Trial Rows'!C167,'Trial Rows'!$F$2:$F$201,'Trial Rows'!F167,'Trial Rows'!$Y$2:$Y$201,'Trial Rows'!Y167,'Trial Rows'!$G$2:$G$201,"A"),"")</x:f>
      </x:c>
      <x:c r="J167" s="2" t="str">
        <x:f>IF(AND(A167&lt;&gt;"",COUNTIFS('Trial Rows'!$B$2:$B$201,'Trial Rows'!B167,'Trial Rows'!$C$2:$C$201,'Trial Rows'!C167,'Trial Rows'!$F$2:$F$201,'Trial Rows'!F167,'Trial Rows'!$Y$2:$Y$201,'Trial Rows'!Y167,'Trial Rows'!$G$2:$G$201,"B",Calculations!$R$2:$R$201,"&gt;=0",Calculations!$R$2:$R$201,"&lt;&gt;")=1),SUMIFS(Calculations!$R$2:$R$201,'Trial Rows'!$B$2:$B$201,'Trial Rows'!B167,'Trial Rows'!$C$2:$C$201,'Trial Rows'!C167,'Trial Rows'!$F$2:$F$201,'Trial Rows'!F167,'Trial Rows'!$Y$2:$Y$201,'Trial Rows'!Y167,'Trial Rows'!$G$2:$G$201,"B"),"")</x:f>
      </x:c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 t="str">
        <x:f>IF(AND(Calculations!B168=1,'Trial Rows'!G168="B",'Trial Rows'!I168=1,Calculations!D168=1),'Trial Rows'!C168,"")</x:f>
      </x:c>
      <x:c r="B168" s="2" t="str">
        <x:f>IF(A168="","",'Trial Rows'!B168)</x:f>
      </x:c>
      <x:c r="C168" s="2" t="str">
        <x:f>IF(A168="","",'Trial Rows'!F168)</x:f>
      </x:c>
      <x:c r="D168" s="2" t="str">
        <x:f>IF(A168="","",'Trial Rows'!H168)</x:f>
      </x:c>
      <x:c r="E168" s="2" t="str">
        <x:f>IF(A168="","",SUMIFS(Calculations!$F$2:$F$201,'Trial Rows'!$B$2:$B$201,'Trial Rows'!B168,'Trial Rows'!$C$2:$C$201,'Trial Rows'!C168,'Trial Rows'!$F$2:$F$201,'Trial Rows'!F168,'Trial Rows'!$Y$2:$Y$201,'Trial Rows'!Y168))</x:f>
      </x:c>
      <x:c r="F168" s="2" t="str">
        <x:f>IF(A168="","",SUMIFS(Calculations!$G$2:$G$201,'Trial Rows'!$B$2:$B$201,'Trial Rows'!B168,'Trial Rows'!$C$2:$C$201,'Trial Rows'!C168,'Trial Rows'!$F$2:$F$201,'Trial Rows'!F168,'Trial Rows'!$Y$2:$Y$201,'Trial Rows'!Y168))</x:f>
      </x:c>
      <x:c r="G168" s="7" t="str">
        <x:f>IF(OR(A168="",E168=0),"",F168/E168)</x:f>
      </x:c>
      <x:c r="H168" s="7" t="str">
        <x:f>IF(OR(A168="",SUMIFS(Calculations!$H$2:$H$201,'Trial Rows'!$B$2:$B$201,'Trial Rows'!B168,'Trial Rows'!$C$2:$C$201,'Trial Rows'!C168,'Trial Rows'!$F$2:$F$201,'Trial Rows'!F168,'Trial Rows'!$Y$2:$Y$201,'Trial Rows'!Y168)=0),"",SUMIFS(Calculations!$I$2:$I$201,'Trial Rows'!$B$2:$B$201,'Trial Rows'!B168,'Trial Rows'!$C$2:$C$201,'Trial Rows'!C168,'Trial Rows'!$F$2:$F$201,'Trial Rows'!F168,'Trial Rows'!$Y$2:$Y$201,'Trial Rows'!Y168)/SUMIFS(Calculations!$H$2:$H$201,'Trial Rows'!$B$2:$B$201,'Trial Rows'!B168,'Trial Rows'!$C$2:$C$201,'Trial Rows'!C168,'Trial Rows'!$F$2:$F$201,'Trial Rows'!F168,'Trial Rows'!$Y$2:$Y$201,'Trial Rows'!Y168))</x:f>
      </x:c>
      <x:c r="I168" s="2" t="str">
        <x:f>IF(AND(A168&lt;&gt;"",COUNTIFS('Trial Rows'!$B$2:$B$201,'Trial Rows'!B168,'Trial Rows'!$C$2:$C$201,'Trial Rows'!C168,'Trial Rows'!$F$2:$F$201,'Trial Rows'!F168,'Trial Rows'!$Y$2:$Y$201,'Trial Rows'!Y168,'Trial Rows'!$G$2:$G$201,"A",Calculations!$R$2:$R$201,"&gt;=0",Calculations!$R$2:$R$201,"&lt;&gt;")=1),SUMIFS(Calculations!$R$2:$R$201,'Trial Rows'!$B$2:$B$201,'Trial Rows'!B168,'Trial Rows'!$C$2:$C$201,'Trial Rows'!C168,'Trial Rows'!$F$2:$F$201,'Trial Rows'!F168,'Trial Rows'!$Y$2:$Y$201,'Trial Rows'!Y168,'Trial Rows'!$G$2:$G$201,"A"),"")</x:f>
      </x:c>
      <x:c r="J168" s="2" t="str">
        <x:f>IF(AND(A168&lt;&gt;"",COUNTIFS('Trial Rows'!$B$2:$B$201,'Trial Rows'!B168,'Trial Rows'!$C$2:$C$201,'Trial Rows'!C168,'Trial Rows'!$F$2:$F$201,'Trial Rows'!F168,'Trial Rows'!$Y$2:$Y$201,'Trial Rows'!Y168,'Trial Rows'!$G$2:$G$201,"B",Calculations!$R$2:$R$201,"&gt;=0",Calculations!$R$2:$R$201,"&lt;&gt;")=1),SUMIFS(Calculations!$R$2:$R$201,'Trial Rows'!$B$2:$B$201,'Trial Rows'!B168,'Trial Rows'!$C$2:$C$201,'Trial Rows'!C168,'Trial Rows'!$F$2:$F$201,'Trial Rows'!F168,'Trial Rows'!$Y$2:$Y$201,'Trial Rows'!Y168,'Trial Rows'!$G$2:$G$201,"B"),"")</x:f>
      </x:c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 t="str">
        <x:f>IF(AND(Calculations!B169=1,'Trial Rows'!G169="B",'Trial Rows'!I169=1,Calculations!D169=1),'Trial Rows'!C169,"")</x:f>
      </x:c>
      <x:c r="B169" s="2" t="str">
        <x:f>IF(A169="","",'Trial Rows'!B169)</x:f>
      </x:c>
      <x:c r="C169" s="2" t="str">
        <x:f>IF(A169="","",'Trial Rows'!F169)</x:f>
      </x:c>
      <x:c r="D169" s="2" t="str">
        <x:f>IF(A169="","",'Trial Rows'!H169)</x:f>
      </x:c>
      <x:c r="E169" s="2" t="str">
        <x:f>IF(A169="","",SUMIFS(Calculations!$F$2:$F$201,'Trial Rows'!$B$2:$B$201,'Trial Rows'!B169,'Trial Rows'!$C$2:$C$201,'Trial Rows'!C169,'Trial Rows'!$F$2:$F$201,'Trial Rows'!F169,'Trial Rows'!$Y$2:$Y$201,'Trial Rows'!Y169))</x:f>
      </x:c>
      <x:c r="F169" s="2" t="str">
        <x:f>IF(A169="","",SUMIFS(Calculations!$G$2:$G$201,'Trial Rows'!$B$2:$B$201,'Trial Rows'!B169,'Trial Rows'!$C$2:$C$201,'Trial Rows'!C169,'Trial Rows'!$F$2:$F$201,'Trial Rows'!F169,'Trial Rows'!$Y$2:$Y$201,'Trial Rows'!Y169))</x:f>
      </x:c>
      <x:c r="G169" s="7" t="str">
        <x:f>IF(OR(A169="",E169=0),"",F169/E169)</x:f>
      </x:c>
      <x:c r="H169" s="7" t="str">
        <x:f>IF(OR(A169="",SUMIFS(Calculations!$H$2:$H$201,'Trial Rows'!$B$2:$B$201,'Trial Rows'!B169,'Trial Rows'!$C$2:$C$201,'Trial Rows'!C169,'Trial Rows'!$F$2:$F$201,'Trial Rows'!F169,'Trial Rows'!$Y$2:$Y$201,'Trial Rows'!Y169)=0),"",SUMIFS(Calculations!$I$2:$I$201,'Trial Rows'!$B$2:$B$201,'Trial Rows'!B169,'Trial Rows'!$C$2:$C$201,'Trial Rows'!C169,'Trial Rows'!$F$2:$F$201,'Trial Rows'!F169,'Trial Rows'!$Y$2:$Y$201,'Trial Rows'!Y169)/SUMIFS(Calculations!$H$2:$H$201,'Trial Rows'!$B$2:$B$201,'Trial Rows'!B169,'Trial Rows'!$C$2:$C$201,'Trial Rows'!C169,'Trial Rows'!$F$2:$F$201,'Trial Rows'!F169,'Trial Rows'!$Y$2:$Y$201,'Trial Rows'!Y169))</x:f>
      </x:c>
      <x:c r="I169" s="2" t="str">
        <x:f>IF(AND(A169&lt;&gt;"",COUNTIFS('Trial Rows'!$B$2:$B$201,'Trial Rows'!B169,'Trial Rows'!$C$2:$C$201,'Trial Rows'!C169,'Trial Rows'!$F$2:$F$201,'Trial Rows'!F169,'Trial Rows'!$Y$2:$Y$201,'Trial Rows'!Y169,'Trial Rows'!$G$2:$G$201,"A",Calculations!$R$2:$R$201,"&gt;=0",Calculations!$R$2:$R$201,"&lt;&gt;")=1),SUMIFS(Calculations!$R$2:$R$201,'Trial Rows'!$B$2:$B$201,'Trial Rows'!B169,'Trial Rows'!$C$2:$C$201,'Trial Rows'!C169,'Trial Rows'!$F$2:$F$201,'Trial Rows'!F169,'Trial Rows'!$Y$2:$Y$201,'Trial Rows'!Y169,'Trial Rows'!$G$2:$G$201,"A"),"")</x:f>
      </x:c>
      <x:c r="J169" s="2" t="str">
        <x:f>IF(AND(A169&lt;&gt;"",COUNTIFS('Trial Rows'!$B$2:$B$201,'Trial Rows'!B169,'Trial Rows'!$C$2:$C$201,'Trial Rows'!C169,'Trial Rows'!$F$2:$F$201,'Trial Rows'!F169,'Trial Rows'!$Y$2:$Y$201,'Trial Rows'!Y169,'Trial Rows'!$G$2:$G$201,"B",Calculations!$R$2:$R$201,"&gt;=0",Calculations!$R$2:$R$201,"&lt;&gt;")=1),SUMIFS(Calculations!$R$2:$R$201,'Trial Rows'!$B$2:$B$201,'Trial Rows'!B169,'Trial Rows'!$C$2:$C$201,'Trial Rows'!C169,'Trial Rows'!$F$2:$F$201,'Trial Rows'!F169,'Trial Rows'!$Y$2:$Y$201,'Trial Rows'!Y169,'Trial Rows'!$G$2:$G$201,"B"),"")</x:f>
      </x:c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 t="str">
        <x:f>IF(AND(Calculations!B170=1,'Trial Rows'!G170="B",'Trial Rows'!I170=1,Calculations!D170=1),'Trial Rows'!C170,"")</x:f>
      </x:c>
      <x:c r="B170" s="2" t="str">
        <x:f>IF(A170="","",'Trial Rows'!B170)</x:f>
      </x:c>
      <x:c r="C170" s="2" t="str">
        <x:f>IF(A170="","",'Trial Rows'!F170)</x:f>
      </x:c>
      <x:c r="D170" s="2" t="str">
        <x:f>IF(A170="","",'Trial Rows'!H170)</x:f>
      </x:c>
      <x:c r="E170" s="2" t="str">
        <x:f>IF(A170="","",SUMIFS(Calculations!$F$2:$F$201,'Trial Rows'!$B$2:$B$201,'Trial Rows'!B170,'Trial Rows'!$C$2:$C$201,'Trial Rows'!C170,'Trial Rows'!$F$2:$F$201,'Trial Rows'!F170,'Trial Rows'!$Y$2:$Y$201,'Trial Rows'!Y170))</x:f>
      </x:c>
      <x:c r="F170" s="2" t="str">
        <x:f>IF(A170="","",SUMIFS(Calculations!$G$2:$G$201,'Trial Rows'!$B$2:$B$201,'Trial Rows'!B170,'Trial Rows'!$C$2:$C$201,'Trial Rows'!C170,'Trial Rows'!$F$2:$F$201,'Trial Rows'!F170,'Trial Rows'!$Y$2:$Y$201,'Trial Rows'!Y170))</x:f>
      </x:c>
      <x:c r="G170" s="7" t="str">
        <x:f>IF(OR(A170="",E170=0),"",F170/E170)</x:f>
      </x:c>
      <x:c r="H170" s="7" t="str">
        <x:f>IF(OR(A170="",SUMIFS(Calculations!$H$2:$H$201,'Trial Rows'!$B$2:$B$201,'Trial Rows'!B170,'Trial Rows'!$C$2:$C$201,'Trial Rows'!C170,'Trial Rows'!$F$2:$F$201,'Trial Rows'!F170,'Trial Rows'!$Y$2:$Y$201,'Trial Rows'!Y170)=0),"",SUMIFS(Calculations!$I$2:$I$201,'Trial Rows'!$B$2:$B$201,'Trial Rows'!B170,'Trial Rows'!$C$2:$C$201,'Trial Rows'!C170,'Trial Rows'!$F$2:$F$201,'Trial Rows'!F170,'Trial Rows'!$Y$2:$Y$201,'Trial Rows'!Y170)/SUMIFS(Calculations!$H$2:$H$201,'Trial Rows'!$B$2:$B$201,'Trial Rows'!B170,'Trial Rows'!$C$2:$C$201,'Trial Rows'!C170,'Trial Rows'!$F$2:$F$201,'Trial Rows'!F170,'Trial Rows'!$Y$2:$Y$201,'Trial Rows'!Y170))</x:f>
      </x:c>
      <x:c r="I170" s="2" t="str">
        <x:f>IF(AND(A170&lt;&gt;"",COUNTIFS('Trial Rows'!$B$2:$B$201,'Trial Rows'!B170,'Trial Rows'!$C$2:$C$201,'Trial Rows'!C170,'Trial Rows'!$F$2:$F$201,'Trial Rows'!F170,'Trial Rows'!$Y$2:$Y$201,'Trial Rows'!Y170,'Trial Rows'!$G$2:$G$201,"A",Calculations!$R$2:$R$201,"&gt;=0",Calculations!$R$2:$R$201,"&lt;&gt;")=1),SUMIFS(Calculations!$R$2:$R$201,'Trial Rows'!$B$2:$B$201,'Trial Rows'!B170,'Trial Rows'!$C$2:$C$201,'Trial Rows'!C170,'Trial Rows'!$F$2:$F$201,'Trial Rows'!F170,'Trial Rows'!$Y$2:$Y$201,'Trial Rows'!Y170,'Trial Rows'!$G$2:$G$201,"A"),"")</x:f>
      </x:c>
      <x:c r="J170" s="2" t="str">
        <x:f>IF(AND(A170&lt;&gt;"",COUNTIFS('Trial Rows'!$B$2:$B$201,'Trial Rows'!B170,'Trial Rows'!$C$2:$C$201,'Trial Rows'!C170,'Trial Rows'!$F$2:$F$201,'Trial Rows'!F170,'Trial Rows'!$Y$2:$Y$201,'Trial Rows'!Y170,'Trial Rows'!$G$2:$G$201,"B",Calculations!$R$2:$R$201,"&gt;=0",Calculations!$R$2:$R$201,"&lt;&gt;")=1),SUMIFS(Calculations!$R$2:$R$201,'Trial Rows'!$B$2:$B$201,'Trial Rows'!B170,'Trial Rows'!$C$2:$C$201,'Trial Rows'!C170,'Trial Rows'!$F$2:$F$201,'Trial Rows'!F170,'Trial Rows'!$Y$2:$Y$201,'Trial Rows'!Y170,'Trial Rows'!$G$2:$G$201,"B"),"")</x:f>
      </x:c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 t="str">
        <x:f>IF(AND(Calculations!B171=1,'Trial Rows'!G171="B",'Trial Rows'!I171=1,Calculations!D171=1),'Trial Rows'!C171,"")</x:f>
      </x:c>
      <x:c r="B171" s="2" t="str">
        <x:f>IF(A171="","",'Trial Rows'!B171)</x:f>
      </x:c>
      <x:c r="C171" s="2" t="str">
        <x:f>IF(A171="","",'Trial Rows'!F171)</x:f>
      </x:c>
      <x:c r="D171" s="2" t="str">
        <x:f>IF(A171="","",'Trial Rows'!H171)</x:f>
      </x:c>
      <x:c r="E171" s="2" t="str">
        <x:f>IF(A171="","",SUMIFS(Calculations!$F$2:$F$201,'Trial Rows'!$B$2:$B$201,'Trial Rows'!B171,'Trial Rows'!$C$2:$C$201,'Trial Rows'!C171,'Trial Rows'!$F$2:$F$201,'Trial Rows'!F171,'Trial Rows'!$Y$2:$Y$201,'Trial Rows'!Y171))</x:f>
      </x:c>
      <x:c r="F171" s="2" t="str">
        <x:f>IF(A171="","",SUMIFS(Calculations!$G$2:$G$201,'Trial Rows'!$B$2:$B$201,'Trial Rows'!B171,'Trial Rows'!$C$2:$C$201,'Trial Rows'!C171,'Trial Rows'!$F$2:$F$201,'Trial Rows'!F171,'Trial Rows'!$Y$2:$Y$201,'Trial Rows'!Y171))</x:f>
      </x:c>
      <x:c r="G171" s="7" t="str">
        <x:f>IF(OR(A171="",E171=0),"",F171/E171)</x:f>
      </x:c>
      <x:c r="H171" s="7" t="str">
        <x:f>IF(OR(A171="",SUMIFS(Calculations!$H$2:$H$201,'Trial Rows'!$B$2:$B$201,'Trial Rows'!B171,'Trial Rows'!$C$2:$C$201,'Trial Rows'!C171,'Trial Rows'!$F$2:$F$201,'Trial Rows'!F171,'Trial Rows'!$Y$2:$Y$201,'Trial Rows'!Y171)=0),"",SUMIFS(Calculations!$I$2:$I$201,'Trial Rows'!$B$2:$B$201,'Trial Rows'!B171,'Trial Rows'!$C$2:$C$201,'Trial Rows'!C171,'Trial Rows'!$F$2:$F$201,'Trial Rows'!F171,'Trial Rows'!$Y$2:$Y$201,'Trial Rows'!Y171)/SUMIFS(Calculations!$H$2:$H$201,'Trial Rows'!$B$2:$B$201,'Trial Rows'!B171,'Trial Rows'!$C$2:$C$201,'Trial Rows'!C171,'Trial Rows'!$F$2:$F$201,'Trial Rows'!F171,'Trial Rows'!$Y$2:$Y$201,'Trial Rows'!Y171))</x:f>
      </x:c>
      <x:c r="I171" s="2" t="str">
        <x:f>IF(AND(A171&lt;&gt;"",COUNTIFS('Trial Rows'!$B$2:$B$201,'Trial Rows'!B171,'Trial Rows'!$C$2:$C$201,'Trial Rows'!C171,'Trial Rows'!$F$2:$F$201,'Trial Rows'!F171,'Trial Rows'!$Y$2:$Y$201,'Trial Rows'!Y171,'Trial Rows'!$G$2:$G$201,"A",Calculations!$R$2:$R$201,"&gt;=0",Calculations!$R$2:$R$201,"&lt;&gt;")=1),SUMIFS(Calculations!$R$2:$R$201,'Trial Rows'!$B$2:$B$201,'Trial Rows'!B171,'Trial Rows'!$C$2:$C$201,'Trial Rows'!C171,'Trial Rows'!$F$2:$F$201,'Trial Rows'!F171,'Trial Rows'!$Y$2:$Y$201,'Trial Rows'!Y171,'Trial Rows'!$G$2:$G$201,"A"),"")</x:f>
      </x:c>
      <x:c r="J171" s="2" t="str">
        <x:f>IF(AND(A171&lt;&gt;"",COUNTIFS('Trial Rows'!$B$2:$B$201,'Trial Rows'!B171,'Trial Rows'!$C$2:$C$201,'Trial Rows'!C171,'Trial Rows'!$F$2:$F$201,'Trial Rows'!F171,'Trial Rows'!$Y$2:$Y$201,'Trial Rows'!Y171,'Trial Rows'!$G$2:$G$201,"B",Calculations!$R$2:$R$201,"&gt;=0",Calculations!$R$2:$R$201,"&lt;&gt;")=1),SUMIFS(Calculations!$R$2:$R$201,'Trial Rows'!$B$2:$B$201,'Trial Rows'!B171,'Trial Rows'!$C$2:$C$201,'Trial Rows'!C171,'Trial Rows'!$F$2:$F$201,'Trial Rows'!F171,'Trial Rows'!$Y$2:$Y$201,'Trial Rows'!Y171,'Trial Rows'!$G$2:$G$201,"B"),"")</x:f>
      </x:c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 t="str">
        <x:f>IF(AND(Calculations!B172=1,'Trial Rows'!G172="B",'Trial Rows'!I172=1,Calculations!D172=1),'Trial Rows'!C172,"")</x:f>
      </x:c>
      <x:c r="B172" s="2" t="str">
        <x:f>IF(A172="","",'Trial Rows'!B172)</x:f>
      </x:c>
      <x:c r="C172" s="2" t="str">
        <x:f>IF(A172="","",'Trial Rows'!F172)</x:f>
      </x:c>
      <x:c r="D172" s="2" t="str">
        <x:f>IF(A172="","",'Trial Rows'!H172)</x:f>
      </x:c>
      <x:c r="E172" s="2" t="str">
        <x:f>IF(A172="","",SUMIFS(Calculations!$F$2:$F$201,'Trial Rows'!$B$2:$B$201,'Trial Rows'!B172,'Trial Rows'!$C$2:$C$201,'Trial Rows'!C172,'Trial Rows'!$F$2:$F$201,'Trial Rows'!F172,'Trial Rows'!$Y$2:$Y$201,'Trial Rows'!Y172))</x:f>
      </x:c>
      <x:c r="F172" s="2" t="str">
        <x:f>IF(A172="","",SUMIFS(Calculations!$G$2:$G$201,'Trial Rows'!$B$2:$B$201,'Trial Rows'!B172,'Trial Rows'!$C$2:$C$201,'Trial Rows'!C172,'Trial Rows'!$F$2:$F$201,'Trial Rows'!F172,'Trial Rows'!$Y$2:$Y$201,'Trial Rows'!Y172))</x:f>
      </x:c>
      <x:c r="G172" s="7" t="str">
        <x:f>IF(OR(A172="",E172=0),"",F172/E172)</x:f>
      </x:c>
      <x:c r="H172" s="7" t="str">
        <x:f>IF(OR(A172="",SUMIFS(Calculations!$H$2:$H$201,'Trial Rows'!$B$2:$B$201,'Trial Rows'!B172,'Trial Rows'!$C$2:$C$201,'Trial Rows'!C172,'Trial Rows'!$F$2:$F$201,'Trial Rows'!F172,'Trial Rows'!$Y$2:$Y$201,'Trial Rows'!Y172)=0),"",SUMIFS(Calculations!$I$2:$I$201,'Trial Rows'!$B$2:$B$201,'Trial Rows'!B172,'Trial Rows'!$C$2:$C$201,'Trial Rows'!C172,'Trial Rows'!$F$2:$F$201,'Trial Rows'!F172,'Trial Rows'!$Y$2:$Y$201,'Trial Rows'!Y172)/SUMIFS(Calculations!$H$2:$H$201,'Trial Rows'!$B$2:$B$201,'Trial Rows'!B172,'Trial Rows'!$C$2:$C$201,'Trial Rows'!C172,'Trial Rows'!$F$2:$F$201,'Trial Rows'!F172,'Trial Rows'!$Y$2:$Y$201,'Trial Rows'!Y172))</x:f>
      </x:c>
      <x:c r="I172" s="2" t="str">
        <x:f>IF(AND(A172&lt;&gt;"",COUNTIFS('Trial Rows'!$B$2:$B$201,'Trial Rows'!B172,'Trial Rows'!$C$2:$C$201,'Trial Rows'!C172,'Trial Rows'!$F$2:$F$201,'Trial Rows'!F172,'Trial Rows'!$Y$2:$Y$201,'Trial Rows'!Y172,'Trial Rows'!$G$2:$G$201,"A",Calculations!$R$2:$R$201,"&gt;=0",Calculations!$R$2:$R$201,"&lt;&gt;")=1),SUMIFS(Calculations!$R$2:$R$201,'Trial Rows'!$B$2:$B$201,'Trial Rows'!B172,'Trial Rows'!$C$2:$C$201,'Trial Rows'!C172,'Trial Rows'!$F$2:$F$201,'Trial Rows'!F172,'Trial Rows'!$Y$2:$Y$201,'Trial Rows'!Y172,'Trial Rows'!$G$2:$G$201,"A"),"")</x:f>
      </x:c>
      <x:c r="J172" s="2" t="str">
        <x:f>IF(AND(A172&lt;&gt;"",COUNTIFS('Trial Rows'!$B$2:$B$201,'Trial Rows'!B172,'Trial Rows'!$C$2:$C$201,'Trial Rows'!C172,'Trial Rows'!$F$2:$F$201,'Trial Rows'!F172,'Trial Rows'!$Y$2:$Y$201,'Trial Rows'!Y172,'Trial Rows'!$G$2:$G$201,"B",Calculations!$R$2:$R$201,"&gt;=0",Calculations!$R$2:$R$201,"&lt;&gt;")=1),SUMIFS(Calculations!$R$2:$R$201,'Trial Rows'!$B$2:$B$201,'Trial Rows'!B172,'Trial Rows'!$C$2:$C$201,'Trial Rows'!C172,'Trial Rows'!$F$2:$F$201,'Trial Rows'!F172,'Trial Rows'!$Y$2:$Y$201,'Trial Rows'!Y172,'Trial Rows'!$G$2:$G$201,"B"),"")</x:f>
      </x:c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 t="str">
        <x:f>IF(AND(Calculations!B173=1,'Trial Rows'!G173="B",'Trial Rows'!I173=1,Calculations!D173=1),'Trial Rows'!C173,"")</x:f>
      </x:c>
      <x:c r="B173" s="2" t="str">
        <x:f>IF(A173="","",'Trial Rows'!B173)</x:f>
      </x:c>
      <x:c r="C173" s="2" t="str">
        <x:f>IF(A173="","",'Trial Rows'!F173)</x:f>
      </x:c>
      <x:c r="D173" s="2" t="str">
        <x:f>IF(A173="","",'Trial Rows'!H173)</x:f>
      </x:c>
      <x:c r="E173" s="2" t="str">
        <x:f>IF(A173="","",SUMIFS(Calculations!$F$2:$F$201,'Trial Rows'!$B$2:$B$201,'Trial Rows'!B173,'Trial Rows'!$C$2:$C$201,'Trial Rows'!C173,'Trial Rows'!$F$2:$F$201,'Trial Rows'!F173,'Trial Rows'!$Y$2:$Y$201,'Trial Rows'!Y173))</x:f>
      </x:c>
      <x:c r="F173" s="2" t="str">
        <x:f>IF(A173="","",SUMIFS(Calculations!$G$2:$G$201,'Trial Rows'!$B$2:$B$201,'Trial Rows'!B173,'Trial Rows'!$C$2:$C$201,'Trial Rows'!C173,'Trial Rows'!$F$2:$F$201,'Trial Rows'!F173,'Trial Rows'!$Y$2:$Y$201,'Trial Rows'!Y173))</x:f>
      </x:c>
      <x:c r="G173" s="7" t="str">
        <x:f>IF(OR(A173="",E173=0),"",F173/E173)</x:f>
      </x:c>
      <x:c r="H173" s="7" t="str">
        <x:f>IF(OR(A173="",SUMIFS(Calculations!$H$2:$H$201,'Trial Rows'!$B$2:$B$201,'Trial Rows'!B173,'Trial Rows'!$C$2:$C$201,'Trial Rows'!C173,'Trial Rows'!$F$2:$F$201,'Trial Rows'!F173,'Trial Rows'!$Y$2:$Y$201,'Trial Rows'!Y173)=0),"",SUMIFS(Calculations!$I$2:$I$201,'Trial Rows'!$B$2:$B$201,'Trial Rows'!B173,'Trial Rows'!$C$2:$C$201,'Trial Rows'!C173,'Trial Rows'!$F$2:$F$201,'Trial Rows'!F173,'Trial Rows'!$Y$2:$Y$201,'Trial Rows'!Y173)/SUMIFS(Calculations!$H$2:$H$201,'Trial Rows'!$B$2:$B$201,'Trial Rows'!B173,'Trial Rows'!$C$2:$C$201,'Trial Rows'!C173,'Trial Rows'!$F$2:$F$201,'Trial Rows'!F173,'Trial Rows'!$Y$2:$Y$201,'Trial Rows'!Y173))</x:f>
      </x:c>
      <x:c r="I173" s="2" t="str">
        <x:f>IF(AND(A173&lt;&gt;"",COUNTIFS('Trial Rows'!$B$2:$B$201,'Trial Rows'!B173,'Trial Rows'!$C$2:$C$201,'Trial Rows'!C173,'Trial Rows'!$F$2:$F$201,'Trial Rows'!F173,'Trial Rows'!$Y$2:$Y$201,'Trial Rows'!Y173,'Trial Rows'!$G$2:$G$201,"A",Calculations!$R$2:$R$201,"&gt;=0",Calculations!$R$2:$R$201,"&lt;&gt;")=1),SUMIFS(Calculations!$R$2:$R$201,'Trial Rows'!$B$2:$B$201,'Trial Rows'!B173,'Trial Rows'!$C$2:$C$201,'Trial Rows'!C173,'Trial Rows'!$F$2:$F$201,'Trial Rows'!F173,'Trial Rows'!$Y$2:$Y$201,'Trial Rows'!Y173,'Trial Rows'!$G$2:$G$201,"A"),"")</x:f>
      </x:c>
      <x:c r="J173" s="2" t="str">
        <x:f>IF(AND(A173&lt;&gt;"",COUNTIFS('Trial Rows'!$B$2:$B$201,'Trial Rows'!B173,'Trial Rows'!$C$2:$C$201,'Trial Rows'!C173,'Trial Rows'!$F$2:$F$201,'Trial Rows'!F173,'Trial Rows'!$Y$2:$Y$201,'Trial Rows'!Y173,'Trial Rows'!$G$2:$G$201,"B",Calculations!$R$2:$R$201,"&gt;=0",Calculations!$R$2:$R$201,"&lt;&gt;")=1),SUMIFS(Calculations!$R$2:$R$201,'Trial Rows'!$B$2:$B$201,'Trial Rows'!B173,'Trial Rows'!$C$2:$C$201,'Trial Rows'!C173,'Trial Rows'!$F$2:$F$201,'Trial Rows'!F173,'Trial Rows'!$Y$2:$Y$201,'Trial Rows'!Y173,'Trial Rows'!$G$2:$G$201,"B"),"")</x:f>
      </x:c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 t="str">
        <x:f>IF(AND(Calculations!B174=1,'Trial Rows'!G174="B",'Trial Rows'!I174=1,Calculations!D174=1),'Trial Rows'!C174,"")</x:f>
      </x:c>
      <x:c r="B174" s="2" t="str">
        <x:f>IF(A174="","",'Trial Rows'!B174)</x:f>
      </x:c>
      <x:c r="C174" s="2" t="str">
        <x:f>IF(A174="","",'Trial Rows'!F174)</x:f>
      </x:c>
      <x:c r="D174" s="2" t="str">
        <x:f>IF(A174="","",'Trial Rows'!H174)</x:f>
      </x:c>
      <x:c r="E174" s="2" t="str">
        <x:f>IF(A174="","",SUMIFS(Calculations!$F$2:$F$201,'Trial Rows'!$B$2:$B$201,'Trial Rows'!B174,'Trial Rows'!$C$2:$C$201,'Trial Rows'!C174,'Trial Rows'!$F$2:$F$201,'Trial Rows'!F174,'Trial Rows'!$Y$2:$Y$201,'Trial Rows'!Y174))</x:f>
      </x:c>
      <x:c r="F174" s="2" t="str">
        <x:f>IF(A174="","",SUMIFS(Calculations!$G$2:$G$201,'Trial Rows'!$B$2:$B$201,'Trial Rows'!B174,'Trial Rows'!$C$2:$C$201,'Trial Rows'!C174,'Trial Rows'!$F$2:$F$201,'Trial Rows'!F174,'Trial Rows'!$Y$2:$Y$201,'Trial Rows'!Y174))</x:f>
      </x:c>
      <x:c r="G174" s="7" t="str">
        <x:f>IF(OR(A174="",E174=0),"",F174/E174)</x:f>
      </x:c>
      <x:c r="H174" s="7" t="str">
        <x:f>IF(OR(A174="",SUMIFS(Calculations!$H$2:$H$201,'Trial Rows'!$B$2:$B$201,'Trial Rows'!B174,'Trial Rows'!$C$2:$C$201,'Trial Rows'!C174,'Trial Rows'!$F$2:$F$201,'Trial Rows'!F174,'Trial Rows'!$Y$2:$Y$201,'Trial Rows'!Y174)=0),"",SUMIFS(Calculations!$I$2:$I$201,'Trial Rows'!$B$2:$B$201,'Trial Rows'!B174,'Trial Rows'!$C$2:$C$201,'Trial Rows'!C174,'Trial Rows'!$F$2:$F$201,'Trial Rows'!F174,'Trial Rows'!$Y$2:$Y$201,'Trial Rows'!Y174)/SUMIFS(Calculations!$H$2:$H$201,'Trial Rows'!$B$2:$B$201,'Trial Rows'!B174,'Trial Rows'!$C$2:$C$201,'Trial Rows'!C174,'Trial Rows'!$F$2:$F$201,'Trial Rows'!F174,'Trial Rows'!$Y$2:$Y$201,'Trial Rows'!Y174))</x:f>
      </x:c>
      <x:c r="I174" s="2" t="str">
        <x:f>IF(AND(A174&lt;&gt;"",COUNTIFS('Trial Rows'!$B$2:$B$201,'Trial Rows'!B174,'Trial Rows'!$C$2:$C$201,'Trial Rows'!C174,'Trial Rows'!$F$2:$F$201,'Trial Rows'!F174,'Trial Rows'!$Y$2:$Y$201,'Trial Rows'!Y174,'Trial Rows'!$G$2:$G$201,"A",Calculations!$R$2:$R$201,"&gt;=0",Calculations!$R$2:$R$201,"&lt;&gt;")=1),SUMIFS(Calculations!$R$2:$R$201,'Trial Rows'!$B$2:$B$201,'Trial Rows'!B174,'Trial Rows'!$C$2:$C$201,'Trial Rows'!C174,'Trial Rows'!$F$2:$F$201,'Trial Rows'!F174,'Trial Rows'!$Y$2:$Y$201,'Trial Rows'!Y174,'Trial Rows'!$G$2:$G$201,"A"),"")</x:f>
      </x:c>
      <x:c r="J174" s="2" t="str">
        <x:f>IF(AND(A174&lt;&gt;"",COUNTIFS('Trial Rows'!$B$2:$B$201,'Trial Rows'!B174,'Trial Rows'!$C$2:$C$201,'Trial Rows'!C174,'Trial Rows'!$F$2:$F$201,'Trial Rows'!F174,'Trial Rows'!$Y$2:$Y$201,'Trial Rows'!Y174,'Trial Rows'!$G$2:$G$201,"B",Calculations!$R$2:$R$201,"&gt;=0",Calculations!$R$2:$R$201,"&lt;&gt;")=1),SUMIFS(Calculations!$R$2:$R$201,'Trial Rows'!$B$2:$B$201,'Trial Rows'!B174,'Trial Rows'!$C$2:$C$201,'Trial Rows'!C174,'Trial Rows'!$F$2:$F$201,'Trial Rows'!F174,'Trial Rows'!$Y$2:$Y$201,'Trial Rows'!Y174,'Trial Rows'!$G$2:$G$201,"B"),"")</x:f>
      </x:c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 t="str">
        <x:f>IF(AND(Calculations!B175=1,'Trial Rows'!G175="B",'Trial Rows'!I175=1,Calculations!D175=1),'Trial Rows'!C175,"")</x:f>
      </x:c>
      <x:c r="B175" s="2" t="str">
        <x:f>IF(A175="","",'Trial Rows'!B175)</x:f>
      </x:c>
      <x:c r="C175" s="2" t="str">
        <x:f>IF(A175="","",'Trial Rows'!F175)</x:f>
      </x:c>
      <x:c r="D175" s="2" t="str">
        <x:f>IF(A175="","",'Trial Rows'!H175)</x:f>
      </x:c>
      <x:c r="E175" s="2" t="str">
        <x:f>IF(A175="","",SUMIFS(Calculations!$F$2:$F$201,'Trial Rows'!$B$2:$B$201,'Trial Rows'!B175,'Trial Rows'!$C$2:$C$201,'Trial Rows'!C175,'Trial Rows'!$F$2:$F$201,'Trial Rows'!F175,'Trial Rows'!$Y$2:$Y$201,'Trial Rows'!Y175))</x:f>
      </x:c>
      <x:c r="F175" s="2" t="str">
        <x:f>IF(A175="","",SUMIFS(Calculations!$G$2:$G$201,'Trial Rows'!$B$2:$B$201,'Trial Rows'!B175,'Trial Rows'!$C$2:$C$201,'Trial Rows'!C175,'Trial Rows'!$F$2:$F$201,'Trial Rows'!F175,'Trial Rows'!$Y$2:$Y$201,'Trial Rows'!Y175))</x:f>
      </x:c>
      <x:c r="G175" s="7" t="str">
        <x:f>IF(OR(A175="",E175=0),"",F175/E175)</x:f>
      </x:c>
      <x:c r="H175" s="7" t="str">
        <x:f>IF(OR(A175="",SUMIFS(Calculations!$H$2:$H$201,'Trial Rows'!$B$2:$B$201,'Trial Rows'!B175,'Trial Rows'!$C$2:$C$201,'Trial Rows'!C175,'Trial Rows'!$F$2:$F$201,'Trial Rows'!F175,'Trial Rows'!$Y$2:$Y$201,'Trial Rows'!Y175)=0),"",SUMIFS(Calculations!$I$2:$I$201,'Trial Rows'!$B$2:$B$201,'Trial Rows'!B175,'Trial Rows'!$C$2:$C$201,'Trial Rows'!C175,'Trial Rows'!$F$2:$F$201,'Trial Rows'!F175,'Trial Rows'!$Y$2:$Y$201,'Trial Rows'!Y175)/SUMIFS(Calculations!$H$2:$H$201,'Trial Rows'!$B$2:$B$201,'Trial Rows'!B175,'Trial Rows'!$C$2:$C$201,'Trial Rows'!C175,'Trial Rows'!$F$2:$F$201,'Trial Rows'!F175,'Trial Rows'!$Y$2:$Y$201,'Trial Rows'!Y175))</x:f>
      </x:c>
      <x:c r="I175" s="2" t="str">
        <x:f>IF(AND(A175&lt;&gt;"",COUNTIFS('Trial Rows'!$B$2:$B$201,'Trial Rows'!B175,'Trial Rows'!$C$2:$C$201,'Trial Rows'!C175,'Trial Rows'!$F$2:$F$201,'Trial Rows'!F175,'Trial Rows'!$Y$2:$Y$201,'Trial Rows'!Y175,'Trial Rows'!$G$2:$G$201,"A",Calculations!$R$2:$R$201,"&gt;=0",Calculations!$R$2:$R$201,"&lt;&gt;")=1),SUMIFS(Calculations!$R$2:$R$201,'Trial Rows'!$B$2:$B$201,'Trial Rows'!B175,'Trial Rows'!$C$2:$C$201,'Trial Rows'!C175,'Trial Rows'!$F$2:$F$201,'Trial Rows'!F175,'Trial Rows'!$Y$2:$Y$201,'Trial Rows'!Y175,'Trial Rows'!$G$2:$G$201,"A"),"")</x:f>
      </x:c>
      <x:c r="J175" s="2" t="str">
        <x:f>IF(AND(A175&lt;&gt;"",COUNTIFS('Trial Rows'!$B$2:$B$201,'Trial Rows'!B175,'Trial Rows'!$C$2:$C$201,'Trial Rows'!C175,'Trial Rows'!$F$2:$F$201,'Trial Rows'!F175,'Trial Rows'!$Y$2:$Y$201,'Trial Rows'!Y175,'Trial Rows'!$G$2:$G$201,"B",Calculations!$R$2:$R$201,"&gt;=0",Calculations!$R$2:$R$201,"&lt;&gt;")=1),SUMIFS(Calculations!$R$2:$R$201,'Trial Rows'!$B$2:$B$201,'Trial Rows'!B175,'Trial Rows'!$C$2:$C$201,'Trial Rows'!C175,'Trial Rows'!$F$2:$F$201,'Trial Rows'!F175,'Trial Rows'!$Y$2:$Y$201,'Trial Rows'!Y175,'Trial Rows'!$G$2:$G$201,"B"),"")</x:f>
      </x:c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 t="str">
        <x:f>IF(AND(Calculations!B176=1,'Trial Rows'!G176="B",'Trial Rows'!I176=1,Calculations!D176=1),'Trial Rows'!C176,"")</x:f>
      </x:c>
      <x:c r="B176" s="2" t="str">
        <x:f>IF(A176="","",'Trial Rows'!B176)</x:f>
      </x:c>
      <x:c r="C176" s="2" t="str">
        <x:f>IF(A176="","",'Trial Rows'!F176)</x:f>
      </x:c>
      <x:c r="D176" s="2" t="str">
        <x:f>IF(A176="","",'Trial Rows'!H176)</x:f>
      </x:c>
      <x:c r="E176" s="2" t="str">
        <x:f>IF(A176="","",SUMIFS(Calculations!$F$2:$F$201,'Trial Rows'!$B$2:$B$201,'Trial Rows'!B176,'Trial Rows'!$C$2:$C$201,'Trial Rows'!C176,'Trial Rows'!$F$2:$F$201,'Trial Rows'!F176,'Trial Rows'!$Y$2:$Y$201,'Trial Rows'!Y176))</x:f>
      </x:c>
      <x:c r="F176" s="2" t="str">
        <x:f>IF(A176="","",SUMIFS(Calculations!$G$2:$G$201,'Trial Rows'!$B$2:$B$201,'Trial Rows'!B176,'Trial Rows'!$C$2:$C$201,'Trial Rows'!C176,'Trial Rows'!$F$2:$F$201,'Trial Rows'!F176,'Trial Rows'!$Y$2:$Y$201,'Trial Rows'!Y176))</x:f>
      </x:c>
      <x:c r="G176" s="7" t="str">
        <x:f>IF(OR(A176="",E176=0),"",F176/E176)</x:f>
      </x:c>
      <x:c r="H176" s="7" t="str">
        <x:f>IF(OR(A176="",SUMIFS(Calculations!$H$2:$H$201,'Trial Rows'!$B$2:$B$201,'Trial Rows'!B176,'Trial Rows'!$C$2:$C$201,'Trial Rows'!C176,'Trial Rows'!$F$2:$F$201,'Trial Rows'!F176,'Trial Rows'!$Y$2:$Y$201,'Trial Rows'!Y176)=0),"",SUMIFS(Calculations!$I$2:$I$201,'Trial Rows'!$B$2:$B$201,'Trial Rows'!B176,'Trial Rows'!$C$2:$C$201,'Trial Rows'!C176,'Trial Rows'!$F$2:$F$201,'Trial Rows'!F176,'Trial Rows'!$Y$2:$Y$201,'Trial Rows'!Y176)/SUMIFS(Calculations!$H$2:$H$201,'Trial Rows'!$B$2:$B$201,'Trial Rows'!B176,'Trial Rows'!$C$2:$C$201,'Trial Rows'!C176,'Trial Rows'!$F$2:$F$201,'Trial Rows'!F176,'Trial Rows'!$Y$2:$Y$201,'Trial Rows'!Y176))</x:f>
      </x:c>
      <x:c r="I176" s="2" t="str">
        <x:f>IF(AND(A176&lt;&gt;"",COUNTIFS('Trial Rows'!$B$2:$B$201,'Trial Rows'!B176,'Trial Rows'!$C$2:$C$201,'Trial Rows'!C176,'Trial Rows'!$F$2:$F$201,'Trial Rows'!F176,'Trial Rows'!$Y$2:$Y$201,'Trial Rows'!Y176,'Trial Rows'!$G$2:$G$201,"A",Calculations!$R$2:$R$201,"&gt;=0",Calculations!$R$2:$R$201,"&lt;&gt;")=1),SUMIFS(Calculations!$R$2:$R$201,'Trial Rows'!$B$2:$B$201,'Trial Rows'!B176,'Trial Rows'!$C$2:$C$201,'Trial Rows'!C176,'Trial Rows'!$F$2:$F$201,'Trial Rows'!F176,'Trial Rows'!$Y$2:$Y$201,'Trial Rows'!Y176,'Trial Rows'!$G$2:$G$201,"A"),"")</x:f>
      </x:c>
      <x:c r="J176" s="2" t="str">
        <x:f>IF(AND(A176&lt;&gt;"",COUNTIFS('Trial Rows'!$B$2:$B$201,'Trial Rows'!B176,'Trial Rows'!$C$2:$C$201,'Trial Rows'!C176,'Trial Rows'!$F$2:$F$201,'Trial Rows'!F176,'Trial Rows'!$Y$2:$Y$201,'Trial Rows'!Y176,'Trial Rows'!$G$2:$G$201,"B",Calculations!$R$2:$R$201,"&gt;=0",Calculations!$R$2:$R$201,"&lt;&gt;")=1),SUMIFS(Calculations!$R$2:$R$201,'Trial Rows'!$B$2:$B$201,'Trial Rows'!B176,'Trial Rows'!$C$2:$C$201,'Trial Rows'!C176,'Trial Rows'!$F$2:$F$201,'Trial Rows'!F176,'Trial Rows'!$Y$2:$Y$201,'Trial Rows'!Y176,'Trial Rows'!$G$2:$G$201,"B"),"")</x:f>
      </x:c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 t="str">
        <x:f>IF(AND(Calculations!B177=1,'Trial Rows'!G177="B",'Trial Rows'!I177=1,Calculations!D177=1),'Trial Rows'!C177,"")</x:f>
      </x:c>
      <x:c r="B177" s="2" t="str">
        <x:f>IF(A177="","",'Trial Rows'!B177)</x:f>
      </x:c>
      <x:c r="C177" s="2" t="str">
        <x:f>IF(A177="","",'Trial Rows'!F177)</x:f>
      </x:c>
      <x:c r="D177" s="2" t="str">
        <x:f>IF(A177="","",'Trial Rows'!H177)</x:f>
      </x:c>
      <x:c r="E177" s="2" t="str">
        <x:f>IF(A177="","",SUMIFS(Calculations!$F$2:$F$201,'Trial Rows'!$B$2:$B$201,'Trial Rows'!B177,'Trial Rows'!$C$2:$C$201,'Trial Rows'!C177,'Trial Rows'!$F$2:$F$201,'Trial Rows'!F177,'Trial Rows'!$Y$2:$Y$201,'Trial Rows'!Y177))</x:f>
      </x:c>
      <x:c r="F177" s="2" t="str">
        <x:f>IF(A177="","",SUMIFS(Calculations!$G$2:$G$201,'Trial Rows'!$B$2:$B$201,'Trial Rows'!B177,'Trial Rows'!$C$2:$C$201,'Trial Rows'!C177,'Trial Rows'!$F$2:$F$201,'Trial Rows'!F177,'Trial Rows'!$Y$2:$Y$201,'Trial Rows'!Y177))</x:f>
      </x:c>
      <x:c r="G177" s="7" t="str">
        <x:f>IF(OR(A177="",E177=0),"",F177/E177)</x:f>
      </x:c>
      <x:c r="H177" s="7" t="str">
        <x:f>IF(OR(A177="",SUMIFS(Calculations!$H$2:$H$201,'Trial Rows'!$B$2:$B$201,'Trial Rows'!B177,'Trial Rows'!$C$2:$C$201,'Trial Rows'!C177,'Trial Rows'!$F$2:$F$201,'Trial Rows'!F177,'Trial Rows'!$Y$2:$Y$201,'Trial Rows'!Y177)=0),"",SUMIFS(Calculations!$I$2:$I$201,'Trial Rows'!$B$2:$B$201,'Trial Rows'!B177,'Trial Rows'!$C$2:$C$201,'Trial Rows'!C177,'Trial Rows'!$F$2:$F$201,'Trial Rows'!F177,'Trial Rows'!$Y$2:$Y$201,'Trial Rows'!Y177)/SUMIFS(Calculations!$H$2:$H$201,'Trial Rows'!$B$2:$B$201,'Trial Rows'!B177,'Trial Rows'!$C$2:$C$201,'Trial Rows'!C177,'Trial Rows'!$F$2:$F$201,'Trial Rows'!F177,'Trial Rows'!$Y$2:$Y$201,'Trial Rows'!Y177))</x:f>
      </x:c>
      <x:c r="I177" s="2" t="str">
        <x:f>IF(AND(A177&lt;&gt;"",COUNTIFS('Trial Rows'!$B$2:$B$201,'Trial Rows'!B177,'Trial Rows'!$C$2:$C$201,'Trial Rows'!C177,'Trial Rows'!$F$2:$F$201,'Trial Rows'!F177,'Trial Rows'!$Y$2:$Y$201,'Trial Rows'!Y177,'Trial Rows'!$G$2:$G$201,"A",Calculations!$R$2:$R$201,"&gt;=0",Calculations!$R$2:$R$201,"&lt;&gt;")=1),SUMIFS(Calculations!$R$2:$R$201,'Trial Rows'!$B$2:$B$201,'Trial Rows'!B177,'Trial Rows'!$C$2:$C$201,'Trial Rows'!C177,'Trial Rows'!$F$2:$F$201,'Trial Rows'!F177,'Trial Rows'!$Y$2:$Y$201,'Trial Rows'!Y177,'Trial Rows'!$G$2:$G$201,"A"),"")</x:f>
      </x:c>
      <x:c r="J177" s="2" t="str">
        <x:f>IF(AND(A177&lt;&gt;"",COUNTIFS('Trial Rows'!$B$2:$B$201,'Trial Rows'!B177,'Trial Rows'!$C$2:$C$201,'Trial Rows'!C177,'Trial Rows'!$F$2:$F$201,'Trial Rows'!F177,'Trial Rows'!$Y$2:$Y$201,'Trial Rows'!Y177,'Trial Rows'!$G$2:$G$201,"B",Calculations!$R$2:$R$201,"&gt;=0",Calculations!$R$2:$R$201,"&lt;&gt;")=1),SUMIFS(Calculations!$R$2:$R$201,'Trial Rows'!$B$2:$B$201,'Trial Rows'!B177,'Trial Rows'!$C$2:$C$201,'Trial Rows'!C177,'Trial Rows'!$F$2:$F$201,'Trial Rows'!F177,'Trial Rows'!$Y$2:$Y$201,'Trial Rows'!Y177,'Trial Rows'!$G$2:$G$201,"B"),"")</x:f>
      </x:c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 t="str">
        <x:f>IF(AND(Calculations!B178=1,'Trial Rows'!G178="B",'Trial Rows'!I178=1,Calculations!D178=1),'Trial Rows'!C178,"")</x:f>
      </x:c>
      <x:c r="B178" s="2" t="str">
        <x:f>IF(A178="","",'Trial Rows'!B178)</x:f>
      </x:c>
      <x:c r="C178" s="2" t="str">
        <x:f>IF(A178="","",'Trial Rows'!F178)</x:f>
      </x:c>
      <x:c r="D178" s="2" t="str">
        <x:f>IF(A178="","",'Trial Rows'!H178)</x:f>
      </x:c>
      <x:c r="E178" s="2" t="str">
        <x:f>IF(A178="","",SUMIFS(Calculations!$F$2:$F$201,'Trial Rows'!$B$2:$B$201,'Trial Rows'!B178,'Trial Rows'!$C$2:$C$201,'Trial Rows'!C178,'Trial Rows'!$F$2:$F$201,'Trial Rows'!F178,'Trial Rows'!$Y$2:$Y$201,'Trial Rows'!Y178))</x:f>
      </x:c>
      <x:c r="F178" s="2" t="str">
        <x:f>IF(A178="","",SUMIFS(Calculations!$G$2:$G$201,'Trial Rows'!$B$2:$B$201,'Trial Rows'!B178,'Trial Rows'!$C$2:$C$201,'Trial Rows'!C178,'Trial Rows'!$F$2:$F$201,'Trial Rows'!F178,'Trial Rows'!$Y$2:$Y$201,'Trial Rows'!Y178))</x:f>
      </x:c>
      <x:c r="G178" s="7" t="str">
        <x:f>IF(OR(A178="",E178=0),"",F178/E178)</x:f>
      </x:c>
      <x:c r="H178" s="7" t="str">
        <x:f>IF(OR(A178="",SUMIFS(Calculations!$H$2:$H$201,'Trial Rows'!$B$2:$B$201,'Trial Rows'!B178,'Trial Rows'!$C$2:$C$201,'Trial Rows'!C178,'Trial Rows'!$F$2:$F$201,'Trial Rows'!F178,'Trial Rows'!$Y$2:$Y$201,'Trial Rows'!Y178)=0),"",SUMIFS(Calculations!$I$2:$I$201,'Trial Rows'!$B$2:$B$201,'Trial Rows'!B178,'Trial Rows'!$C$2:$C$201,'Trial Rows'!C178,'Trial Rows'!$F$2:$F$201,'Trial Rows'!F178,'Trial Rows'!$Y$2:$Y$201,'Trial Rows'!Y178)/SUMIFS(Calculations!$H$2:$H$201,'Trial Rows'!$B$2:$B$201,'Trial Rows'!B178,'Trial Rows'!$C$2:$C$201,'Trial Rows'!C178,'Trial Rows'!$F$2:$F$201,'Trial Rows'!F178,'Trial Rows'!$Y$2:$Y$201,'Trial Rows'!Y178))</x:f>
      </x:c>
      <x:c r="I178" s="2" t="str">
        <x:f>IF(AND(A178&lt;&gt;"",COUNTIFS('Trial Rows'!$B$2:$B$201,'Trial Rows'!B178,'Trial Rows'!$C$2:$C$201,'Trial Rows'!C178,'Trial Rows'!$F$2:$F$201,'Trial Rows'!F178,'Trial Rows'!$Y$2:$Y$201,'Trial Rows'!Y178,'Trial Rows'!$G$2:$G$201,"A",Calculations!$R$2:$R$201,"&gt;=0",Calculations!$R$2:$R$201,"&lt;&gt;")=1),SUMIFS(Calculations!$R$2:$R$201,'Trial Rows'!$B$2:$B$201,'Trial Rows'!B178,'Trial Rows'!$C$2:$C$201,'Trial Rows'!C178,'Trial Rows'!$F$2:$F$201,'Trial Rows'!F178,'Trial Rows'!$Y$2:$Y$201,'Trial Rows'!Y178,'Trial Rows'!$G$2:$G$201,"A"),"")</x:f>
      </x:c>
      <x:c r="J178" s="2" t="str">
        <x:f>IF(AND(A178&lt;&gt;"",COUNTIFS('Trial Rows'!$B$2:$B$201,'Trial Rows'!B178,'Trial Rows'!$C$2:$C$201,'Trial Rows'!C178,'Trial Rows'!$F$2:$F$201,'Trial Rows'!F178,'Trial Rows'!$Y$2:$Y$201,'Trial Rows'!Y178,'Trial Rows'!$G$2:$G$201,"B",Calculations!$R$2:$R$201,"&gt;=0",Calculations!$R$2:$R$201,"&lt;&gt;")=1),SUMIFS(Calculations!$R$2:$R$201,'Trial Rows'!$B$2:$B$201,'Trial Rows'!B178,'Trial Rows'!$C$2:$C$201,'Trial Rows'!C178,'Trial Rows'!$F$2:$F$201,'Trial Rows'!F178,'Trial Rows'!$Y$2:$Y$201,'Trial Rows'!Y178,'Trial Rows'!$G$2:$G$201,"B"),"")</x:f>
      </x:c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 t="str">
        <x:f>IF(AND(Calculations!B179=1,'Trial Rows'!G179="B",'Trial Rows'!I179=1,Calculations!D179=1),'Trial Rows'!C179,"")</x:f>
      </x:c>
      <x:c r="B179" s="2" t="str">
        <x:f>IF(A179="","",'Trial Rows'!B179)</x:f>
      </x:c>
      <x:c r="C179" s="2" t="str">
        <x:f>IF(A179="","",'Trial Rows'!F179)</x:f>
      </x:c>
      <x:c r="D179" s="2" t="str">
        <x:f>IF(A179="","",'Trial Rows'!H179)</x:f>
      </x:c>
      <x:c r="E179" s="2" t="str">
        <x:f>IF(A179="","",SUMIFS(Calculations!$F$2:$F$201,'Trial Rows'!$B$2:$B$201,'Trial Rows'!B179,'Trial Rows'!$C$2:$C$201,'Trial Rows'!C179,'Trial Rows'!$F$2:$F$201,'Trial Rows'!F179,'Trial Rows'!$Y$2:$Y$201,'Trial Rows'!Y179))</x:f>
      </x:c>
      <x:c r="F179" s="2" t="str">
        <x:f>IF(A179="","",SUMIFS(Calculations!$G$2:$G$201,'Trial Rows'!$B$2:$B$201,'Trial Rows'!B179,'Trial Rows'!$C$2:$C$201,'Trial Rows'!C179,'Trial Rows'!$F$2:$F$201,'Trial Rows'!F179,'Trial Rows'!$Y$2:$Y$201,'Trial Rows'!Y179))</x:f>
      </x:c>
      <x:c r="G179" s="7" t="str">
        <x:f>IF(OR(A179="",E179=0),"",F179/E179)</x:f>
      </x:c>
      <x:c r="H179" s="7" t="str">
        <x:f>IF(OR(A179="",SUMIFS(Calculations!$H$2:$H$201,'Trial Rows'!$B$2:$B$201,'Trial Rows'!B179,'Trial Rows'!$C$2:$C$201,'Trial Rows'!C179,'Trial Rows'!$F$2:$F$201,'Trial Rows'!F179,'Trial Rows'!$Y$2:$Y$201,'Trial Rows'!Y179)=0),"",SUMIFS(Calculations!$I$2:$I$201,'Trial Rows'!$B$2:$B$201,'Trial Rows'!B179,'Trial Rows'!$C$2:$C$201,'Trial Rows'!C179,'Trial Rows'!$F$2:$F$201,'Trial Rows'!F179,'Trial Rows'!$Y$2:$Y$201,'Trial Rows'!Y179)/SUMIFS(Calculations!$H$2:$H$201,'Trial Rows'!$B$2:$B$201,'Trial Rows'!B179,'Trial Rows'!$C$2:$C$201,'Trial Rows'!C179,'Trial Rows'!$F$2:$F$201,'Trial Rows'!F179,'Trial Rows'!$Y$2:$Y$201,'Trial Rows'!Y179))</x:f>
      </x:c>
      <x:c r="I179" s="2" t="str">
        <x:f>IF(AND(A179&lt;&gt;"",COUNTIFS('Trial Rows'!$B$2:$B$201,'Trial Rows'!B179,'Trial Rows'!$C$2:$C$201,'Trial Rows'!C179,'Trial Rows'!$F$2:$F$201,'Trial Rows'!F179,'Trial Rows'!$Y$2:$Y$201,'Trial Rows'!Y179,'Trial Rows'!$G$2:$G$201,"A",Calculations!$R$2:$R$201,"&gt;=0",Calculations!$R$2:$R$201,"&lt;&gt;")=1),SUMIFS(Calculations!$R$2:$R$201,'Trial Rows'!$B$2:$B$201,'Trial Rows'!B179,'Trial Rows'!$C$2:$C$201,'Trial Rows'!C179,'Trial Rows'!$F$2:$F$201,'Trial Rows'!F179,'Trial Rows'!$Y$2:$Y$201,'Trial Rows'!Y179,'Trial Rows'!$G$2:$G$201,"A"),"")</x:f>
      </x:c>
      <x:c r="J179" s="2" t="str">
        <x:f>IF(AND(A179&lt;&gt;"",COUNTIFS('Trial Rows'!$B$2:$B$201,'Trial Rows'!B179,'Trial Rows'!$C$2:$C$201,'Trial Rows'!C179,'Trial Rows'!$F$2:$F$201,'Trial Rows'!F179,'Trial Rows'!$Y$2:$Y$201,'Trial Rows'!Y179,'Trial Rows'!$G$2:$G$201,"B",Calculations!$R$2:$R$201,"&gt;=0",Calculations!$R$2:$R$201,"&lt;&gt;")=1),SUMIFS(Calculations!$R$2:$R$201,'Trial Rows'!$B$2:$B$201,'Trial Rows'!B179,'Trial Rows'!$C$2:$C$201,'Trial Rows'!C179,'Trial Rows'!$F$2:$F$201,'Trial Rows'!F179,'Trial Rows'!$Y$2:$Y$201,'Trial Rows'!Y179,'Trial Rows'!$G$2:$G$201,"B"),"")</x:f>
      </x:c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 t="str">
        <x:f>IF(AND(Calculations!B180=1,'Trial Rows'!G180="B",'Trial Rows'!I180=1,Calculations!D180=1),'Trial Rows'!C180,"")</x:f>
      </x:c>
      <x:c r="B180" s="2" t="str">
        <x:f>IF(A180="","",'Trial Rows'!B180)</x:f>
      </x:c>
      <x:c r="C180" s="2" t="str">
        <x:f>IF(A180="","",'Trial Rows'!F180)</x:f>
      </x:c>
      <x:c r="D180" s="2" t="str">
        <x:f>IF(A180="","",'Trial Rows'!H180)</x:f>
      </x:c>
      <x:c r="E180" s="2" t="str">
        <x:f>IF(A180="","",SUMIFS(Calculations!$F$2:$F$201,'Trial Rows'!$B$2:$B$201,'Trial Rows'!B180,'Trial Rows'!$C$2:$C$201,'Trial Rows'!C180,'Trial Rows'!$F$2:$F$201,'Trial Rows'!F180,'Trial Rows'!$Y$2:$Y$201,'Trial Rows'!Y180))</x:f>
      </x:c>
      <x:c r="F180" s="2" t="str">
        <x:f>IF(A180="","",SUMIFS(Calculations!$G$2:$G$201,'Trial Rows'!$B$2:$B$201,'Trial Rows'!B180,'Trial Rows'!$C$2:$C$201,'Trial Rows'!C180,'Trial Rows'!$F$2:$F$201,'Trial Rows'!F180,'Trial Rows'!$Y$2:$Y$201,'Trial Rows'!Y180))</x:f>
      </x:c>
      <x:c r="G180" s="7" t="str">
        <x:f>IF(OR(A180="",E180=0),"",F180/E180)</x:f>
      </x:c>
      <x:c r="H180" s="7" t="str">
        <x:f>IF(OR(A180="",SUMIFS(Calculations!$H$2:$H$201,'Trial Rows'!$B$2:$B$201,'Trial Rows'!B180,'Trial Rows'!$C$2:$C$201,'Trial Rows'!C180,'Trial Rows'!$F$2:$F$201,'Trial Rows'!F180,'Trial Rows'!$Y$2:$Y$201,'Trial Rows'!Y180)=0),"",SUMIFS(Calculations!$I$2:$I$201,'Trial Rows'!$B$2:$B$201,'Trial Rows'!B180,'Trial Rows'!$C$2:$C$201,'Trial Rows'!C180,'Trial Rows'!$F$2:$F$201,'Trial Rows'!F180,'Trial Rows'!$Y$2:$Y$201,'Trial Rows'!Y180)/SUMIFS(Calculations!$H$2:$H$201,'Trial Rows'!$B$2:$B$201,'Trial Rows'!B180,'Trial Rows'!$C$2:$C$201,'Trial Rows'!C180,'Trial Rows'!$F$2:$F$201,'Trial Rows'!F180,'Trial Rows'!$Y$2:$Y$201,'Trial Rows'!Y180))</x:f>
      </x:c>
      <x:c r="I180" s="2" t="str">
        <x:f>IF(AND(A180&lt;&gt;"",COUNTIFS('Trial Rows'!$B$2:$B$201,'Trial Rows'!B180,'Trial Rows'!$C$2:$C$201,'Trial Rows'!C180,'Trial Rows'!$F$2:$F$201,'Trial Rows'!F180,'Trial Rows'!$Y$2:$Y$201,'Trial Rows'!Y180,'Trial Rows'!$G$2:$G$201,"A",Calculations!$R$2:$R$201,"&gt;=0",Calculations!$R$2:$R$201,"&lt;&gt;")=1),SUMIFS(Calculations!$R$2:$R$201,'Trial Rows'!$B$2:$B$201,'Trial Rows'!B180,'Trial Rows'!$C$2:$C$201,'Trial Rows'!C180,'Trial Rows'!$F$2:$F$201,'Trial Rows'!F180,'Trial Rows'!$Y$2:$Y$201,'Trial Rows'!Y180,'Trial Rows'!$G$2:$G$201,"A"),"")</x:f>
      </x:c>
      <x:c r="J180" s="2" t="str">
        <x:f>IF(AND(A180&lt;&gt;"",COUNTIFS('Trial Rows'!$B$2:$B$201,'Trial Rows'!B180,'Trial Rows'!$C$2:$C$201,'Trial Rows'!C180,'Trial Rows'!$F$2:$F$201,'Trial Rows'!F180,'Trial Rows'!$Y$2:$Y$201,'Trial Rows'!Y180,'Trial Rows'!$G$2:$G$201,"B",Calculations!$R$2:$R$201,"&gt;=0",Calculations!$R$2:$R$201,"&lt;&gt;")=1),SUMIFS(Calculations!$R$2:$R$201,'Trial Rows'!$B$2:$B$201,'Trial Rows'!B180,'Trial Rows'!$C$2:$C$201,'Trial Rows'!C180,'Trial Rows'!$F$2:$F$201,'Trial Rows'!F180,'Trial Rows'!$Y$2:$Y$201,'Trial Rows'!Y180,'Trial Rows'!$G$2:$G$201,"B"),"")</x:f>
      </x:c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 t="str">
        <x:f>IF(AND(Calculations!B181=1,'Trial Rows'!G181="B",'Trial Rows'!I181=1,Calculations!D181=1),'Trial Rows'!C181,"")</x:f>
      </x:c>
      <x:c r="B181" s="2" t="str">
        <x:f>IF(A181="","",'Trial Rows'!B181)</x:f>
      </x:c>
      <x:c r="C181" s="2" t="str">
        <x:f>IF(A181="","",'Trial Rows'!F181)</x:f>
      </x:c>
      <x:c r="D181" s="2" t="str">
        <x:f>IF(A181="","",'Trial Rows'!H181)</x:f>
      </x:c>
      <x:c r="E181" s="2" t="str">
        <x:f>IF(A181="","",SUMIFS(Calculations!$F$2:$F$201,'Trial Rows'!$B$2:$B$201,'Trial Rows'!B181,'Trial Rows'!$C$2:$C$201,'Trial Rows'!C181,'Trial Rows'!$F$2:$F$201,'Trial Rows'!F181,'Trial Rows'!$Y$2:$Y$201,'Trial Rows'!Y181))</x:f>
      </x:c>
      <x:c r="F181" s="2" t="str">
        <x:f>IF(A181="","",SUMIFS(Calculations!$G$2:$G$201,'Trial Rows'!$B$2:$B$201,'Trial Rows'!B181,'Trial Rows'!$C$2:$C$201,'Trial Rows'!C181,'Trial Rows'!$F$2:$F$201,'Trial Rows'!F181,'Trial Rows'!$Y$2:$Y$201,'Trial Rows'!Y181))</x:f>
      </x:c>
      <x:c r="G181" s="7" t="str">
        <x:f>IF(OR(A181="",E181=0),"",F181/E181)</x:f>
      </x:c>
      <x:c r="H181" s="7" t="str">
        <x:f>IF(OR(A181="",SUMIFS(Calculations!$H$2:$H$201,'Trial Rows'!$B$2:$B$201,'Trial Rows'!B181,'Trial Rows'!$C$2:$C$201,'Trial Rows'!C181,'Trial Rows'!$F$2:$F$201,'Trial Rows'!F181,'Trial Rows'!$Y$2:$Y$201,'Trial Rows'!Y181)=0),"",SUMIFS(Calculations!$I$2:$I$201,'Trial Rows'!$B$2:$B$201,'Trial Rows'!B181,'Trial Rows'!$C$2:$C$201,'Trial Rows'!C181,'Trial Rows'!$F$2:$F$201,'Trial Rows'!F181,'Trial Rows'!$Y$2:$Y$201,'Trial Rows'!Y181)/SUMIFS(Calculations!$H$2:$H$201,'Trial Rows'!$B$2:$B$201,'Trial Rows'!B181,'Trial Rows'!$C$2:$C$201,'Trial Rows'!C181,'Trial Rows'!$F$2:$F$201,'Trial Rows'!F181,'Trial Rows'!$Y$2:$Y$201,'Trial Rows'!Y181))</x:f>
      </x:c>
      <x:c r="I181" s="2" t="str">
        <x:f>IF(AND(A181&lt;&gt;"",COUNTIFS('Trial Rows'!$B$2:$B$201,'Trial Rows'!B181,'Trial Rows'!$C$2:$C$201,'Trial Rows'!C181,'Trial Rows'!$F$2:$F$201,'Trial Rows'!F181,'Trial Rows'!$Y$2:$Y$201,'Trial Rows'!Y181,'Trial Rows'!$G$2:$G$201,"A",Calculations!$R$2:$R$201,"&gt;=0",Calculations!$R$2:$R$201,"&lt;&gt;")=1),SUMIFS(Calculations!$R$2:$R$201,'Trial Rows'!$B$2:$B$201,'Trial Rows'!B181,'Trial Rows'!$C$2:$C$201,'Trial Rows'!C181,'Trial Rows'!$F$2:$F$201,'Trial Rows'!F181,'Trial Rows'!$Y$2:$Y$201,'Trial Rows'!Y181,'Trial Rows'!$G$2:$G$201,"A"),"")</x:f>
      </x:c>
      <x:c r="J181" s="2" t="str">
        <x:f>IF(AND(A181&lt;&gt;"",COUNTIFS('Trial Rows'!$B$2:$B$201,'Trial Rows'!B181,'Trial Rows'!$C$2:$C$201,'Trial Rows'!C181,'Trial Rows'!$F$2:$F$201,'Trial Rows'!F181,'Trial Rows'!$Y$2:$Y$201,'Trial Rows'!Y181,'Trial Rows'!$G$2:$G$201,"B",Calculations!$R$2:$R$201,"&gt;=0",Calculations!$R$2:$R$201,"&lt;&gt;")=1),SUMIFS(Calculations!$R$2:$R$201,'Trial Rows'!$B$2:$B$201,'Trial Rows'!B181,'Trial Rows'!$C$2:$C$201,'Trial Rows'!C181,'Trial Rows'!$F$2:$F$201,'Trial Rows'!F181,'Trial Rows'!$Y$2:$Y$201,'Trial Rows'!Y181,'Trial Rows'!$G$2:$G$201,"B"),"")</x:f>
      </x:c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 t="str">
        <x:f>IF(AND(Calculations!B182=1,'Trial Rows'!G182="B",'Trial Rows'!I182=1,Calculations!D182=1),'Trial Rows'!C182,"")</x:f>
      </x:c>
      <x:c r="B182" s="2" t="str">
        <x:f>IF(A182="","",'Trial Rows'!B182)</x:f>
      </x:c>
      <x:c r="C182" s="2" t="str">
        <x:f>IF(A182="","",'Trial Rows'!F182)</x:f>
      </x:c>
      <x:c r="D182" s="2" t="str">
        <x:f>IF(A182="","",'Trial Rows'!H182)</x:f>
      </x:c>
      <x:c r="E182" s="2" t="str">
        <x:f>IF(A182="","",SUMIFS(Calculations!$F$2:$F$201,'Trial Rows'!$B$2:$B$201,'Trial Rows'!B182,'Trial Rows'!$C$2:$C$201,'Trial Rows'!C182,'Trial Rows'!$F$2:$F$201,'Trial Rows'!F182,'Trial Rows'!$Y$2:$Y$201,'Trial Rows'!Y182))</x:f>
      </x:c>
      <x:c r="F182" s="2" t="str">
        <x:f>IF(A182="","",SUMIFS(Calculations!$G$2:$G$201,'Trial Rows'!$B$2:$B$201,'Trial Rows'!B182,'Trial Rows'!$C$2:$C$201,'Trial Rows'!C182,'Trial Rows'!$F$2:$F$201,'Trial Rows'!F182,'Trial Rows'!$Y$2:$Y$201,'Trial Rows'!Y182))</x:f>
      </x:c>
      <x:c r="G182" s="7" t="str">
        <x:f>IF(OR(A182="",E182=0),"",F182/E182)</x:f>
      </x:c>
      <x:c r="H182" s="7" t="str">
        <x:f>IF(OR(A182="",SUMIFS(Calculations!$H$2:$H$201,'Trial Rows'!$B$2:$B$201,'Trial Rows'!B182,'Trial Rows'!$C$2:$C$201,'Trial Rows'!C182,'Trial Rows'!$F$2:$F$201,'Trial Rows'!F182,'Trial Rows'!$Y$2:$Y$201,'Trial Rows'!Y182)=0),"",SUMIFS(Calculations!$I$2:$I$201,'Trial Rows'!$B$2:$B$201,'Trial Rows'!B182,'Trial Rows'!$C$2:$C$201,'Trial Rows'!C182,'Trial Rows'!$F$2:$F$201,'Trial Rows'!F182,'Trial Rows'!$Y$2:$Y$201,'Trial Rows'!Y182)/SUMIFS(Calculations!$H$2:$H$201,'Trial Rows'!$B$2:$B$201,'Trial Rows'!B182,'Trial Rows'!$C$2:$C$201,'Trial Rows'!C182,'Trial Rows'!$F$2:$F$201,'Trial Rows'!F182,'Trial Rows'!$Y$2:$Y$201,'Trial Rows'!Y182))</x:f>
      </x:c>
      <x:c r="I182" s="2" t="str">
        <x:f>IF(AND(A182&lt;&gt;"",COUNTIFS('Trial Rows'!$B$2:$B$201,'Trial Rows'!B182,'Trial Rows'!$C$2:$C$201,'Trial Rows'!C182,'Trial Rows'!$F$2:$F$201,'Trial Rows'!F182,'Trial Rows'!$Y$2:$Y$201,'Trial Rows'!Y182,'Trial Rows'!$G$2:$G$201,"A",Calculations!$R$2:$R$201,"&gt;=0",Calculations!$R$2:$R$201,"&lt;&gt;")=1),SUMIFS(Calculations!$R$2:$R$201,'Trial Rows'!$B$2:$B$201,'Trial Rows'!B182,'Trial Rows'!$C$2:$C$201,'Trial Rows'!C182,'Trial Rows'!$F$2:$F$201,'Trial Rows'!F182,'Trial Rows'!$Y$2:$Y$201,'Trial Rows'!Y182,'Trial Rows'!$G$2:$G$201,"A"),"")</x:f>
      </x:c>
      <x:c r="J182" s="2" t="str">
        <x:f>IF(AND(A182&lt;&gt;"",COUNTIFS('Trial Rows'!$B$2:$B$201,'Trial Rows'!B182,'Trial Rows'!$C$2:$C$201,'Trial Rows'!C182,'Trial Rows'!$F$2:$F$201,'Trial Rows'!F182,'Trial Rows'!$Y$2:$Y$201,'Trial Rows'!Y182,'Trial Rows'!$G$2:$G$201,"B",Calculations!$R$2:$R$201,"&gt;=0",Calculations!$R$2:$R$201,"&lt;&gt;")=1),SUMIFS(Calculations!$R$2:$R$201,'Trial Rows'!$B$2:$B$201,'Trial Rows'!B182,'Trial Rows'!$C$2:$C$201,'Trial Rows'!C182,'Trial Rows'!$F$2:$F$201,'Trial Rows'!F182,'Trial Rows'!$Y$2:$Y$201,'Trial Rows'!Y182,'Trial Rows'!$G$2:$G$201,"B"),"")</x:f>
      </x:c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 t="str">
        <x:f>IF(AND(Calculations!B183=1,'Trial Rows'!G183="B",'Trial Rows'!I183=1,Calculations!D183=1),'Trial Rows'!C183,"")</x:f>
      </x:c>
      <x:c r="B183" s="2" t="str">
        <x:f>IF(A183="","",'Trial Rows'!B183)</x:f>
      </x:c>
      <x:c r="C183" s="2" t="str">
        <x:f>IF(A183="","",'Trial Rows'!F183)</x:f>
      </x:c>
      <x:c r="D183" s="2" t="str">
        <x:f>IF(A183="","",'Trial Rows'!H183)</x:f>
      </x:c>
      <x:c r="E183" s="2" t="str">
        <x:f>IF(A183="","",SUMIFS(Calculations!$F$2:$F$201,'Trial Rows'!$B$2:$B$201,'Trial Rows'!B183,'Trial Rows'!$C$2:$C$201,'Trial Rows'!C183,'Trial Rows'!$F$2:$F$201,'Trial Rows'!F183,'Trial Rows'!$Y$2:$Y$201,'Trial Rows'!Y183))</x:f>
      </x:c>
      <x:c r="F183" s="2" t="str">
        <x:f>IF(A183="","",SUMIFS(Calculations!$G$2:$G$201,'Trial Rows'!$B$2:$B$201,'Trial Rows'!B183,'Trial Rows'!$C$2:$C$201,'Trial Rows'!C183,'Trial Rows'!$F$2:$F$201,'Trial Rows'!F183,'Trial Rows'!$Y$2:$Y$201,'Trial Rows'!Y183))</x:f>
      </x:c>
      <x:c r="G183" s="7" t="str">
        <x:f>IF(OR(A183="",E183=0),"",F183/E183)</x:f>
      </x:c>
      <x:c r="H183" s="7" t="str">
        <x:f>IF(OR(A183="",SUMIFS(Calculations!$H$2:$H$201,'Trial Rows'!$B$2:$B$201,'Trial Rows'!B183,'Trial Rows'!$C$2:$C$201,'Trial Rows'!C183,'Trial Rows'!$F$2:$F$201,'Trial Rows'!F183,'Trial Rows'!$Y$2:$Y$201,'Trial Rows'!Y183)=0),"",SUMIFS(Calculations!$I$2:$I$201,'Trial Rows'!$B$2:$B$201,'Trial Rows'!B183,'Trial Rows'!$C$2:$C$201,'Trial Rows'!C183,'Trial Rows'!$F$2:$F$201,'Trial Rows'!F183,'Trial Rows'!$Y$2:$Y$201,'Trial Rows'!Y183)/SUMIFS(Calculations!$H$2:$H$201,'Trial Rows'!$B$2:$B$201,'Trial Rows'!B183,'Trial Rows'!$C$2:$C$201,'Trial Rows'!C183,'Trial Rows'!$F$2:$F$201,'Trial Rows'!F183,'Trial Rows'!$Y$2:$Y$201,'Trial Rows'!Y183))</x:f>
      </x:c>
      <x:c r="I183" s="2" t="str">
        <x:f>IF(AND(A183&lt;&gt;"",COUNTIFS('Trial Rows'!$B$2:$B$201,'Trial Rows'!B183,'Trial Rows'!$C$2:$C$201,'Trial Rows'!C183,'Trial Rows'!$F$2:$F$201,'Trial Rows'!F183,'Trial Rows'!$Y$2:$Y$201,'Trial Rows'!Y183,'Trial Rows'!$G$2:$G$201,"A",Calculations!$R$2:$R$201,"&gt;=0",Calculations!$R$2:$R$201,"&lt;&gt;")=1),SUMIFS(Calculations!$R$2:$R$201,'Trial Rows'!$B$2:$B$201,'Trial Rows'!B183,'Trial Rows'!$C$2:$C$201,'Trial Rows'!C183,'Trial Rows'!$F$2:$F$201,'Trial Rows'!F183,'Trial Rows'!$Y$2:$Y$201,'Trial Rows'!Y183,'Trial Rows'!$G$2:$G$201,"A"),"")</x:f>
      </x:c>
      <x:c r="J183" s="2" t="str">
        <x:f>IF(AND(A183&lt;&gt;"",COUNTIFS('Trial Rows'!$B$2:$B$201,'Trial Rows'!B183,'Trial Rows'!$C$2:$C$201,'Trial Rows'!C183,'Trial Rows'!$F$2:$F$201,'Trial Rows'!F183,'Trial Rows'!$Y$2:$Y$201,'Trial Rows'!Y183,'Trial Rows'!$G$2:$G$201,"B",Calculations!$R$2:$R$201,"&gt;=0",Calculations!$R$2:$R$201,"&lt;&gt;")=1),SUMIFS(Calculations!$R$2:$R$201,'Trial Rows'!$B$2:$B$201,'Trial Rows'!B183,'Trial Rows'!$C$2:$C$201,'Trial Rows'!C183,'Trial Rows'!$F$2:$F$201,'Trial Rows'!F183,'Trial Rows'!$Y$2:$Y$201,'Trial Rows'!Y183,'Trial Rows'!$G$2:$G$201,"B"),"")</x:f>
      </x:c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 t="str">
        <x:f>IF(AND(Calculations!B184=1,'Trial Rows'!G184="B",'Trial Rows'!I184=1,Calculations!D184=1),'Trial Rows'!C184,"")</x:f>
      </x:c>
      <x:c r="B184" s="2" t="str">
        <x:f>IF(A184="","",'Trial Rows'!B184)</x:f>
      </x:c>
      <x:c r="C184" s="2" t="str">
        <x:f>IF(A184="","",'Trial Rows'!F184)</x:f>
      </x:c>
      <x:c r="D184" s="2" t="str">
        <x:f>IF(A184="","",'Trial Rows'!H184)</x:f>
      </x:c>
      <x:c r="E184" s="2" t="str">
        <x:f>IF(A184="","",SUMIFS(Calculations!$F$2:$F$201,'Trial Rows'!$B$2:$B$201,'Trial Rows'!B184,'Trial Rows'!$C$2:$C$201,'Trial Rows'!C184,'Trial Rows'!$F$2:$F$201,'Trial Rows'!F184,'Trial Rows'!$Y$2:$Y$201,'Trial Rows'!Y184))</x:f>
      </x:c>
      <x:c r="F184" s="2" t="str">
        <x:f>IF(A184="","",SUMIFS(Calculations!$G$2:$G$201,'Trial Rows'!$B$2:$B$201,'Trial Rows'!B184,'Trial Rows'!$C$2:$C$201,'Trial Rows'!C184,'Trial Rows'!$F$2:$F$201,'Trial Rows'!F184,'Trial Rows'!$Y$2:$Y$201,'Trial Rows'!Y184))</x:f>
      </x:c>
      <x:c r="G184" s="7" t="str">
        <x:f>IF(OR(A184="",E184=0),"",F184/E184)</x:f>
      </x:c>
      <x:c r="H184" s="7" t="str">
        <x:f>IF(OR(A184="",SUMIFS(Calculations!$H$2:$H$201,'Trial Rows'!$B$2:$B$201,'Trial Rows'!B184,'Trial Rows'!$C$2:$C$201,'Trial Rows'!C184,'Trial Rows'!$F$2:$F$201,'Trial Rows'!F184,'Trial Rows'!$Y$2:$Y$201,'Trial Rows'!Y184)=0),"",SUMIFS(Calculations!$I$2:$I$201,'Trial Rows'!$B$2:$B$201,'Trial Rows'!B184,'Trial Rows'!$C$2:$C$201,'Trial Rows'!C184,'Trial Rows'!$F$2:$F$201,'Trial Rows'!F184,'Trial Rows'!$Y$2:$Y$201,'Trial Rows'!Y184)/SUMIFS(Calculations!$H$2:$H$201,'Trial Rows'!$B$2:$B$201,'Trial Rows'!B184,'Trial Rows'!$C$2:$C$201,'Trial Rows'!C184,'Trial Rows'!$F$2:$F$201,'Trial Rows'!F184,'Trial Rows'!$Y$2:$Y$201,'Trial Rows'!Y184))</x:f>
      </x:c>
      <x:c r="I184" s="2" t="str">
        <x:f>IF(AND(A184&lt;&gt;"",COUNTIFS('Trial Rows'!$B$2:$B$201,'Trial Rows'!B184,'Trial Rows'!$C$2:$C$201,'Trial Rows'!C184,'Trial Rows'!$F$2:$F$201,'Trial Rows'!F184,'Trial Rows'!$Y$2:$Y$201,'Trial Rows'!Y184,'Trial Rows'!$G$2:$G$201,"A",Calculations!$R$2:$R$201,"&gt;=0",Calculations!$R$2:$R$201,"&lt;&gt;")=1),SUMIFS(Calculations!$R$2:$R$201,'Trial Rows'!$B$2:$B$201,'Trial Rows'!B184,'Trial Rows'!$C$2:$C$201,'Trial Rows'!C184,'Trial Rows'!$F$2:$F$201,'Trial Rows'!F184,'Trial Rows'!$Y$2:$Y$201,'Trial Rows'!Y184,'Trial Rows'!$G$2:$G$201,"A"),"")</x:f>
      </x:c>
      <x:c r="J184" s="2" t="str">
        <x:f>IF(AND(A184&lt;&gt;"",COUNTIFS('Trial Rows'!$B$2:$B$201,'Trial Rows'!B184,'Trial Rows'!$C$2:$C$201,'Trial Rows'!C184,'Trial Rows'!$F$2:$F$201,'Trial Rows'!F184,'Trial Rows'!$Y$2:$Y$201,'Trial Rows'!Y184,'Trial Rows'!$G$2:$G$201,"B",Calculations!$R$2:$R$201,"&gt;=0",Calculations!$R$2:$R$201,"&lt;&gt;")=1),SUMIFS(Calculations!$R$2:$R$201,'Trial Rows'!$B$2:$B$201,'Trial Rows'!B184,'Trial Rows'!$C$2:$C$201,'Trial Rows'!C184,'Trial Rows'!$F$2:$F$201,'Trial Rows'!F184,'Trial Rows'!$Y$2:$Y$201,'Trial Rows'!Y184,'Trial Rows'!$G$2:$G$201,"B"),"")</x:f>
      </x:c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 t="str">
        <x:f>IF(AND(Calculations!B185=1,'Trial Rows'!G185="B",'Trial Rows'!I185=1,Calculations!D185=1),'Trial Rows'!C185,"")</x:f>
      </x:c>
      <x:c r="B185" s="2" t="str">
        <x:f>IF(A185="","",'Trial Rows'!B185)</x:f>
      </x:c>
      <x:c r="C185" s="2" t="str">
        <x:f>IF(A185="","",'Trial Rows'!F185)</x:f>
      </x:c>
      <x:c r="D185" s="2" t="str">
        <x:f>IF(A185="","",'Trial Rows'!H185)</x:f>
      </x:c>
      <x:c r="E185" s="2" t="str">
        <x:f>IF(A185="","",SUMIFS(Calculations!$F$2:$F$201,'Trial Rows'!$B$2:$B$201,'Trial Rows'!B185,'Trial Rows'!$C$2:$C$201,'Trial Rows'!C185,'Trial Rows'!$F$2:$F$201,'Trial Rows'!F185,'Trial Rows'!$Y$2:$Y$201,'Trial Rows'!Y185))</x:f>
      </x:c>
      <x:c r="F185" s="2" t="str">
        <x:f>IF(A185="","",SUMIFS(Calculations!$G$2:$G$201,'Trial Rows'!$B$2:$B$201,'Trial Rows'!B185,'Trial Rows'!$C$2:$C$201,'Trial Rows'!C185,'Trial Rows'!$F$2:$F$201,'Trial Rows'!F185,'Trial Rows'!$Y$2:$Y$201,'Trial Rows'!Y185))</x:f>
      </x:c>
      <x:c r="G185" s="7" t="str">
        <x:f>IF(OR(A185="",E185=0),"",F185/E185)</x:f>
      </x:c>
      <x:c r="H185" s="7" t="str">
        <x:f>IF(OR(A185="",SUMIFS(Calculations!$H$2:$H$201,'Trial Rows'!$B$2:$B$201,'Trial Rows'!B185,'Trial Rows'!$C$2:$C$201,'Trial Rows'!C185,'Trial Rows'!$F$2:$F$201,'Trial Rows'!F185,'Trial Rows'!$Y$2:$Y$201,'Trial Rows'!Y185)=0),"",SUMIFS(Calculations!$I$2:$I$201,'Trial Rows'!$B$2:$B$201,'Trial Rows'!B185,'Trial Rows'!$C$2:$C$201,'Trial Rows'!C185,'Trial Rows'!$F$2:$F$201,'Trial Rows'!F185,'Trial Rows'!$Y$2:$Y$201,'Trial Rows'!Y185)/SUMIFS(Calculations!$H$2:$H$201,'Trial Rows'!$B$2:$B$201,'Trial Rows'!B185,'Trial Rows'!$C$2:$C$201,'Trial Rows'!C185,'Trial Rows'!$F$2:$F$201,'Trial Rows'!F185,'Trial Rows'!$Y$2:$Y$201,'Trial Rows'!Y185))</x:f>
      </x:c>
      <x:c r="I185" s="2" t="str">
        <x:f>IF(AND(A185&lt;&gt;"",COUNTIFS('Trial Rows'!$B$2:$B$201,'Trial Rows'!B185,'Trial Rows'!$C$2:$C$201,'Trial Rows'!C185,'Trial Rows'!$F$2:$F$201,'Trial Rows'!F185,'Trial Rows'!$Y$2:$Y$201,'Trial Rows'!Y185,'Trial Rows'!$G$2:$G$201,"A",Calculations!$R$2:$R$201,"&gt;=0",Calculations!$R$2:$R$201,"&lt;&gt;")=1),SUMIFS(Calculations!$R$2:$R$201,'Trial Rows'!$B$2:$B$201,'Trial Rows'!B185,'Trial Rows'!$C$2:$C$201,'Trial Rows'!C185,'Trial Rows'!$F$2:$F$201,'Trial Rows'!F185,'Trial Rows'!$Y$2:$Y$201,'Trial Rows'!Y185,'Trial Rows'!$G$2:$G$201,"A"),"")</x:f>
      </x:c>
      <x:c r="J185" s="2" t="str">
        <x:f>IF(AND(A185&lt;&gt;"",COUNTIFS('Trial Rows'!$B$2:$B$201,'Trial Rows'!B185,'Trial Rows'!$C$2:$C$201,'Trial Rows'!C185,'Trial Rows'!$F$2:$F$201,'Trial Rows'!F185,'Trial Rows'!$Y$2:$Y$201,'Trial Rows'!Y185,'Trial Rows'!$G$2:$G$201,"B",Calculations!$R$2:$R$201,"&gt;=0",Calculations!$R$2:$R$201,"&lt;&gt;")=1),SUMIFS(Calculations!$R$2:$R$201,'Trial Rows'!$B$2:$B$201,'Trial Rows'!B185,'Trial Rows'!$C$2:$C$201,'Trial Rows'!C185,'Trial Rows'!$F$2:$F$201,'Trial Rows'!F185,'Trial Rows'!$Y$2:$Y$201,'Trial Rows'!Y185,'Trial Rows'!$G$2:$G$201,"B"),"")</x:f>
      </x:c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 t="str">
        <x:f>IF(AND(Calculations!B186=1,'Trial Rows'!G186="B",'Trial Rows'!I186=1,Calculations!D186=1),'Trial Rows'!C186,"")</x:f>
      </x:c>
      <x:c r="B186" s="2" t="str">
        <x:f>IF(A186="","",'Trial Rows'!B186)</x:f>
      </x:c>
      <x:c r="C186" s="2" t="str">
        <x:f>IF(A186="","",'Trial Rows'!F186)</x:f>
      </x:c>
      <x:c r="D186" s="2" t="str">
        <x:f>IF(A186="","",'Trial Rows'!H186)</x:f>
      </x:c>
      <x:c r="E186" s="2" t="str">
        <x:f>IF(A186="","",SUMIFS(Calculations!$F$2:$F$201,'Trial Rows'!$B$2:$B$201,'Trial Rows'!B186,'Trial Rows'!$C$2:$C$201,'Trial Rows'!C186,'Trial Rows'!$F$2:$F$201,'Trial Rows'!F186,'Trial Rows'!$Y$2:$Y$201,'Trial Rows'!Y186))</x:f>
      </x:c>
      <x:c r="F186" s="2" t="str">
        <x:f>IF(A186="","",SUMIFS(Calculations!$G$2:$G$201,'Trial Rows'!$B$2:$B$201,'Trial Rows'!B186,'Trial Rows'!$C$2:$C$201,'Trial Rows'!C186,'Trial Rows'!$F$2:$F$201,'Trial Rows'!F186,'Trial Rows'!$Y$2:$Y$201,'Trial Rows'!Y186))</x:f>
      </x:c>
      <x:c r="G186" s="7" t="str">
        <x:f>IF(OR(A186="",E186=0),"",F186/E186)</x:f>
      </x:c>
      <x:c r="H186" s="7" t="str">
        <x:f>IF(OR(A186="",SUMIFS(Calculations!$H$2:$H$201,'Trial Rows'!$B$2:$B$201,'Trial Rows'!B186,'Trial Rows'!$C$2:$C$201,'Trial Rows'!C186,'Trial Rows'!$F$2:$F$201,'Trial Rows'!F186,'Trial Rows'!$Y$2:$Y$201,'Trial Rows'!Y186)=0),"",SUMIFS(Calculations!$I$2:$I$201,'Trial Rows'!$B$2:$B$201,'Trial Rows'!B186,'Trial Rows'!$C$2:$C$201,'Trial Rows'!C186,'Trial Rows'!$F$2:$F$201,'Trial Rows'!F186,'Trial Rows'!$Y$2:$Y$201,'Trial Rows'!Y186)/SUMIFS(Calculations!$H$2:$H$201,'Trial Rows'!$B$2:$B$201,'Trial Rows'!B186,'Trial Rows'!$C$2:$C$201,'Trial Rows'!C186,'Trial Rows'!$F$2:$F$201,'Trial Rows'!F186,'Trial Rows'!$Y$2:$Y$201,'Trial Rows'!Y186))</x:f>
      </x:c>
      <x:c r="I186" s="2" t="str">
        <x:f>IF(AND(A186&lt;&gt;"",COUNTIFS('Trial Rows'!$B$2:$B$201,'Trial Rows'!B186,'Trial Rows'!$C$2:$C$201,'Trial Rows'!C186,'Trial Rows'!$F$2:$F$201,'Trial Rows'!F186,'Trial Rows'!$Y$2:$Y$201,'Trial Rows'!Y186,'Trial Rows'!$G$2:$G$201,"A",Calculations!$R$2:$R$201,"&gt;=0",Calculations!$R$2:$R$201,"&lt;&gt;")=1),SUMIFS(Calculations!$R$2:$R$201,'Trial Rows'!$B$2:$B$201,'Trial Rows'!B186,'Trial Rows'!$C$2:$C$201,'Trial Rows'!C186,'Trial Rows'!$F$2:$F$201,'Trial Rows'!F186,'Trial Rows'!$Y$2:$Y$201,'Trial Rows'!Y186,'Trial Rows'!$G$2:$G$201,"A"),"")</x:f>
      </x:c>
      <x:c r="J186" s="2" t="str">
        <x:f>IF(AND(A186&lt;&gt;"",COUNTIFS('Trial Rows'!$B$2:$B$201,'Trial Rows'!B186,'Trial Rows'!$C$2:$C$201,'Trial Rows'!C186,'Trial Rows'!$F$2:$F$201,'Trial Rows'!F186,'Trial Rows'!$Y$2:$Y$201,'Trial Rows'!Y186,'Trial Rows'!$G$2:$G$201,"B",Calculations!$R$2:$R$201,"&gt;=0",Calculations!$R$2:$R$201,"&lt;&gt;")=1),SUMIFS(Calculations!$R$2:$R$201,'Trial Rows'!$B$2:$B$201,'Trial Rows'!B186,'Trial Rows'!$C$2:$C$201,'Trial Rows'!C186,'Trial Rows'!$F$2:$F$201,'Trial Rows'!F186,'Trial Rows'!$Y$2:$Y$201,'Trial Rows'!Y186,'Trial Rows'!$G$2:$G$201,"B"),"")</x:f>
      </x:c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 t="str">
        <x:f>IF(AND(Calculations!B187=1,'Trial Rows'!G187="B",'Trial Rows'!I187=1,Calculations!D187=1),'Trial Rows'!C187,"")</x:f>
      </x:c>
      <x:c r="B187" s="2" t="str">
        <x:f>IF(A187="","",'Trial Rows'!B187)</x:f>
      </x:c>
      <x:c r="C187" s="2" t="str">
        <x:f>IF(A187="","",'Trial Rows'!F187)</x:f>
      </x:c>
      <x:c r="D187" s="2" t="str">
        <x:f>IF(A187="","",'Trial Rows'!H187)</x:f>
      </x:c>
      <x:c r="E187" s="2" t="str">
        <x:f>IF(A187="","",SUMIFS(Calculations!$F$2:$F$201,'Trial Rows'!$B$2:$B$201,'Trial Rows'!B187,'Trial Rows'!$C$2:$C$201,'Trial Rows'!C187,'Trial Rows'!$F$2:$F$201,'Trial Rows'!F187,'Trial Rows'!$Y$2:$Y$201,'Trial Rows'!Y187))</x:f>
      </x:c>
      <x:c r="F187" s="2" t="str">
        <x:f>IF(A187="","",SUMIFS(Calculations!$G$2:$G$201,'Trial Rows'!$B$2:$B$201,'Trial Rows'!B187,'Trial Rows'!$C$2:$C$201,'Trial Rows'!C187,'Trial Rows'!$F$2:$F$201,'Trial Rows'!F187,'Trial Rows'!$Y$2:$Y$201,'Trial Rows'!Y187))</x:f>
      </x:c>
      <x:c r="G187" s="7" t="str">
        <x:f>IF(OR(A187="",E187=0),"",F187/E187)</x:f>
      </x:c>
      <x:c r="H187" s="7" t="str">
        <x:f>IF(OR(A187="",SUMIFS(Calculations!$H$2:$H$201,'Trial Rows'!$B$2:$B$201,'Trial Rows'!B187,'Trial Rows'!$C$2:$C$201,'Trial Rows'!C187,'Trial Rows'!$F$2:$F$201,'Trial Rows'!F187,'Trial Rows'!$Y$2:$Y$201,'Trial Rows'!Y187)=0),"",SUMIFS(Calculations!$I$2:$I$201,'Trial Rows'!$B$2:$B$201,'Trial Rows'!B187,'Trial Rows'!$C$2:$C$201,'Trial Rows'!C187,'Trial Rows'!$F$2:$F$201,'Trial Rows'!F187,'Trial Rows'!$Y$2:$Y$201,'Trial Rows'!Y187)/SUMIFS(Calculations!$H$2:$H$201,'Trial Rows'!$B$2:$B$201,'Trial Rows'!B187,'Trial Rows'!$C$2:$C$201,'Trial Rows'!C187,'Trial Rows'!$F$2:$F$201,'Trial Rows'!F187,'Trial Rows'!$Y$2:$Y$201,'Trial Rows'!Y187))</x:f>
      </x:c>
      <x:c r="I187" s="2" t="str">
        <x:f>IF(AND(A187&lt;&gt;"",COUNTIFS('Trial Rows'!$B$2:$B$201,'Trial Rows'!B187,'Trial Rows'!$C$2:$C$201,'Trial Rows'!C187,'Trial Rows'!$F$2:$F$201,'Trial Rows'!F187,'Trial Rows'!$Y$2:$Y$201,'Trial Rows'!Y187,'Trial Rows'!$G$2:$G$201,"A",Calculations!$R$2:$R$201,"&gt;=0",Calculations!$R$2:$R$201,"&lt;&gt;")=1),SUMIFS(Calculations!$R$2:$R$201,'Trial Rows'!$B$2:$B$201,'Trial Rows'!B187,'Trial Rows'!$C$2:$C$201,'Trial Rows'!C187,'Trial Rows'!$F$2:$F$201,'Trial Rows'!F187,'Trial Rows'!$Y$2:$Y$201,'Trial Rows'!Y187,'Trial Rows'!$G$2:$G$201,"A"),"")</x:f>
      </x:c>
      <x:c r="J187" s="2" t="str">
        <x:f>IF(AND(A187&lt;&gt;"",COUNTIFS('Trial Rows'!$B$2:$B$201,'Trial Rows'!B187,'Trial Rows'!$C$2:$C$201,'Trial Rows'!C187,'Trial Rows'!$F$2:$F$201,'Trial Rows'!F187,'Trial Rows'!$Y$2:$Y$201,'Trial Rows'!Y187,'Trial Rows'!$G$2:$G$201,"B",Calculations!$R$2:$R$201,"&gt;=0",Calculations!$R$2:$R$201,"&lt;&gt;")=1),SUMIFS(Calculations!$R$2:$R$201,'Trial Rows'!$B$2:$B$201,'Trial Rows'!B187,'Trial Rows'!$C$2:$C$201,'Trial Rows'!C187,'Trial Rows'!$F$2:$F$201,'Trial Rows'!F187,'Trial Rows'!$Y$2:$Y$201,'Trial Rows'!Y187,'Trial Rows'!$G$2:$G$201,"B"),"")</x:f>
      </x:c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 t="str">
        <x:f>IF(AND(Calculations!B188=1,'Trial Rows'!G188="B",'Trial Rows'!I188=1,Calculations!D188=1),'Trial Rows'!C188,"")</x:f>
      </x:c>
      <x:c r="B188" s="2" t="str">
        <x:f>IF(A188="","",'Trial Rows'!B188)</x:f>
      </x:c>
      <x:c r="C188" s="2" t="str">
        <x:f>IF(A188="","",'Trial Rows'!F188)</x:f>
      </x:c>
      <x:c r="D188" s="2" t="str">
        <x:f>IF(A188="","",'Trial Rows'!H188)</x:f>
      </x:c>
      <x:c r="E188" s="2" t="str">
        <x:f>IF(A188="","",SUMIFS(Calculations!$F$2:$F$201,'Trial Rows'!$B$2:$B$201,'Trial Rows'!B188,'Trial Rows'!$C$2:$C$201,'Trial Rows'!C188,'Trial Rows'!$F$2:$F$201,'Trial Rows'!F188,'Trial Rows'!$Y$2:$Y$201,'Trial Rows'!Y188))</x:f>
      </x:c>
      <x:c r="F188" s="2" t="str">
        <x:f>IF(A188="","",SUMIFS(Calculations!$G$2:$G$201,'Trial Rows'!$B$2:$B$201,'Trial Rows'!B188,'Trial Rows'!$C$2:$C$201,'Trial Rows'!C188,'Trial Rows'!$F$2:$F$201,'Trial Rows'!F188,'Trial Rows'!$Y$2:$Y$201,'Trial Rows'!Y188))</x:f>
      </x:c>
      <x:c r="G188" s="7" t="str">
        <x:f>IF(OR(A188="",E188=0),"",F188/E188)</x:f>
      </x:c>
      <x:c r="H188" s="7" t="str">
        <x:f>IF(OR(A188="",SUMIFS(Calculations!$H$2:$H$201,'Trial Rows'!$B$2:$B$201,'Trial Rows'!B188,'Trial Rows'!$C$2:$C$201,'Trial Rows'!C188,'Trial Rows'!$F$2:$F$201,'Trial Rows'!F188,'Trial Rows'!$Y$2:$Y$201,'Trial Rows'!Y188)=0),"",SUMIFS(Calculations!$I$2:$I$201,'Trial Rows'!$B$2:$B$201,'Trial Rows'!B188,'Trial Rows'!$C$2:$C$201,'Trial Rows'!C188,'Trial Rows'!$F$2:$F$201,'Trial Rows'!F188,'Trial Rows'!$Y$2:$Y$201,'Trial Rows'!Y188)/SUMIFS(Calculations!$H$2:$H$201,'Trial Rows'!$B$2:$B$201,'Trial Rows'!B188,'Trial Rows'!$C$2:$C$201,'Trial Rows'!C188,'Trial Rows'!$F$2:$F$201,'Trial Rows'!F188,'Trial Rows'!$Y$2:$Y$201,'Trial Rows'!Y188))</x:f>
      </x:c>
      <x:c r="I188" s="2" t="str">
        <x:f>IF(AND(A188&lt;&gt;"",COUNTIFS('Trial Rows'!$B$2:$B$201,'Trial Rows'!B188,'Trial Rows'!$C$2:$C$201,'Trial Rows'!C188,'Trial Rows'!$F$2:$F$201,'Trial Rows'!F188,'Trial Rows'!$Y$2:$Y$201,'Trial Rows'!Y188,'Trial Rows'!$G$2:$G$201,"A",Calculations!$R$2:$R$201,"&gt;=0",Calculations!$R$2:$R$201,"&lt;&gt;")=1),SUMIFS(Calculations!$R$2:$R$201,'Trial Rows'!$B$2:$B$201,'Trial Rows'!B188,'Trial Rows'!$C$2:$C$201,'Trial Rows'!C188,'Trial Rows'!$F$2:$F$201,'Trial Rows'!F188,'Trial Rows'!$Y$2:$Y$201,'Trial Rows'!Y188,'Trial Rows'!$G$2:$G$201,"A"),"")</x:f>
      </x:c>
      <x:c r="J188" s="2" t="str">
        <x:f>IF(AND(A188&lt;&gt;"",COUNTIFS('Trial Rows'!$B$2:$B$201,'Trial Rows'!B188,'Trial Rows'!$C$2:$C$201,'Trial Rows'!C188,'Trial Rows'!$F$2:$F$201,'Trial Rows'!F188,'Trial Rows'!$Y$2:$Y$201,'Trial Rows'!Y188,'Trial Rows'!$G$2:$G$201,"B",Calculations!$R$2:$R$201,"&gt;=0",Calculations!$R$2:$R$201,"&lt;&gt;")=1),SUMIFS(Calculations!$R$2:$R$201,'Trial Rows'!$B$2:$B$201,'Trial Rows'!B188,'Trial Rows'!$C$2:$C$201,'Trial Rows'!C188,'Trial Rows'!$F$2:$F$201,'Trial Rows'!F188,'Trial Rows'!$Y$2:$Y$201,'Trial Rows'!Y188,'Trial Rows'!$G$2:$G$201,"B"),"")</x:f>
      </x:c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 t="str">
        <x:f>IF(AND(Calculations!B189=1,'Trial Rows'!G189="B",'Trial Rows'!I189=1,Calculations!D189=1),'Trial Rows'!C189,"")</x:f>
      </x:c>
      <x:c r="B189" s="2" t="str">
        <x:f>IF(A189="","",'Trial Rows'!B189)</x:f>
      </x:c>
      <x:c r="C189" s="2" t="str">
        <x:f>IF(A189="","",'Trial Rows'!F189)</x:f>
      </x:c>
      <x:c r="D189" s="2" t="str">
        <x:f>IF(A189="","",'Trial Rows'!H189)</x:f>
      </x:c>
      <x:c r="E189" s="2" t="str">
        <x:f>IF(A189="","",SUMIFS(Calculations!$F$2:$F$201,'Trial Rows'!$B$2:$B$201,'Trial Rows'!B189,'Trial Rows'!$C$2:$C$201,'Trial Rows'!C189,'Trial Rows'!$F$2:$F$201,'Trial Rows'!F189,'Trial Rows'!$Y$2:$Y$201,'Trial Rows'!Y189))</x:f>
      </x:c>
      <x:c r="F189" s="2" t="str">
        <x:f>IF(A189="","",SUMIFS(Calculations!$G$2:$G$201,'Trial Rows'!$B$2:$B$201,'Trial Rows'!B189,'Trial Rows'!$C$2:$C$201,'Trial Rows'!C189,'Trial Rows'!$F$2:$F$201,'Trial Rows'!F189,'Trial Rows'!$Y$2:$Y$201,'Trial Rows'!Y189))</x:f>
      </x:c>
      <x:c r="G189" s="7" t="str">
        <x:f>IF(OR(A189="",E189=0),"",F189/E189)</x:f>
      </x:c>
      <x:c r="H189" s="7" t="str">
        <x:f>IF(OR(A189="",SUMIFS(Calculations!$H$2:$H$201,'Trial Rows'!$B$2:$B$201,'Trial Rows'!B189,'Trial Rows'!$C$2:$C$201,'Trial Rows'!C189,'Trial Rows'!$F$2:$F$201,'Trial Rows'!F189,'Trial Rows'!$Y$2:$Y$201,'Trial Rows'!Y189)=0),"",SUMIFS(Calculations!$I$2:$I$201,'Trial Rows'!$B$2:$B$201,'Trial Rows'!B189,'Trial Rows'!$C$2:$C$201,'Trial Rows'!C189,'Trial Rows'!$F$2:$F$201,'Trial Rows'!F189,'Trial Rows'!$Y$2:$Y$201,'Trial Rows'!Y189)/SUMIFS(Calculations!$H$2:$H$201,'Trial Rows'!$B$2:$B$201,'Trial Rows'!B189,'Trial Rows'!$C$2:$C$201,'Trial Rows'!C189,'Trial Rows'!$F$2:$F$201,'Trial Rows'!F189,'Trial Rows'!$Y$2:$Y$201,'Trial Rows'!Y189))</x:f>
      </x:c>
      <x:c r="I189" s="2" t="str">
        <x:f>IF(AND(A189&lt;&gt;"",COUNTIFS('Trial Rows'!$B$2:$B$201,'Trial Rows'!B189,'Trial Rows'!$C$2:$C$201,'Trial Rows'!C189,'Trial Rows'!$F$2:$F$201,'Trial Rows'!F189,'Trial Rows'!$Y$2:$Y$201,'Trial Rows'!Y189,'Trial Rows'!$G$2:$G$201,"A",Calculations!$R$2:$R$201,"&gt;=0",Calculations!$R$2:$R$201,"&lt;&gt;")=1),SUMIFS(Calculations!$R$2:$R$201,'Trial Rows'!$B$2:$B$201,'Trial Rows'!B189,'Trial Rows'!$C$2:$C$201,'Trial Rows'!C189,'Trial Rows'!$F$2:$F$201,'Trial Rows'!F189,'Trial Rows'!$Y$2:$Y$201,'Trial Rows'!Y189,'Trial Rows'!$G$2:$G$201,"A"),"")</x:f>
      </x:c>
      <x:c r="J189" s="2" t="str">
        <x:f>IF(AND(A189&lt;&gt;"",COUNTIFS('Trial Rows'!$B$2:$B$201,'Trial Rows'!B189,'Trial Rows'!$C$2:$C$201,'Trial Rows'!C189,'Trial Rows'!$F$2:$F$201,'Trial Rows'!F189,'Trial Rows'!$Y$2:$Y$201,'Trial Rows'!Y189,'Trial Rows'!$G$2:$G$201,"B",Calculations!$R$2:$R$201,"&gt;=0",Calculations!$R$2:$R$201,"&lt;&gt;")=1),SUMIFS(Calculations!$R$2:$R$201,'Trial Rows'!$B$2:$B$201,'Trial Rows'!B189,'Trial Rows'!$C$2:$C$201,'Trial Rows'!C189,'Trial Rows'!$F$2:$F$201,'Trial Rows'!F189,'Trial Rows'!$Y$2:$Y$201,'Trial Rows'!Y189,'Trial Rows'!$G$2:$G$201,"B"),"")</x:f>
      </x:c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 t="str">
        <x:f>IF(AND(Calculations!B190=1,'Trial Rows'!G190="B",'Trial Rows'!I190=1,Calculations!D190=1),'Trial Rows'!C190,"")</x:f>
      </x:c>
      <x:c r="B190" s="2" t="str">
        <x:f>IF(A190="","",'Trial Rows'!B190)</x:f>
      </x:c>
      <x:c r="C190" s="2" t="str">
        <x:f>IF(A190="","",'Trial Rows'!F190)</x:f>
      </x:c>
      <x:c r="D190" s="2" t="str">
        <x:f>IF(A190="","",'Trial Rows'!H190)</x:f>
      </x:c>
      <x:c r="E190" s="2" t="str">
        <x:f>IF(A190="","",SUMIFS(Calculations!$F$2:$F$201,'Trial Rows'!$B$2:$B$201,'Trial Rows'!B190,'Trial Rows'!$C$2:$C$201,'Trial Rows'!C190,'Trial Rows'!$F$2:$F$201,'Trial Rows'!F190,'Trial Rows'!$Y$2:$Y$201,'Trial Rows'!Y190))</x:f>
      </x:c>
      <x:c r="F190" s="2" t="str">
        <x:f>IF(A190="","",SUMIFS(Calculations!$G$2:$G$201,'Trial Rows'!$B$2:$B$201,'Trial Rows'!B190,'Trial Rows'!$C$2:$C$201,'Trial Rows'!C190,'Trial Rows'!$F$2:$F$201,'Trial Rows'!F190,'Trial Rows'!$Y$2:$Y$201,'Trial Rows'!Y190))</x:f>
      </x:c>
      <x:c r="G190" s="7" t="str">
        <x:f>IF(OR(A190="",E190=0),"",F190/E190)</x:f>
      </x:c>
      <x:c r="H190" s="7" t="str">
        <x:f>IF(OR(A190="",SUMIFS(Calculations!$H$2:$H$201,'Trial Rows'!$B$2:$B$201,'Trial Rows'!B190,'Trial Rows'!$C$2:$C$201,'Trial Rows'!C190,'Trial Rows'!$F$2:$F$201,'Trial Rows'!F190,'Trial Rows'!$Y$2:$Y$201,'Trial Rows'!Y190)=0),"",SUMIFS(Calculations!$I$2:$I$201,'Trial Rows'!$B$2:$B$201,'Trial Rows'!B190,'Trial Rows'!$C$2:$C$201,'Trial Rows'!C190,'Trial Rows'!$F$2:$F$201,'Trial Rows'!F190,'Trial Rows'!$Y$2:$Y$201,'Trial Rows'!Y190)/SUMIFS(Calculations!$H$2:$H$201,'Trial Rows'!$B$2:$B$201,'Trial Rows'!B190,'Trial Rows'!$C$2:$C$201,'Trial Rows'!C190,'Trial Rows'!$F$2:$F$201,'Trial Rows'!F190,'Trial Rows'!$Y$2:$Y$201,'Trial Rows'!Y190))</x:f>
      </x:c>
      <x:c r="I190" s="2" t="str">
        <x:f>IF(AND(A190&lt;&gt;"",COUNTIFS('Trial Rows'!$B$2:$B$201,'Trial Rows'!B190,'Trial Rows'!$C$2:$C$201,'Trial Rows'!C190,'Trial Rows'!$F$2:$F$201,'Trial Rows'!F190,'Trial Rows'!$Y$2:$Y$201,'Trial Rows'!Y190,'Trial Rows'!$G$2:$G$201,"A",Calculations!$R$2:$R$201,"&gt;=0",Calculations!$R$2:$R$201,"&lt;&gt;")=1),SUMIFS(Calculations!$R$2:$R$201,'Trial Rows'!$B$2:$B$201,'Trial Rows'!B190,'Trial Rows'!$C$2:$C$201,'Trial Rows'!C190,'Trial Rows'!$F$2:$F$201,'Trial Rows'!F190,'Trial Rows'!$Y$2:$Y$201,'Trial Rows'!Y190,'Trial Rows'!$G$2:$G$201,"A"),"")</x:f>
      </x:c>
      <x:c r="J190" s="2" t="str">
        <x:f>IF(AND(A190&lt;&gt;"",COUNTIFS('Trial Rows'!$B$2:$B$201,'Trial Rows'!B190,'Trial Rows'!$C$2:$C$201,'Trial Rows'!C190,'Trial Rows'!$F$2:$F$201,'Trial Rows'!F190,'Trial Rows'!$Y$2:$Y$201,'Trial Rows'!Y190,'Trial Rows'!$G$2:$G$201,"B",Calculations!$R$2:$R$201,"&gt;=0",Calculations!$R$2:$R$201,"&lt;&gt;")=1),SUMIFS(Calculations!$R$2:$R$201,'Trial Rows'!$B$2:$B$201,'Trial Rows'!B190,'Trial Rows'!$C$2:$C$201,'Trial Rows'!C190,'Trial Rows'!$F$2:$F$201,'Trial Rows'!F190,'Trial Rows'!$Y$2:$Y$201,'Trial Rows'!Y190,'Trial Rows'!$G$2:$G$201,"B"),"")</x:f>
      </x:c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 t="str">
        <x:f>IF(AND(Calculations!B191=1,'Trial Rows'!G191="B",'Trial Rows'!I191=1,Calculations!D191=1),'Trial Rows'!C191,"")</x:f>
      </x:c>
      <x:c r="B191" s="2" t="str">
        <x:f>IF(A191="","",'Trial Rows'!B191)</x:f>
      </x:c>
      <x:c r="C191" s="2" t="str">
        <x:f>IF(A191="","",'Trial Rows'!F191)</x:f>
      </x:c>
      <x:c r="D191" s="2" t="str">
        <x:f>IF(A191="","",'Trial Rows'!H191)</x:f>
      </x:c>
      <x:c r="E191" s="2" t="str">
        <x:f>IF(A191="","",SUMIFS(Calculations!$F$2:$F$201,'Trial Rows'!$B$2:$B$201,'Trial Rows'!B191,'Trial Rows'!$C$2:$C$201,'Trial Rows'!C191,'Trial Rows'!$F$2:$F$201,'Trial Rows'!F191,'Trial Rows'!$Y$2:$Y$201,'Trial Rows'!Y191))</x:f>
      </x:c>
      <x:c r="F191" s="2" t="str">
        <x:f>IF(A191="","",SUMIFS(Calculations!$G$2:$G$201,'Trial Rows'!$B$2:$B$201,'Trial Rows'!B191,'Trial Rows'!$C$2:$C$201,'Trial Rows'!C191,'Trial Rows'!$F$2:$F$201,'Trial Rows'!F191,'Trial Rows'!$Y$2:$Y$201,'Trial Rows'!Y191))</x:f>
      </x:c>
      <x:c r="G191" s="7" t="str">
        <x:f>IF(OR(A191="",E191=0),"",F191/E191)</x:f>
      </x:c>
      <x:c r="H191" s="7" t="str">
        <x:f>IF(OR(A191="",SUMIFS(Calculations!$H$2:$H$201,'Trial Rows'!$B$2:$B$201,'Trial Rows'!B191,'Trial Rows'!$C$2:$C$201,'Trial Rows'!C191,'Trial Rows'!$F$2:$F$201,'Trial Rows'!F191,'Trial Rows'!$Y$2:$Y$201,'Trial Rows'!Y191)=0),"",SUMIFS(Calculations!$I$2:$I$201,'Trial Rows'!$B$2:$B$201,'Trial Rows'!B191,'Trial Rows'!$C$2:$C$201,'Trial Rows'!C191,'Trial Rows'!$F$2:$F$201,'Trial Rows'!F191,'Trial Rows'!$Y$2:$Y$201,'Trial Rows'!Y191)/SUMIFS(Calculations!$H$2:$H$201,'Trial Rows'!$B$2:$B$201,'Trial Rows'!B191,'Trial Rows'!$C$2:$C$201,'Trial Rows'!C191,'Trial Rows'!$F$2:$F$201,'Trial Rows'!F191,'Trial Rows'!$Y$2:$Y$201,'Trial Rows'!Y191))</x:f>
      </x:c>
      <x:c r="I191" s="2" t="str">
        <x:f>IF(AND(A191&lt;&gt;"",COUNTIFS('Trial Rows'!$B$2:$B$201,'Trial Rows'!B191,'Trial Rows'!$C$2:$C$201,'Trial Rows'!C191,'Trial Rows'!$F$2:$F$201,'Trial Rows'!F191,'Trial Rows'!$Y$2:$Y$201,'Trial Rows'!Y191,'Trial Rows'!$G$2:$G$201,"A",Calculations!$R$2:$R$201,"&gt;=0",Calculations!$R$2:$R$201,"&lt;&gt;")=1),SUMIFS(Calculations!$R$2:$R$201,'Trial Rows'!$B$2:$B$201,'Trial Rows'!B191,'Trial Rows'!$C$2:$C$201,'Trial Rows'!C191,'Trial Rows'!$F$2:$F$201,'Trial Rows'!F191,'Trial Rows'!$Y$2:$Y$201,'Trial Rows'!Y191,'Trial Rows'!$G$2:$G$201,"A"),"")</x:f>
      </x:c>
      <x:c r="J191" s="2" t="str">
        <x:f>IF(AND(A191&lt;&gt;"",COUNTIFS('Trial Rows'!$B$2:$B$201,'Trial Rows'!B191,'Trial Rows'!$C$2:$C$201,'Trial Rows'!C191,'Trial Rows'!$F$2:$F$201,'Trial Rows'!F191,'Trial Rows'!$Y$2:$Y$201,'Trial Rows'!Y191,'Trial Rows'!$G$2:$G$201,"B",Calculations!$R$2:$R$201,"&gt;=0",Calculations!$R$2:$R$201,"&lt;&gt;")=1),SUMIFS(Calculations!$R$2:$R$201,'Trial Rows'!$B$2:$B$201,'Trial Rows'!B191,'Trial Rows'!$C$2:$C$201,'Trial Rows'!C191,'Trial Rows'!$F$2:$F$201,'Trial Rows'!F191,'Trial Rows'!$Y$2:$Y$201,'Trial Rows'!Y191,'Trial Rows'!$G$2:$G$201,"B"),"")</x:f>
      </x:c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 t="str">
        <x:f>IF(AND(Calculations!B192=1,'Trial Rows'!G192="B",'Trial Rows'!I192=1,Calculations!D192=1),'Trial Rows'!C192,"")</x:f>
      </x:c>
      <x:c r="B192" s="2" t="str">
        <x:f>IF(A192="","",'Trial Rows'!B192)</x:f>
      </x:c>
      <x:c r="C192" s="2" t="str">
        <x:f>IF(A192="","",'Trial Rows'!F192)</x:f>
      </x:c>
      <x:c r="D192" s="2" t="str">
        <x:f>IF(A192="","",'Trial Rows'!H192)</x:f>
      </x:c>
      <x:c r="E192" s="2" t="str">
        <x:f>IF(A192="","",SUMIFS(Calculations!$F$2:$F$201,'Trial Rows'!$B$2:$B$201,'Trial Rows'!B192,'Trial Rows'!$C$2:$C$201,'Trial Rows'!C192,'Trial Rows'!$F$2:$F$201,'Trial Rows'!F192,'Trial Rows'!$Y$2:$Y$201,'Trial Rows'!Y192))</x:f>
      </x:c>
      <x:c r="F192" s="2" t="str">
        <x:f>IF(A192="","",SUMIFS(Calculations!$G$2:$G$201,'Trial Rows'!$B$2:$B$201,'Trial Rows'!B192,'Trial Rows'!$C$2:$C$201,'Trial Rows'!C192,'Trial Rows'!$F$2:$F$201,'Trial Rows'!F192,'Trial Rows'!$Y$2:$Y$201,'Trial Rows'!Y192))</x:f>
      </x:c>
      <x:c r="G192" s="7" t="str">
        <x:f>IF(OR(A192="",E192=0),"",F192/E192)</x:f>
      </x:c>
      <x:c r="H192" s="7" t="str">
        <x:f>IF(OR(A192="",SUMIFS(Calculations!$H$2:$H$201,'Trial Rows'!$B$2:$B$201,'Trial Rows'!B192,'Trial Rows'!$C$2:$C$201,'Trial Rows'!C192,'Trial Rows'!$F$2:$F$201,'Trial Rows'!F192,'Trial Rows'!$Y$2:$Y$201,'Trial Rows'!Y192)=0),"",SUMIFS(Calculations!$I$2:$I$201,'Trial Rows'!$B$2:$B$201,'Trial Rows'!B192,'Trial Rows'!$C$2:$C$201,'Trial Rows'!C192,'Trial Rows'!$F$2:$F$201,'Trial Rows'!F192,'Trial Rows'!$Y$2:$Y$201,'Trial Rows'!Y192)/SUMIFS(Calculations!$H$2:$H$201,'Trial Rows'!$B$2:$B$201,'Trial Rows'!B192,'Trial Rows'!$C$2:$C$201,'Trial Rows'!C192,'Trial Rows'!$F$2:$F$201,'Trial Rows'!F192,'Trial Rows'!$Y$2:$Y$201,'Trial Rows'!Y192))</x:f>
      </x:c>
      <x:c r="I192" s="2" t="str">
        <x:f>IF(AND(A192&lt;&gt;"",COUNTIFS('Trial Rows'!$B$2:$B$201,'Trial Rows'!B192,'Trial Rows'!$C$2:$C$201,'Trial Rows'!C192,'Trial Rows'!$F$2:$F$201,'Trial Rows'!F192,'Trial Rows'!$Y$2:$Y$201,'Trial Rows'!Y192,'Trial Rows'!$G$2:$G$201,"A",Calculations!$R$2:$R$201,"&gt;=0",Calculations!$R$2:$R$201,"&lt;&gt;")=1),SUMIFS(Calculations!$R$2:$R$201,'Trial Rows'!$B$2:$B$201,'Trial Rows'!B192,'Trial Rows'!$C$2:$C$201,'Trial Rows'!C192,'Trial Rows'!$F$2:$F$201,'Trial Rows'!F192,'Trial Rows'!$Y$2:$Y$201,'Trial Rows'!Y192,'Trial Rows'!$G$2:$G$201,"A"),"")</x:f>
      </x:c>
      <x:c r="J192" s="2" t="str">
        <x:f>IF(AND(A192&lt;&gt;"",COUNTIFS('Trial Rows'!$B$2:$B$201,'Trial Rows'!B192,'Trial Rows'!$C$2:$C$201,'Trial Rows'!C192,'Trial Rows'!$F$2:$F$201,'Trial Rows'!F192,'Trial Rows'!$Y$2:$Y$201,'Trial Rows'!Y192,'Trial Rows'!$G$2:$G$201,"B",Calculations!$R$2:$R$201,"&gt;=0",Calculations!$R$2:$R$201,"&lt;&gt;")=1),SUMIFS(Calculations!$R$2:$R$201,'Trial Rows'!$B$2:$B$201,'Trial Rows'!B192,'Trial Rows'!$C$2:$C$201,'Trial Rows'!C192,'Trial Rows'!$F$2:$F$201,'Trial Rows'!F192,'Trial Rows'!$Y$2:$Y$201,'Trial Rows'!Y192,'Trial Rows'!$G$2:$G$201,"B"),"")</x:f>
      </x:c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 t="str">
        <x:f>IF(AND(Calculations!B193=1,'Trial Rows'!G193="B",'Trial Rows'!I193=1,Calculations!D193=1),'Trial Rows'!C193,"")</x:f>
      </x:c>
      <x:c r="B193" s="2" t="str">
        <x:f>IF(A193="","",'Trial Rows'!B193)</x:f>
      </x:c>
      <x:c r="C193" s="2" t="str">
        <x:f>IF(A193="","",'Trial Rows'!F193)</x:f>
      </x:c>
      <x:c r="D193" s="2" t="str">
        <x:f>IF(A193="","",'Trial Rows'!H193)</x:f>
      </x:c>
      <x:c r="E193" s="2" t="str">
        <x:f>IF(A193="","",SUMIFS(Calculations!$F$2:$F$201,'Trial Rows'!$B$2:$B$201,'Trial Rows'!B193,'Trial Rows'!$C$2:$C$201,'Trial Rows'!C193,'Trial Rows'!$F$2:$F$201,'Trial Rows'!F193,'Trial Rows'!$Y$2:$Y$201,'Trial Rows'!Y193))</x:f>
      </x:c>
      <x:c r="F193" s="2" t="str">
        <x:f>IF(A193="","",SUMIFS(Calculations!$G$2:$G$201,'Trial Rows'!$B$2:$B$201,'Trial Rows'!B193,'Trial Rows'!$C$2:$C$201,'Trial Rows'!C193,'Trial Rows'!$F$2:$F$201,'Trial Rows'!F193,'Trial Rows'!$Y$2:$Y$201,'Trial Rows'!Y193))</x:f>
      </x:c>
      <x:c r="G193" s="7" t="str">
        <x:f>IF(OR(A193="",E193=0),"",F193/E193)</x:f>
      </x:c>
      <x:c r="H193" s="7" t="str">
        <x:f>IF(OR(A193="",SUMIFS(Calculations!$H$2:$H$201,'Trial Rows'!$B$2:$B$201,'Trial Rows'!B193,'Trial Rows'!$C$2:$C$201,'Trial Rows'!C193,'Trial Rows'!$F$2:$F$201,'Trial Rows'!F193,'Trial Rows'!$Y$2:$Y$201,'Trial Rows'!Y193)=0),"",SUMIFS(Calculations!$I$2:$I$201,'Trial Rows'!$B$2:$B$201,'Trial Rows'!B193,'Trial Rows'!$C$2:$C$201,'Trial Rows'!C193,'Trial Rows'!$F$2:$F$201,'Trial Rows'!F193,'Trial Rows'!$Y$2:$Y$201,'Trial Rows'!Y193)/SUMIFS(Calculations!$H$2:$H$201,'Trial Rows'!$B$2:$B$201,'Trial Rows'!B193,'Trial Rows'!$C$2:$C$201,'Trial Rows'!C193,'Trial Rows'!$F$2:$F$201,'Trial Rows'!F193,'Trial Rows'!$Y$2:$Y$201,'Trial Rows'!Y193))</x:f>
      </x:c>
      <x:c r="I193" s="2" t="str">
        <x:f>IF(AND(A193&lt;&gt;"",COUNTIFS('Trial Rows'!$B$2:$B$201,'Trial Rows'!B193,'Trial Rows'!$C$2:$C$201,'Trial Rows'!C193,'Trial Rows'!$F$2:$F$201,'Trial Rows'!F193,'Trial Rows'!$Y$2:$Y$201,'Trial Rows'!Y193,'Trial Rows'!$G$2:$G$201,"A",Calculations!$R$2:$R$201,"&gt;=0",Calculations!$R$2:$R$201,"&lt;&gt;")=1),SUMIFS(Calculations!$R$2:$R$201,'Trial Rows'!$B$2:$B$201,'Trial Rows'!B193,'Trial Rows'!$C$2:$C$201,'Trial Rows'!C193,'Trial Rows'!$F$2:$F$201,'Trial Rows'!F193,'Trial Rows'!$Y$2:$Y$201,'Trial Rows'!Y193,'Trial Rows'!$G$2:$G$201,"A"),"")</x:f>
      </x:c>
      <x:c r="J193" s="2" t="str">
        <x:f>IF(AND(A193&lt;&gt;"",COUNTIFS('Trial Rows'!$B$2:$B$201,'Trial Rows'!B193,'Trial Rows'!$C$2:$C$201,'Trial Rows'!C193,'Trial Rows'!$F$2:$F$201,'Trial Rows'!F193,'Trial Rows'!$Y$2:$Y$201,'Trial Rows'!Y193,'Trial Rows'!$G$2:$G$201,"B",Calculations!$R$2:$R$201,"&gt;=0",Calculations!$R$2:$R$201,"&lt;&gt;")=1),SUMIFS(Calculations!$R$2:$R$201,'Trial Rows'!$B$2:$B$201,'Trial Rows'!B193,'Trial Rows'!$C$2:$C$201,'Trial Rows'!C193,'Trial Rows'!$F$2:$F$201,'Trial Rows'!F193,'Trial Rows'!$Y$2:$Y$201,'Trial Rows'!Y193,'Trial Rows'!$G$2:$G$201,"B"),"")</x:f>
      </x:c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 t="str">
        <x:f>IF(AND(Calculations!B194=1,'Trial Rows'!G194="B",'Trial Rows'!I194=1,Calculations!D194=1),'Trial Rows'!C194,"")</x:f>
      </x:c>
      <x:c r="B194" s="2" t="str">
        <x:f>IF(A194="","",'Trial Rows'!B194)</x:f>
      </x:c>
      <x:c r="C194" s="2" t="str">
        <x:f>IF(A194="","",'Trial Rows'!F194)</x:f>
      </x:c>
      <x:c r="D194" s="2" t="str">
        <x:f>IF(A194="","",'Trial Rows'!H194)</x:f>
      </x:c>
      <x:c r="E194" s="2" t="str">
        <x:f>IF(A194="","",SUMIFS(Calculations!$F$2:$F$201,'Trial Rows'!$B$2:$B$201,'Trial Rows'!B194,'Trial Rows'!$C$2:$C$201,'Trial Rows'!C194,'Trial Rows'!$F$2:$F$201,'Trial Rows'!F194,'Trial Rows'!$Y$2:$Y$201,'Trial Rows'!Y194))</x:f>
      </x:c>
      <x:c r="F194" s="2" t="str">
        <x:f>IF(A194="","",SUMIFS(Calculations!$G$2:$G$201,'Trial Rows'!$B$2:$B$201,'Trial Rows'!B194,'Trial Rows'!$C$2:$C$201,'Trial Rows'!C194,'Trial Rows'!$F$2:$F$201,'Trial Rows'!F194,'Trial Rows'!$Y$2:$Y$201,'Trial Rows'!Y194))</x:f>
      </x:c>
      <x:c r="G194" s="7" t="str">
        <x:f>IF(OR(A194="",E194=0),"",F194/E194)</x:f>
      </x:c>
      <x:c r="H194" s="7" t="str">
        <x:f>IF(OR(A194="",SUMIFS(Calculations!$H$2:$H$201,'Trial Rows'!$B$2:$B$201,'Trial Rows'!B194,'Trial Rows'!$C$2:$C$201,'Trial Rows'!C194,'Trial Rows'!$F$2:$F$201,'Trial Rows'!F194,'Trial Rows'!$Y$2:$Y$201,'Trial Rows'!Y194)=0),"",SUMIFS(Calculations!$I$2:$I$201,'Trial Rows'!$B$2:$B$201,'Trial Rows'!B194,'Trial Rows'!$C$2:$C$201,'Trial Rows'!C194,'Trial Rows'!$F$2:$F$201,'Trial Rows'!F194,'Trial Rows'!$Y$2:$Y$201,'Trial Rows'!Y194)/SUMIFS(Calculations!$H$2:$H$201,'Trial Rows'!$B$2:$B$201,'Trial Rows'!B194,'Trial Rows'!$C$2:$C$201,'Trial Rows'!C194,'Trial Rows'!$F$2:$F$201,'Trial Rows'!F194,'Trial Rows'!$Y$2:$Y$201,'Trial Rows'!Y194))</x:f>
      </x:c>
      <x:c r="I194" s="2" t="str">
        <x:f>IF(AND(A194&lt;&gt;"",COUNTIFS('Trial Rows'!$B$2:$B$201,'Trial Rows'!B194,'Trial Rows'!$C$2:$C$201,'Trial Rows'!C194,'Trial Rows'!$F$2:$F$201,'Trial Rows'!F194,'Trial Rows'!$Y$2:$Y$201,'Trial Rows'!Y194,'Trial Rows'!$G$2:$G$201,"A",Calculations!$R$2:$R$201,"&gt;=0",Calculations!$R$2:$R$201,"&lt;&gt;")=1),SUMIFS(Calculations!$R$2:$R$201,'Trial Rows'!$B$2:$B$201,'Trial Rows'!B194,'Trial Rows'!$C$2:$C$201,'Trial Rows'!C194,'Trial Rows'!$F$2:$F$201,'Trial Rows'!F194,'Trial Rows'!$Y$2:$Y$201,'Trial Rows'!Y194,'Trial Rows'!$G$2:$G$201,"A"),"")</x:f>
      </x:c>
      <x:c r="J194" s="2" t="str">
        <x:f>IF(AND(A194&lt;&gt;"",COUNTIFS('Trial Rows'!$B$2:$B$201,'Trial Rows'!B194,'Trial Rows'!$C$2:$C$201,'Trial Rows'!C194,'Trial Rows'!$F$2:$F$201,'Trial Rows'!F194,'Trial Rows'!$Y$2:$Y$201,'Trial Rows'!Y194,'Trial Rows'!$G$2:$G$201,"B",Calculations!$R$2:$R$201,"&gt;=0",Calculations!$R$2:$R$201,"&lt;&gt;")=1),SUMIFS(Calculations!$R$2:$R$201,'Trial Rows'!$B$2:$B$201,'Trial Rows'!B194,'Trial Rows'!$C$2:$C$201,'Trial Rows'!C194,'Trial Rows'!$F$2:$F$201,'Trial Rows'!F194,'Trial Rows'!$Y$2:$Y$201,'Trial Rows'!Y194,'Trial Rows'!$G$2:$G$201,"B"),"")</x:f>
      </x:c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 t="str">
        <x:f>IF(AND(Calculations!B195=1,'Trial Rows'!G195="B",'Trial Rows'!I195=1,Calculations!D195=1),'Trial Rows'!C195,"")</x:f>
      </x:c>
      <x:c r="B195" s="2" t="str">
        <x:f>IF(A195="","",'Trial Rows'!B195)</x:f>
      </x:c>
      <x:c r="C195" s="2" t="str">
        <x:f>IF(A195="","",'Trial Rows'!F195)</x:f>
      </x:c>
      <x:c r="D195" s="2" t="str">
        <x:f>IF(A195="","",'Trial Rows'!H195)</x:f>
      </x:c>
      <x:c r="E195" s="2" t="str">
        <x:f>IF(A195="","",SUMIFS(Calculations!$F$2:$F$201,'Trial Rows'!$B$2:$B$201,'Trial Rows'!B195,'Trial Rows'!$C$2:$C$201,'Trial Rows'!C195,'Trial Rows'!$F$2:$F$201,'Trial Rows'!F195,'Trial Rows'!$Y$2:$Y$201,'Trial Rows'!Y195))</x:f>
      </x:c>
      <x:c r="F195" s="2" t="str">
        <x:f>IF(A195="","",SUMIFS(Calculations!$G$2:$G$201,'Trial Rows'!$B$2:$B$201,'Trial Rows'!B195,'Trial Rows'!$C$2:$C$201,'Trial Rows'!C195,'Trial Rows'!$F$2:$F$201,'Trial Rows'!F195,'Trial Rows'!$Y$2:$Y$201,'Trial Rows'!Y195))</x:f>
      </x:c>
      <x:c r="G195" s="7" t="str">
        <x:f>IF(OR(A195="",E195=0),"",F195/E195)</x:f>
      </x:c>
      <x:c r="H195" s="7" t="str">
        <x:f>IF(OR(A195="",SUMIFS(Calculations!$H$2:$H$201,'Trial Rows'!$B$2:$B$201,'Trial Rows'!B195,'Trial Rows'!$C$2:$C$201,'Trial Rows'!C195,'Trial Rows'!$F$2:$F$201,'Trial Rows'!F195,'Trial Rows'!$Y$2:$Y$201,'Trial Rows'!Y195)=0),"",SUMIFS(Calculations!$I$2:$I$201,'Trial Rows'!$B$2:$B$201,'Trial Rows'!B195,'Trial Rows'!$C$2:$C$201,'Trial Rows'!C195,'Trial Rows'!$F$2:$F$201,'Trial Rows'!F195,'Trial Rows'!$Y$2:$Y$201,'Trial Rows'!Y195)/SUMIFS(Calculations!$H$2:$H$201,'Trial Rows'!$B$2:$B$201,'Trial Rows'!B195,'Trial Rows'!$C$2:$C$201,'Trial Rows'!C195,'Trial Rows'!$F$2:$F$201,'Trial Rows'!F195,'Trial Rows'!$Y$2:$Y$201,'Trial Rows'!Y195))</x:f>
      </x:c>
      <x:c r="I195" s="2" t="str">
        <x:f>IF(AND(A195&lt;&gt;"",COUNTIFS('Trial Rows'!$B$2:$B$201,'Trial Rows'!B195,'Trial Rows'!$C$2:$C$201,'Trial Rows'!C195,'Trial Rows'!$F$2:$F$201,'Trial Rows'!F195,'Trial Rows'!$Y$2:$Y$201,'Trial Rows'!Y195,'Trial Rows'!$G$2:$G$201,"A",Calculations!$R$2:$R$201,"&gt;=0",Calculations!$R$2:$R$201,"&lt;&gt;")=1),SUMIFS(Calculations!$R$2:$R$201,'Trial Rows'!$B$2:$B$201,'Trial Rows'!B195,'Trial Rows'!$C$2:$C$201,'Trial Rows'!C195,'Trial Rows'!$F$2:$F$201,'Trial Rows'!F195,'Trial Rows'!$Y$2:$Y$201,'Trial Rows'!Y195,'Trial Rows'!$G$2:$G$201,"A"),"")</x:f>
      </x:c>
      <x:c r="J195" s="2" t="str">
        <x:f>IF(AND(A195&lt;&gt;"",COUNTIFS('Trial Rows'!$B$2:$B$201,'Trial Rows'!B195,'Trial Rows'!$C$2:$C$201,'Trial Rows'!C195,'Trial Rows'!$F$2:$F$201,'Trial Rows'!F195,'Trial Rows'!$Y$2:$Y$201,'Trial Rows'!Y195,'Trial Rows'!$G$2:$G$201,"B",Calculations!$R$2:$R$201,"&gt;=0",Calculations!$R$2:$R$201,"&lt;&gt;")=1),SUMIFS(Calculations!$R$2:$R$201,'Trial Rows'!$B$2:$B$201,'Trial Rows'!B195,'Trial Rows'!$C$2:$C$201,'Trial Rows'!C195,'Trial Rows'!$F$2:$F$201,'Trial Rows'!F195,'Trial Rows'!$Y$2:$Y$201,'Trial Rows'!Y195,'Trial Rows'!$G$2:$G$201,"B"),"")</x:f>
      </x:c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 t="str">
        <x:f>IF(AND(Calculations!B196=1,'Trial Rows'!G196="B",'Trial Rows'!I196=1,Calculations!D196=1),'Trial Rows'!C196,"")</x:f>
      </x:c>
      <x:c r="B196" s="2" t="str">
        <x:f>IF(A196="","",'Trial Rows'!B196)</x:f>
      </x:c>
      <x:c r="C196" s="2" t="str">
        <x:f>IF(A196="","",'Trial Rows'!F196)</x:f>
      </x:c>
      <x:c r="D196" s="2" t="str">
        <x:f>IF(A196="","",'Trial Rows'!H196)</x:f>
      </x:c>
      <x:c r="E196" s="2" t="str">
        <x:f>IF(A196="","",SUMIFS(Calculations!$F$2:$F$201,'Trial Rows'!$B$2:$B$201,'Trial Rows'!B196,'Trial Rows'!$C$2:$C$201,'Trial Rows'!C196,'Trial Rows'!$F$2:$F$201,'Trial Rows'!F196,'Trial Rows'!$Y$2:$Y$201,'Trial Rows'!Y196))</x:f>
      </x:c>
      <x:c r="F196" s="2" t="str">
        <x:f>IF(A196="","",SUMIFS(Calculations!$G$2:$G$201,'Trial Rows'!$B$2:$B$201,'Trial Rows'!B196,'Trial Rows'!$C$2:$C$201,'Trial Rows'!C196,'Trial Rows'!$F$2:$F$201,'Trial Rows'!F196,'Trial Rows'!$Y$2:$Y$201,'Trial Rows'!Y196))</x:f>
      </x:c>
      <x:c r="G196" s="7" t="str">
        <x:f>IF(OR(A196="",E196=0),"",F196/E196)</x:f>
      </x:c>
      <x:c r="H196" s="7" t="str">
        <x:f>IF(OR(A196="",SUMIFS(Calculations!$H$2:$H$201,'Trial Rows'!$B$2:$B$201,'Trial Rows'!B196,'Trial Rows'!$C$2:$C$201,'Trial Rows'!C196,'Trial Rows'!$F$2:$F$201,'Trial Rows'!F196,'Trial Rows'!$Y$2:$Y$201,'Trial Rows'!Y196)=0),"",SUMIFS(Calculations!$I$2:$I$201,'Trial Rows'!$B$2:$B$201,'Trial Rows'!B196,'Trial Rows'!$C$2:$C$201,'Trial Rows'!C196,'Trial Rows'!$F$2:$F$201,'Trial Rows'!F196,'Trial Rows'!$Y$2:$Y$201,'Trial Rows'!Y196)/SUMIFS(Calculations!$H$2:$H$201,'Trial Rows'!$B$2:$B$201,'Trial Rows'!B196,'Trial Rows'!$C$2:$C$201,'Trial Rows'!C196,'Trial Rows'!$F$2:$F$201,'Trial Rows'!F196,'Trial Rows'!$Y$2:$Y$201,'Trial Rows'!Y196))</x:f>
      </x:c>
      <x:c r="I196" s="2" t="str">
        <x:f>IF(AND(A196&lt;&gt;"",COUNTIFS('Trial Rows'!$B$2:$B$201,'Trial Rows'!B196,'Trial Rows'!$C$2:$C$201,'Trial Rows'!C196,'Trial Rows'!$F$2:$F$201,'Trial Rows'!F196,'Trial Rows'!$Y$2:$Y$201,'Trial Rows'!Y196,'Trial Rows'!$G$2:$G$201,"A",Calculations!$R$2:$R$201,"&gt;=0",Calculations!$R$2:$R$201,"&lt;&gt;")=1),SUMIFS(Calculations!$R$2:$R$201,'Trial Rows'!$B$2:$B$201,'Trial Rows'!B196,'Trial Rows'!$C$2:$C$201,'Trial Rows'!C196,'Trial Rows'!$F$2:$F$201,'Trial Rows'!F196,'Trial Rows'!$Y$2:$Y$201,'Trial Rows'!Y196,'Trial Rows'!$G$2:$G$201,"A"),"")</x:f>
      </x:c>
      <x:c r="J196" s="2" t="str">
        <x:f>IF(AND(A196&lt;&gt;"",COUNTIFS('Trial Rows'!$B$2:$B$201,'Trial Rows'!B196,'Trial Rows'!$C$2:$C$201,'Trial Rows'!C196,'Trial Rows'!$F$2:$F$201,'Trial Rows'!F196,'Trial Rows'!$Y$2:$Y$201,'Trial Rows'!Y196,'Trial Rows'!$G$2:$G$201,"B",Calculations!$R$2:$R$201,"&gt;=0",Calculations!$R$2:$R$201,"&lt;&gt;")=1),SUMIFS(Calculations!$R$2:$R$201,'Trial Rows'!$B$2:$B$201,'Trial Rows'!B196,'Trial Rows'!$C$2:$C$201,'Trial Rows'!C196,'Trial Rows'!$F$2:$F$201,'Trial Rows'!F196,'Trial Rows'!$Y$2:$Y$201,'Trial Rows'!Y196,'Trial Rows'!$G$2:$G$201,"B"),"")</x:f>
      </x:c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 t="str">
        <x:f>IF(AND(Calculations!B197=1,'Trial Rows'!G197="B",'Trial Rows'!I197=1,Calculations!D197=1),'Trial Rows'!C197,"")</x:f>
      </x:c>
      <x:c r="B197" s="2" t="str">
        <x:f>IF(A197="","",'Trial Rows'!B197)</x:f>
      </x:c>
      <x:c r="C197" s="2" t="str">
        <x:f>IF(A197="","",'Trial Rows'!F197)</x:f>
      </x:c>
      <x:c r="D197" s="2" t="str">
        <x:f>IF(A197="","",'Trial Rows'!H197)</x:f>
      </x:c>
      <x:c r="E197" s="2" t="str">
        <x:f>IF(A197="","",SUMIFS(Calculations!$F$2:$F$201,'Trial Rows'!$B$2:$B$201,'Trial Rows'!B197,'Trial Rows'!$C$2:$C$201,'Trial Rows'!C197,'Trial Rows'!$F$2:$F$201,'Trial Rows'!F197,'Trial Rows'!$Y$2:$Y$201,'Trial Rows'!Y197))</x:f>
      </x:c>
      <x:c r="F197" s="2" t="str">
        <x:f>IF(A197="","",SUMIFS(Calculations!$G$2:$G$201,'Trial Rows'!$B$2:$B$201,'Trial Rows'!B197,'Trial Rows'!$C$2:$C$201,'Trial Rows'!C197,'Trial Rows'!$F$2:$F$201,'Trial Rows'!F197,'Trial Rows'!$Y$2:$Y$201,'Trial Rows'!Y197))</x:f>
      </x:c>
      <x:c r="G197" s="7" t="str">
        <x:f>IF(OR(A197="",E197=0),"",F197/E197)</x:f>
      </x:c>
      <x:c r="H197" s="7" t="str">
        <x:f>IF(OR(A197="",SUMIFS(Calculations!$H$2:$H$201,'Trial Rows'!$B$2:$B$201,'Trial Rows'!B197,'Trial Rows'!$C$2:$C$201,'Trial Rows'!C197,'Trial Rows'!$F$2:$F$201,'Trial Rows'!F197,'Trial Rows'!$Y$2:$Y$201,'Trial Rows'!Y197)=0),"",SUMIFS(Calculations!$I$2:$I$201,'Trial Rows'!$B$2:$B$201,'Trial Rows'!B197,'Trial Rows'!$C$2:$C$201,'Trial Rows'!C197,'Trial Rows'!$F$2:$F$201,'Trial Rows'!F197,'Trial Rows'!$Y$2:$Y$201,'Trial Rows'!Y197)/SUMIFS(Calculations!$H$2:$H$201,'Trial Rows'!$B$2:$B$201,'Trial Rows'!B197,'Trial Rows'!$C$2:$C$201,'Trial Rows'!C197,'Trial Rows'!$F$2:$F$201,'Trial Rows'!F197,'Trial Rows'!$Y$2:$Y$201,'Trial Rows'!Y197))</x:f>
      </x:c>
      <x:c r="I197" s="2" t="str">
        <x:f>IF(AND(A197&lt;&gt;"",COUNTIFS('Trial Rows'!$B$2:$B$201,'Trial Rows'!B197,'Trial Rows'!$C$2:$C$201,'Trial Rows'!C197,'Trial Rows'!$F$2:$F$201,'Trial Rows'!F197,'Trial Rows'!$Y$2:$Y$201,'Trial Rows'!Y197,'Trial Rows'!$G$2:$G$201,"A",Calculations!$R$2:$R$201,"&gt;=0",Calculations!$R$2:$R$201,"&lt;&gt;")=1),SUMIFS(Calculations!$R$2:$R$201,'Trial Rows'!$B$2:$B$201,'Trial Rows'!B197,'Trial Rows'!$C$2:$C$201,'Trial Rows'!C197,'Trial Rows'!$F$2:$F$201,'Trial Rows'!F197,'Trial Rows'!$Y$2:$Y$201,'Trial Rows'!Y197,'Trial Rows'!$G$2:$G$201,"A"),"")</x:f>
      </x:c>
      <x:c r="J197" s="2" t="str">
        <x:f>IF(AND(A197&lt;&gt;"",COUNTIFS('Trial Rows'!$B$2:$B$201,'Trial Rows'!B197,'Trial Rows'!$C$2:$C$201,'Trial Rows'!C197,'Trial Rows'!$F$2:$F$201,'Trial Rows'!F197,'Trial Rows'!$Y$2:$Y$201,'Trial Rows'!Y197,'Trial Rows'!$G$2:$G$201,"B",Calculations!$R$2:$R$201,"&gt;=0",Calculations!$R$2:$R$201,"&lt;&gt;")=1),SUMIFS(Calculations!$R$2:$R$201,'Trial Rows'!$B$2:$B$201,'Trial Rows'!B197,'Trial Rows'!$C$2:$C$201,'Trial Rows'!C197,'Trial Rows'!$F$2:$F$201,'Trial Rows'!F197,'Trial Rows'!$Y$2:$Y$201,'Trial Rows'!Y197,'Trial Rows'!$G$2:$G$201,"B"),"")</x:f>
      </x:c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 t="str">
        <x:f>IF(AND(Calculations!B198=1,'Trial Rows'!G198="B",'Trial Rows'!I198=1,Calculations!D198=1),'Trial Rows'!C198,"")</x:f>
      </x:c>
      <x:c r="B198" s="2" t="str">
        <x:f>IF(A198="","",'Trial Rows'!B198)</x:f>
      </x:c>
      <x:c r="C198" s="2" t="str">
        <x:f>IF(A198="","",'Trial Rows'!F198)</x:f>
      </x:c>
      <x:c r="D198" s="2" t="str">
        <x:f>IF(A198="","",'Trial Rows'!H198)</x:f>
      </x:c>
      <x:c r="E198" s="2" t="str">
        <x:f>IF(A198="","",SUMIFS(Calculations!$F$2:$F$201,'Trial Rows'!$B$2:$B$201,'Trial Rows'!B198,'Trial Rows'!$C$2:$C$201,'Trial Rows'!C198,'Trial Rows'!$F$2:$F$201,'Trial Rows'!F198,'Trial Rows'!$Y$2:$Y$201,'Trial Rows'!Y198))</x:f>
      </x:c>
      <x:c r="F198" s="2" t="str">
        <x:f>IF(A198="","",SUMIFS(Calculations!$G$2:$G$201,'Trial Rows'!$B$2:$B$201,'Trial Rows'!B198,'Trial Rows'!$C$2:$C$201,'Trial Rows'!C198,'Trial Rows'!$F$2:$F$201,'Trial Rows'!F198,'Trial Rows'!$Y$2:$Y$201,'Trial Rows'!Y198))</x:f>
      </x:c>
      <x:c r="G198" s="7" t="str">
        <x:f>IF(OR(A198="",E198=0),"",F198/E198)</x:f>
      </x:c>
      <x:c r="H198" s="7" t="str">
        <x:f>IF(OR(A198="",SUMIFS(Calculations!$H$2:$H$201,'Trial Rows'!$B$2:$B$201,'Trial Rows'!B198,'Trial Rows'!$C$2:$C$201,'Trial Rows'!C198,'Trial Rows'!$F$2:$F$201,'Trial Rows'!F198,'Trial Rows'!$Y$2:$Y$201,'Trial Rows'!Y198)=0),"",SUMIFS(Calculations!$I$2:$I$201,'Trial Rows'!$B$2:$B$201,'Trial Rows'!B198,'Trial Rows'!$C$2:$C$201,'Trial Rows'!C198,'Trial Rows'!$F$2:$F$201,'Trial Rows'!F198,'Trial Rows'!$Y$2:$Y$201,'Trial Rows'!Y198)/SUMIFS(Calculations!$H$2:$H$201,'Trial Rows'!$B$2:$B$201,'Trial Rows'!B198,'Trial Rows'!$C$2:$C$201,'Trial Rows'!C198,'Trial Rows'!$F$2:$F$201,'Trial Rows'!F198,'Trial Rows'!$Y$2:$Y$201,'Trial Rows'!Y198))</x:f>
      </x:c>
      <x:c r="I198" s="2" t="str">
        <x:f>IF(AND(A198&lt;&gt;"",COUNTIFS('Trial Rows'!$B$2:$B$201,'Trial Rows'!B198,'Trial Rows'!$C$2:$C$201,'Trial Rows'!C198,'Trial Rows'!$F$2:$F$201,'Trial Rows'!F198,'Trial Rows'!$Y$2:$Y$201,'Trial Rows'!Y198,'Trial Rows'!$G$2:$G$201,"A",Calculations!$R$2:$R$201,"&gt;=0",Calculations!$R$2:$R$201,"&lt;&gt;")=1),SUMIFS(Calculations!$R$2:$R$201,'Trial Rows'!$B$2:$B$201,'Trial Rows'!B198,'Trial Rows'!$C$2:$C$201,'Trial Rows'!C198,'Trial Rows'!$F$2:$F$201,'Trial Rows'!F198,'Trial Rows'!$Y$2:$Y$201,'Trial Rows'!Y198,'Trial Rows'!$G$2:$G$201,"A"),"")</x:f>
      </x:c>
      <x:c r="J198" s="2" t="str">
        <x:f>IF(AND(A198&lt;&gt;"",COUNTIFS('Trial Rows'!$B$2:$B$201,'Trial Rows'!B198,'Trial Rows'!$C$2:$C$201,'Trial Rows'!C198,'Trial Rows'!$F$2:$F$201,'Trial Rows'!F198,'Trial Rows'!$Y$2:$Y$201,'Trial Rows'!Y198,'Trial Rows'!$G$2:$G$201,"B",Calculations!$R$2:$R$201,"&gt;=0",Calculations!$R$2:$R$201,"&lt;&gt;")=1),SUMIFS(Calculations!$R$2:$R$201,'Trial Rows'!$B$2:$B$201,'Trial Rows'!B198,'Trial Rows'!$C$2:$C$201,'Trial Rows'!C198,'Trial Rows'!$F$2:$F$201,'Trial Rows'!F198,'Trial Rows'!$Y$2:$Y$201,'Trial Rows'!Y198,'Trial Rows'!$G$2:$G$201,"B"),"")</x:f>
      </x:c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 t="str">
        <x:f>IF(AND(Calculations!B199=1,'Trial Rows'!G199="B",'Trial Rows'!I199=1,Calculations!D199=1),'Trial Rows'!C199,"")</x:f>
      </x:c>
      <x:c r="B199" s="2" t="str">
        <x:f>IF(A199="","",'Trial Rows'!B199)</x:f>
      </x:c>
      <x:c r="C199" s="2" t="str">
        <x:f>IF(A199="","",'Trial Rows'!F199)</x:f>
      </x:c>
      <x:c r="D199" s="2" t="str">
        <x:f>IF(A199="","",'Trial Rows'!H199)</x:f>
      </x:c>
      <x:c r="E199" s="2" t="str">
        <x:f>IF(A199="","",SUMIFS(Calculations!$F$2:$F$201,'Trial Rows'!$B$2:$B$201,'Trial Rows'!B199,'Trial Rows'!$C$2:$C$201,'Trial Rows'!C199,'Trial Rows'!$F$2:$F$201,'Trial Rows'!F199,'Trial Rows'!$Y$2:$Y$201,'Trial Rows'!Y199))</x:f>
      </x:c>
      <x:c r="F199" s="2" t="str">
        <x:f>IF(A199="","",SUMIFS(Calculations!$G$2:$G$201,'Trial Rows'!$B$2:$B$201,'Trial Rows'!B199,'Trial Rows'!$C$2:$C$201,'Trial Rows'!C199,'Trial Rows'!$F$2:$F$201,'Trial Rows'!F199,'Trial Rows'!$Y$2:$Y$201,'Trial Rows'!Y199))</x:f>
      </x:c>
      <x:c r="G199" s="7" t="str">
        <x:f>IF(OR(A199="",E199=0),"",F199/E199)</x:f>
      </x:c>
      <x:c r="H199" s="7" t="str">
        <x:f>IF(OR(A199="",SUMIFS(Calculations!$H$2:$H$201,'Trial Rows'!$B$2:$B$201,'Trial Rows'!B199,'Trial Rows'!$C$2:$C$201,'Trial Rows'!C199,'Trial Rows'!$F$2:$F$201,'Trial Rows'!F199,'Trial Rows'!$Y$2:$Y$201,'Trial Rows'!Y199)=0),"",SUMIFS(Calculations!$I$2:$I$201,'Trial Rows'!$B$2:$B$201,'Trial Rows'!B199,'Trial Rows'!$C$2:$C$201,'Trial Rows'!C199,'Trial Rows'!$F$2:$F$201,'Trial Rows'!F199,'Trial Rows'!$Y$2:$Y$201,'Trial Rows'!Y199)/SUMIFS(Calculations!$H$2:$H$201,'Trial Rows'!$B$2:$B$201,'Trial Rows'!B199,'Trial Rows'!$C$2:$C$201,'Trial Rows'!C199,'Trial Rows'!$F$2:$F$201,'Trial Rows'!F199,'Trial Rows'!$Y$2:$Y$201,'Trial Rows'!Y199))</x:f>
      </x:c>
      <x:c r="I199" s="2" t="str">
        <x:f>IF(AND(A199&lt;&gt;"",COUNTIFS('Trial Rows'!$B$2:$B$201,'Trial Rows'!B199,'Trial Rows'!$C$2:$C$201,'Trial Rows'!C199,'Trial Rows'!$F$2:$F$201,'Trial Rows'!F199,'Trial Rows'!$Y$2:$Y$201,'Trial Rows'!Y199,'Trial Rows'!$G$2:$G$201,"A",Calculations!$R$2:$R$201,"&gt;=0",Calculations!$R$2:$R$201,"&lt;&gt;")=1),SUMIFS(Calculations!$R$2:$R$201,'Trial Rows'!$B$2:$B$201,'Trial Rows'!B199,'Trial Rows'!$C$2:$C$201,'Trial Rows'!C199,'Trial Rows'!$F$2:$F$201,'Trial Rows'!F199,'Trial Rows'!$Y$2:$Y$201,'Trial Rows'!Y199,'Trial Rows'!$G$2:$G$201,"A"),"")</x:f>
      </x:c>
      <x:c r="J199" s="2" t="str">
        <x:f>IF(AND(A199&lt;&gt;"",COUNTIFS('Trial Rows'!$B$2:$B$201,'Trial Rows'!B199,'Trial Rows'!$C$2:$C$201,'Trial Rows'!C199,'Trial Rows'!$F$2:$F$201,'Trial Rows'!F199,'Trial Rows'!$Y$2:$Y$201,'Trial Rows'!Y199,'Trial Rows'!$G$2:$G$201,"B",Calculations!$R$2:$R$201,"&gt;=0",Calculations!$R$2:$R$201,"&lt;&gt;")=1),SUMIFS(Calculations!$R$2:$R$201,'Trial Rows'!$B$2:$B$201,'Trial Rows'!B199,'Trial Rows'!$C$2:$C$201,'Trial Rows'!C199,'Trial Rows'!$F$2:$F$201,'Trial Rows'!F199,'Trial Rows'!$Y$2:$Y$201,'Trial Rows'!Y199,'Trial Rows'!$G$2:$G$201,"B"),"")</x:f>
      </x:c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 t="str">
        <x:f>IF(AND(Calculations!B200=1,'Trial Rows'!G200="B",'Trial Rows'!I200=1,Calculations!D200=1),'Trial Rows'!C200,"")</x:f>
      </x:c>
      <x:c r="B200" s="2" t="str">
        <x:f>IF(A200="","",'Trial Rows'!B200)</x:f>
      </x:c>
      <x:c r="C200" s="2" t="str">
        <x:f>IF(A200="","",'Trial Rows'!F200)</x:f>
      </x:c>
      <x:c r="D200" s="2" t="str">
        <x:f>IF(A200="","",'Trial Rows'!H200)</x:f>
      </x:c>
      <x:c r="E200" s="2" t="str">
        <x:f>IF(A200="","",SUMIFS(Calculations!$F$2:$F$201,'Trial Rows'!$B$2:$B$201,'Trial Rows'!B200,'Trial Rows'!$C$2:$C$201,'Trial Rows'!C200,'Trial Rows'!$F$2:$F$201,'Trial Rows'!F200,'Trial Rows'!$Y$2:$Y$201,'Trial Rows'!Y200))</x:f>
      </x:c>
      <x:c r="F200" s="2" t="str">
        <x:f>IF(A200="","",SUMIFS(Calculations!$G$2:$G$201,'Trial Rows'!$B$2:$B$201,'Trial Rows'!B200,'Trial Rows'!$C$2:$C$201,'Trial Rows'!C200,'Trial Rows'!$F$2:$F$201,'Trial Rows'!F200,'Trial Rows'!$Y$2:$Y$201,'Trial Rows'!Y200))</x:f>
      </x:c>
      <x:c r="G200" s="7" t="str">
        <x:f>IF(OR(A200="",E200=0),"",F200/E200)</x:f>
      </x:c>
      <x:c r="H200" s="7" t="str">
        <x:f>IF(OR(A200="",SUMIFS(Calculations!$H$2:$H$201,'Trial Rows'!$B$2:$B$201,'Trial Rows'!B200,'Trial Rows'!$C$2:$C$201,'Trial Rows'!C200,'Trial Rows'!$F$2:$F$201,'Trial Rows'!F200,'Trial Rows'!$Y$2:$Y$201,'Trial Rows'!Y200)=0),"",SUMIFS(Calculations!$I$2:$I$201,'Trial Rows'!$B$2:$B$201,'Trial Rows'!B200,'Trial Rows'!$C$2:$C$201,'Trial Rows'!C200,'Trial Rows'!$F$2:$F$201,'Trial Rows'!F200,'Trial Rows'!$Y$2:$Y$201,'Trial Rows'!Y200)/SUMIFS(Calculations!$H$2:$H$201,'Trial Rows'!$B$2:$B$201,'Trial Rows'!B200,'Trial Rows'!$C$2:$C$201,'Trial Rows'!C200,'Trial Rows'!$F$2:$F$201,'Trial Rows'!F200,'Trial Rows'!$Y$2:$Y$201,'Trial Rows'!Y200))</x:f>
      </x:c>
      <x:c r="I200" s="2" t="str">
        <x:f>IF(AND(A200&lt;&gt;"",COUNTIFS('Trial Rows'!$B$2:$B$201,'Trial Rows'!B200,'Trial Rows'!$C$2:$C$201,'Trial Rows'!C200,'Trial Rows'!$F$2:$F$201,'Trial Rows'!F200,'Trial Rows'!$Y$2:$Y$201,'Trial Rows'!Y200,'Trial Rows'!$G$2:$G$201,"A",Calculations!$R$2:$R$201,"&gt;=0",Calculations!$R$2:$R$201,"&lt;&gt;")=1),SUMIFS(Calculations!$R$2:$R$201,'Trial Rows'!$B$2:$B$201,'Trial Rows'!B200,'Trial Rows'!$C$2:$C$201,'Trial Rows'!C200,'Trial Rows'!$F$2:$F$201,'Trial Rows'!F200,'Trial Rows'!$Y$2:$Y$201,'Trial Rows'!Y200,'Trial Rows'!$G$2:$G$201,"A"),"")</x:f>
      </x:c>
      <x:c r="J200" s="2" t="str">
        <x:f>IF(AND(A200&lt;&gt;"",COUNTIFS('Trial Rows'!$B$2:$B$201,'Trial Rows'!B200,'Trial Rows'!$C$2:$C$201,'Trial Rows'!C200,'Trial Rows'!$F$2:$F$201,'Trial Rows'!F200,'Trial Rows'!$Y$2:$Y$201,'Trial Rows'!Y200,'Trial Rows'!$G$2:$G$201,"B",Calculations!$R$2:$R$201,"&gt;=0",Calculations!$R$2:$R$201,"&lt;&gt;")=1),SUMIFS(Calculations!$R$2:$R$201,'Trial Rows'!$B$2:$B$201,'Trial Rows'!B200,'Trial Rows'!$C$2:$C$201,'Trial Rows'!C200,'Trial Rows'!$F$2:$F$201,'Trial Rows'!F200,'Trial Rows'!$Y$2:$Y$201,'Trial Rows'!Y200,'Trial Rows'!$G$2:$G$201,"B"),"")</x:f>
      </x:c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 t="str">
        <x:f>IF(AND(Calculations!B201=1,'Trial Rows'!G201="B",'Trial Rows'!I201=1,Calculations!D201=1),'Trial Rows'!C201,"")</x:f>
      </x:c>
      <x:c r="B201" s="2" t="str">
        <x:f>IF(A201="","",'Trial Rows'!B201)</x:f>
      </x:c>
      <x:c r="C201" s="2" t="str">
        <x:f>IF(A201="","",'Trial Rows'!F201)</x:f>
      </x:c>
      <x:c r="D201" s="2" t="str">
        <x:f>IF(A201="","",'Trial Rows'!H201)</x:f>
      </x:c>
      <x:c r="E201" s="2" t="str">
        <x:f>IF(A201="","",SUMIFS(Calculations!$F$2:$F$201,'Trial Rows'!$B$2:$B$201,'Trial Rows'!B201,'Trial Rows'!$C$2:$C$201,'Trial Rows'!C201,'Trial Rows'!$F$2:$F$201,'Trial Rows'!F201,'Trial Rows'!$Y$2:$Y$201,'Trial Rows'!Y201))</x:f>
      </x:c>
      <x:c r="F201" s="2" t="str">
        <x:f>IF(A201="","",SUMIFS(Calculations!$G$2:$G$201,'Trial Rows'!$B$2:$B$201,'Trial Rows'!B201,'Trial Rows'!$C$2:$C$201,'Trial Rows'!C201,'Trial Rows'!$F$2:$F$201,'Trial Rows'!F201,'Trial Rows'!$Y$2:$Y$201,'Trial Rows'!Y201))</x:f>
      </x:c>
      <x:c r="G201" s="7" t="str">
        <x:f>IF(OR(A201="",E201=0),"",F201/E201)</x:f>
      </x:c>
      <x:c r="H201" s="7" t="str">
        <x:f>IF(OR(A201="",SUMIFS(Calculations!$H$2:$H$201,'Trial Rows'!$B$2:$B$201,'Trial Rows'!B201,'Trial Rows'!$C$2:$C$201,'Trial Rows'!C201,'Trial Rows'!$F$2:$F$201,'Trial Rows'!F201,'Trial Rows'!$Y$2:$Y$201,'Trial Rows'!Y201)=0),"",SUMIFS(Calculations!$I$2:$I$201,'Trial Rows'!$B$2:$B$201,'Trial Rows'!B201,'Trial Rows'!$C$2:$C$201,'Trial Rows'!C201,'Trial Rows'!$F$2:$F$201,'Trial Rows'!F201,'Trial Rows'!$Y$2:$Y$201,'Trial Rows'!Y201)/SUMIFS(Calculations!$H$2:$H$201,'Trial Rows'!$B$2:$B$201,'Trial Rows'!B201,'Trial Rows'!$C$2:$C$201,'Trial Rows'!C201,'Trial Rows'!$F$2:$F$201,'Trial Rows'!F201,'Trial Rows'!$Y$2:$Y$201,'Trial Rows'!Y201))</x:f>
      </x:c>
      <x:c r="I201" s="2" t="str">
        <x:f>IF(AND(A201&lt;&gt;"",COUNTIFS('Trial Rows'!$B$2:$B$201,'Trial Rows'!B201,'Trial Rows'!$C$2:$C$201,'Trial Rows'!C201,'Trial Rows'!$F$2:$F$201,'Trial Rows'!F201,'Trial Rows'!$Y$2:$Y$201,'Trial Rows'!Y201,'Trial Rows'!$G$2:$G$201,"A",Calculations!$R$2:$R$201,"&gt;=0",Calculations!$R$2:$R$201,"&lt;&gt;")=1),SUMIFS(Calculations!$R$2:$R$201,'Trial Rows'!$B$2:$B$201,'Trial Rows'!B201,'Trial Rows'!$C$2:$C$201,'Trial Rows'!C201,'Trial Rows'!$F$2:$F$201,'Trial Rows'!F201,'Trial Rows'!$Y$2:$Y$201,'Trial Rows'!Y201,'Trial Rows'!$G$2:$G$201,"A"),"")</x:f>
      </x:c>
      <x:c r="J201" s="2" t="str">
        <x:f>IF(AND(A201&lt;&gt;"",COUNTIFS('Trial Rows'!$B$2:$B$201,'Trial Rows'!B201,'Trial Rows'!$C$2:$C$201,'Trial Rows'!C201,'Trial Rows'!$F$2:$F$201,'Trial Rows'!F201,'Trial Rows'!$Y$2:$Y$201,'Trial Rows'!Y201,'Trial Rows'!$G$2:$G$201,"B",Calculations!$R$2:$R$201,"&gt;=0",Calculations!$R$2:$R$201,"&lt;&gt;")=1),SUMIFS(Calculations!$R$2:$R$201,'Trial Rows'!$B$2:$B$201,'Trial Rows'!B201,'Trial Rows'!$C$2:$C$201,'Trial Rows'!C201,'Trial Rows'!$F$2:$F$201,'Trial Rows'!F201,'Trial Rows'!$Y$2:$Y$201,'Trial Rows'!Y201,'Trial Rows'!$G$2:$G$201,"B"),"")</x:f>
      </x:c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pageMargins left="0.7" right="0.7" top="0.75" bottom="0.75" header="0.3" footer="0.3"/>
</x:worksheet>
</file>