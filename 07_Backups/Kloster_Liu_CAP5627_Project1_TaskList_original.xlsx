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18" documentId="11_053F91155FEBDA1126679AF1EF05169189B5B4BD" xr6:coauthVersionLast="47" xr6:coauthVersionMax="47" xr10:uidLastSave="{15C14664-E9E7-4C22-9D2A-72E9609DBCF0}"/>
  <bookViews>
    <workbookView xWindow="0" yWindow="0" windowWidth="0" windowHeight="0" activeTab="2" xr2:uid="{00000000-000D-0000-FFFF-FFFF00000000}"/>
  </bookViews>
  <sheets>
    <sheet name="Task List" sheetId="1" r:id="rId1"/>
    <sheet name="Article Analysis" sheetId="2" r:id="rId2"/>
    <sheet name="Open Quest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 l="1"/>
  <c r="K23" i="1"/>
  <c r="J23" i="1"/>
  <c r="L22" i="1"/>
  <c r="K22" i="1"/>
  <c r="J22" i="1"/>
  <c r="L21" i="1"/>
  <c r="K21" i="1"/>
  <c r="J21" i="1"/>
  <c r="L20" i="1"/>
  <c r="K20" i="1"/>
  <c r="J20" i="1"/>
  <c r="L19" i="1"/>
  <c r="K19" i="1"/>
  <c r="J19" i="1"/>
  <c r="L18" i="1"/>
  <c r="K18" i="1"/>
  <c r="J18" i="1"/>
  <c r="L17" i="1"/>
  <c r="K17" i="1"/>
  <c r="J17" i="1"/>
  <c r="L16" i="1"/>
  <c r="K16" i="1"/>
  <c r="J16" i="1"/>
  <c r="L15" i="1"/>
  <c r="K15" i="1"/>
  <c r="J15" i="1"/>
  <c r="L14" i="1"/>
  <c r="K14" i="1"/>
  <c r="J14" i="1"/>
  <c r="O13" i="1"/>
  <c r="N13" i="1"/>
  <c r="I8" i="1"/>
  <c r="I7" i="1"/>
  <c r="J6" i="1"/>
  <c r="I6" i="1"/>
  <c r="J5" i="1"/>
  <c r="J8" i="1" s="1"/>
  <c r="I5" i="1"/>
  <c r="J4" i="1"/>
  <c r="J7" i="1" s="1"/>
  <c r="I4" i="1"/>
  <c r="J3" i="1"/>
  <c r="L24" i="1" l="1"/>
  <c r="M21" i="1"/>
  <c r="M17" i="1"/>
  <c r="M16" i="1"/>
  <c r="M20" i="1"/>
  <c r="M23" i="1"/>
  <c r="M15" i="1"/>
  <c r="M14" i="1"/>
  <c r="M22" i="1"/>
  <c r="M19" i="1"/>
  <c r="M18" i="1"/>
  <c r="K24" i="1"/>
  <c r="O23" i="1"/>
  <c r="O22" i="1"/>
  <c r="O21" i="1"/>
  <c r="O20" i="1"/>
  <c r="O19" i="1"/>
  <c r="O16" i="1"/>
  <c r="O18" i="1"/>
  <c r="O15" i="1"/>
  <c r="O17" i="1"/>
  <c r="O14" i="1"/>
  <c r="J24" i="1"/>
  <c r="N23" i="1"/>
  <c r="N22" i="1"/>
  <c r="N21" i="1"/>
  <c r="N20" i="1"/>
  <c r="N19" i="1"/>
  <c r="N18" i="1"/>
  <c r="N16" i="1"/>
  <c r="N15" i="1"/>
  <c r="N14" i="1"/>
  <c r="N17" i="1"/>
</calcChain>
</file>

<file path=xl/sharedStrings.xml><?xml version="1.0" encoding="utf-8"?>
<sst xmlns="http://schemas.openxmlformats.org/spreadsheetml/2006/main" count="400" uniqueCount="222">
  <si>
    <t>Date</t>
  </si>
  <si>
    <t>Task #</t>
  </si>
  <si>
    <t>Task Description</t>
  </si>
  <si>
    <t>Estimated Time (Hours)</t>
  </si>
  <si>
    <t>Member Responsible</t>
  </si>
  <si>
    <t>Status</t>
  </si>
  <si>
    <t>Sep 28–Oct 4, 2026</t>
  </si>
  <si>
    <t>Review the Project 2.1 brief and identify the main research question, scope, and proposal requirements.</t>
  </si>
  <si>
    <t>Valentina</t>
  </si>
  <si>
    <t>Done</t>
  </si>
  <si>
    <t>Hours Summary (all weeks)</t>
  </si>
  <si>
    <t>Set up the shared spreadsheet and organize the Task List, Article Analysis, and Open Questions tabs.</t>
  </si>
  <si>
    <t>Team task-hours</t>
  </si>
  <si>
    <t>Review the provided article list and decide how the six team articles will be divided between Valentina and Jai.</t>
  </si>
  <si>
    <t>Jai</t>
  </si>
  <si>
    <t>Read and analyze Boian et al. and complete the Article Analysis row with page and section references.</t>
  </si>
  <si>
    <t>Read and analyze Maharjan et al. and complete the Article Analysis row with page and section references.</t>
  </si>
  <si>
    <t>Oct 5–11, 2026</t>
  </si>
  <si>
    <t>Find a self found article that adds something new to the project and confirm that it fits the article search requirements.</t>
  </si>
  <si>
    <t>Read and analyze Guo et al. HopeBot and complete the Article Analysis row.</t>
  </si>
  <si>
    <t>Read and analyze Krajcovic et al. and complete or review the Article Analysis row.</t>
  </si>
  <si>
    <t>Read and analyze Soni et al. and complete or review the Article Analysis row.</t>
  </si>
  <si>
    <t>Read and analyze Jin et al. and complete or review the Article Analysis row.</t>
  </si>
  <si>
    <t>Compare the six articles and identify the main research gap and the ideas we want to adapt for our project.</t>
  </si>
  <si>
    <t>Weekly and cumulative hours (update automatically)</t>
  </si>
  <si>
    <t>Draft the Problem, Research Question, and Background sections using evidence from the article analyses.</t>
  </si>
  <si>
    <t>Week #</t>
  </si>
  <si>
    <t>Team total</t>
  </si>
  <si>
    <t>Cumulative team</t>
  </si>
  <si>
    <t>Draft the Approach and Evaluation sections, including the two conditions, free text mapping, clarification, and study measures.</t>
  </si>
  <si>
    <t>Review the proposal draft and suggest changes to the research question, approach, and evaluation plan.</t>
  </si>
  <si>
    <t>Review the final proposal, task list, article analysis, open questions, and Trello board before submission.</t>
  </si>
  <si>
    <t>PROJECT 1 PROPOSAL DUE — Mon Oct 12, 2026 (incl. Charter/Solo Work Plan + Task List + Article Analysis table)</t>
  </si>
  <si>
    <t>Oct 12–18, 2026</t>
  </si>
  <si>
    <t>Revise the Approach and Evaluation based on instructor feedback on the Project 1 Proposal.</t>
  </si>
  <si>
    <t>Finalize the experimental design: IV, DVs, measures, condition order, participants, hypotheses, and acceptable agreement threshold.</t>
  </si>
  <si>
    <t>Build the traditional closed-ended assessment condition in eEVA using the selected validated questionnaire.</t>
  </si>
  <si>
    <t>To do</t>
  </si>
  <si>
    <t>Build the conversational free-text assessment flow in eEVA using the same questionnaire items.</t>
  </si>
  <si>
    <t>Implement free-text-to-category mapping and the clarification path for ambiguous or low-confidence responses.</t>
  </si>
  <si>
    <t>Oct 19–25, 2026</t>
  </si>
  <si>
    <t>Integrate and test both assessment conditions end to end in eEVA.</t>
  </si>
  <si>
    <t>Pilot the conversational condition on a small set of sample responses and log mapping errors and clarification cases.</t>
  </si>
  <si>
    <t>Total</t>
  </si>
  <si>
    <t>Prepare user-evaluation materials and logging for usability, completion time, agreement, and clarification rate.</t>
  </si>
  <si>
    <t>Target: 4–5 h per person per week (40–50 h per person over 10 weeks).</t>
  </si>
  <si>
    <t>Measure the initial baseline agreement between mapped free-text responses and closed-ended answers; inspect disagreement cases.</t>
  </si>
  <si>
    <t>Prepare the mid-project Approach and Evaluation slides.</t>
  </si>
  <si>
    <t>Prepare the mid-project Problem/Background slides from the Article Analysis synthesis.</t>
  </si>
  <si>
    <t>Cross-review the full deck, rehearse, incorporate feedback, and submit the final mid-project slides.</t>
  </si>
  <si>
    <t>MID-PROJECT PRESENTATION SLIDES DUE — Mon Oct 26, 2026 (optional draft for feedback by Thu Oct 22) · Presentations Tue Oct 27</t>
  </si>
  <si>
    <t>Oct 26–Nov 1, 2026</t>
  </si>
  <si>
    <t>Incorporate mid-project feedback into the study flow and UI requirements.</t>
  </si>
  <si>
    <t>Finish and polish the closed-ended PSS-4 condition, keeping the agent and screen layout consistent with the conversational condition.</t>
  </si>
  <si>
    <t>Refine the free-text mapping and clarification/fallback logic using pilot examples.</t>
  </si>
  <si>
    <t>Add and verify logging for raw responses, mapped categories, clarification/fallback events, and timing.</t>
  </si>
  <si>
    <t>Cross-test both conditions against the same UI and questionnaire requirements and document bugs.</t>
  </si>
  <si>
    <t>Nov 2–8, 2026</t>
  </si>
  <si>
    <t>Finalize the participant script, neutral instructions, consent/study information, and condition-order procedure.</t>
  </si>
  <si>
    <t>Finalize the SUS form, response logging sheet, and balanced random order assignments for participants.</t>
  </si>
  <si>
    <t>Test no-response, ambiguous-answer, clarification, and fixed-option fallback edge cases in eEVA.</t>
  </si>
  <si>
    <t>Run 1–2 pilot sessions end to end and record usability, mapping, timing, and flow issues.</t>
  </si>
  <si>
    <t>Fix the highest-priority pilot issues and freeze the study version before participant data collection.</t>
  </si>
  <si>
    <t>Target: system functional &amp; evaluation materials/protocol ready — end of Wk 6 (by Nov 8)</t>
  </si>
  <si>
    <t>Nov 9–15, 2026</t>
  </si>
  <si>
    <t>Recruit and schedule 5–6 adult participants and assign each participant to a remaining balanced condition-order slot.</t>
  </si>
  <si>
    <t>Run the first half of the participant sessions and verify that all required data are logged.</t>
  </si>
  <si>
    <t>Run the second half of the participant sessions and verify that all required data are logged.</t>
  </si>
  <si>
    <t>Check the collected data for missing responses, timing errors, or incomplete SUS records and resolve issues while possible.</t>
  </si>
  <si>
    <t>Organize and back up the study data, separating mapped, clarified, fallback, and unanswered cases.</t>
  </si>
  <si>
    <t>Target: user evaluation sessions run with participants — end of Wk 7 (by Nov 15)</t>
  </si>
  <si>
    <t>Nov 16–22, 2026</t>
  </si>
  <si>
    <t>Calculate participant-level exact-match agreement and aggregate Cohen's kappa for the two PSS-4 formats.</t>
  </si>
  <si>
    <t>Calculate SUS scores, completion-time summaries, and clarification/fallback rates.</t>
  </si>
  <si>
    <t>Review disagreement cases and categorize the main free-text mapping errors.</t>
  </si>
  <si>
    <t>Prepare clear result tables/figures for agreement, usability, time, and clarification outcomes.</t>
  </si>
  <si>
    <t>Draft the final results, limitations, and conclusions slides from the completed analysis.</t>
  </si>
  <si>
    <t>Target: analysis complete, results slide(s) built &amp; rehearsed — by Sun Nov 22 (optional draft for feedback by Thu Nov 19)</t>
  </si>
  <si>
    <t>Cross-review and rehearse the final presentation, make last slide edits, and confirm the final deck is ready to submit.</t>
  </si>
  <si>
    <t>FINAL PRESENTATION SLIDES DUE — Mon Nov 23, 2026 (ALL teams submit together, regardless of assigned presentation day; optional draft for feedback by Thu Nov 19)</t>
  </si>
  <si>
    <t>FINAL PRESENTATIONS — Day 1 Tue Nov 24 · Day 2 Tue Dec 1 · Day 3 Thu Dec 3 (Thanksgiving Thu Nov 26 — no class)</t>
  </si>
  <si>
    <t>Nov 23–29, 2026</t>
  </si>
  <si>
    <t>Prepare for the assigned final presentation day and rehearse the sections led by Valentina.</t>
  </si>
  <si>
    <t>Prepare for the assigned final presentation day and rehearse the sections led by Jai.</t>
  </si>
  <si>
    <t>Create the final report outline and draft the Problem, Background, and study-design sections using the proposal and final results.</t>
  </si>
  <si>
    <t>Draft the implementation, mapping/clarification, and results outline for the final report while the study details are still fresh.</t>
  </si>
  <si>
    <t>Nov 30–Dec 6, 2026</t>
  </si>
  <si>
    <t>Complete the final report draft, including interpretation, limitations, and conclusions.</t>
  </si>
  <si>
    <t>Draft the implementation, mapping/clarification logic, and results sections for the final report.</t>
  </si>
  <si>
    <t>Review Jai's report sections for consistency with the study design, measures, and references.</t>
  </si>
  <si>
    <t>Review Valentina's report sections and verify implementation details, figures, and result descriptions.</t>
  </si>
  <si>
    <t>Clean and organize the final project files, figures, logs, and submission package for the course folder.</t>
  </si>
  <si>
    <t>FINAL REPORT DUE — Mon Dec 7, 2026</t>
  </si>
  <si>
    <t>Notes / assumptions</t>
  </si>
  <si>
    <t>• This spreadsheet is your team's single project tracker. Update the Status column (To do / Doing / Done) at every weekly check-in, and log questions in the Open Questions tab. The instructor will do random checks of your current spreadsheet. Trello is optional.</t>
  </si>
  <si>
    <t>• Read and analyze ALL Background articles before drafting the Problem, Background, Approach, and Evaluation sections: these sections should build on what you found in the articles.</t>
  </si>
  <si>
    <t>• Article-analysis tasks include reading the full paper and completing the Article Analysis row with page/section references. Estimates reflect the team's planned time for each paper; finding and screening a self-found article is tracked separately.</t>
  </si>
  <si>
    <t>• Deadlines fall the day before class: Proposal Mon Oct 12; mid-project slides Mon Oct 26 (optional draft for feedback by Thu Oct 22); final-presentation slides Mon Nov 23 (optional draft by Thu Nov 19). Final report due Mon Dec 7.</t>
  </si>
  <si>
    <t>• Weeks 5–10 contain the team's planned implementation, evaluation, presentation, and final-report tasks. Update owners, estimates, and status during each weekly check-in if the plan changes.</t>
  </si>
  <si>
    <t>• The spreadsheet is the official detailed tracker. Trello is optional and may be used as a simpler visual board for major phases rather than duplicating every spreadsheet task.</t>
  </si>
  <si>
    <t>• Because ALL teams submit final-presentation slides by Mon Nov 23 regardless of which of the 3 days you present, plan your user evaluation and analysis to be done by Wk 8 (Nov 22) even if your own slot is Day 2 or Day 3.</t>
  </si>
  <si>
    <t>• Weekly totals (columns I–O) update automatically. Each person's total counts half of every joint task. Target: 4–5 h per person per week. To use your own names, change the two yellow name cells (J13 and K13) and use the same spelling in column F; joint tasks are written “Name1 &amp; Name2”.</t>
  </si>
  <si>
    <t>• Solo students: skip joint tasks and the two-person split; use the Solo Work Plan pattern from the Team Charter &amp; Task Decomposition handout instead.</t>
  </si>
  <si>
    <t>Article Analysis — one row per article. Fill in the white rows (row 3 explains each column). Every entry needs a page or section number in the last column. Write in your own words; do not paste the abstract.</t>
  </si>
  <si>
    <t>#</t>
  </si>
  <si>
    <t>Analyzed by</t>
  </si>
  <si>
    <t>Full citation (authors, year, title, venue)</t>
  </si>
  <si>
    <t>Research question(s) / hypotheses</t>
  </si>
  <si>
    <t>Theory or model used</t>
  </si>
  <si>
    <t>System or agent studied</t>
  </si>
  <si>
    <t>Study design &amp; participants (N)</t>
  </si>
  <si>
    <t>Conditions / independent variables</t>
  </si>
  <si>
    <t>Measures / dependent variables</t>
  </si>
  <si>
    <t>Key results (with numbers)</t>
  </si>
  <si>
    <t>Limitations stated by the authors</t>
  </si>
  <si>
    <t>Limitations YOU identify</t>
  </si>
  <si>
    <t>Relevance to our project (what we adopt, change, or test)</t>
  </si>
  <si>
    <t>Page / section for each entry</t>
  </si>
  <si>
    <t>—</t>
  </si>
  <si>
    <t>Who analyzed it</t>
  </si>
  <si>
    <t>As it will appear in your references</t>
  </si>
  <si>
    <t>The question(s) the authors set out to answer, in your words</t>
  </si>
  <si>
    <t>Named theory/model (e.g., appraisal theory), or “none stated”</t>
  </si>
  <si>
    <t>Agent/system, modality, embodiment</t>
  </si>
  <si>
    <t>e.g., within-subject lab study; N = 40 students</t>
  </si>
  <si>
    <t>What the authors manipulated or compared</t>
  </si>
  <si>
    <t>Questionnaires, behavioral or physiological measures (name them)</t>
  </si>
  <si>
    <t>Main findings, with effect sizes, means, or p-values as reported</t>
  </si>
  <si>
    <t>What the authors themselves say</t>
  </si>
  <si>
    <t>Your own critique: sample, design, measures, generalization</t>
  </si>
  <si>
    <t>How this article shapes your Problem, Approach, or Evaluation</t>
  </si>
  <si>
    <t>e.g., RQ p. 3; results Table 2, p. 7</t>
  </si>
  <si>
    <t>Boian, R., Bucur, A.-M., Todea, D., Luca, A., Rebedea, T., &amp; Podina, I. R. (2025). A conversational agent framework for mental health screening: design, implementation, and usability. Behaviour &amp; Information Technology, 44(10), 2364–2378.</t>
  </si>
  <si>
    <t>The paper does not give one formal research question. Its main goals are to see if aiCARE can understand open ended answers and map them to Likert response categories, reduce how often it needs clarification, and evaluate usability.</t>
  </si>
  <si>
    <t>No specific psychological theory is used. The main technical idea is a hybrid NLU approach that combines rules with an AI classifier. The chatbot also uses simple acknowledgement responses to make the interaction feel more natural.</t>
  </si>
  <si>
    <t>aiCARE is a text based mental health screening chatbot built on Discord. It gives PHQ 9, GAD 7, and PCL 5 questions, accepts free text answers, maps them to Likert categories, asks for clarification when needed, and gives feedback after the questionnaire.</t>
  </si>
  <si>
    <t>The study had two phases. Phase 1 used a rule based version with 274 participants and was mainly used to collect training data. Phase 2 used the hybrid NLU version with 587 participants to evaluate the system. Most participants were university students or young adults.</t>
  </si>
  <si>
    <t>The comparison was between the rule based version in Phase 1 and the hybrid AI NLU version in Phase 2. The rule based version needed more clarification, while the hybrid version tried to classify the answer automatically first.</t>
  </si>
  <si>
    <t>They measured agreement between the chatbot and human labels using Cohen's kappa, precision, recall, and F1. They also measured how often clarification was needed and evaluated usability with the Chatbot Usability Questionnaire and satisfaction ratings.</t>
  </si>
  <si>
    <t>In Phase 2, the AI NLU understood 85.65% of the responses it handled. Clarification requests dropped to 4.64%. Agreement with human labels was strong, with kappa values of .800 for PHQ 9, .763 for GAD 7, and .845 for PCL 5. Users also rated the hybrid version as more engaging, friendly, and easy to use.</t>
  </si>
  <si>
    <t>The authors say the training data was limited, the sample was mostly nonclinical university students, ambiguous answers were still difficult, the system depended on Discord, and the questionnaires were originally validated for fixed Likert answers rather than free text.</t>
  </si>
  <si>
    <t>The two phases used different groups of participants and there was no random assignment, so the improvement cannot be attributed only to the hybrid NLU. The paper also does not directly compare a free text conversational condition with a standard closed ended questionnaire.</t>
  </si>
  <si>
    <t>This paper is important for our project because it shows that free text answers can be mapped to standard questionnaire categories. It also gives us useful measures such as agreement, clarification rate, and usability. We are adapting this idea to the PSS-4 and comparing it directly with a closed-ended version.</t>
  </si>
  <si>
    <t>Objectives and RQ: Introduction, around p. 2366. System: Methods/System, around pp. 2366 to 2368. Study design: around p. 2368. Measures and results: around pp. 2370 to 2374. Limitations: around pp. 2375 to 2377.</t>
  </si>
  <si>
    <t>Maharjan, R., Rohani, D. A., Bækgaard, P., Bardram, J. E., &amp; Doherty, K. (2021). Can we talk? Design implications for the questionnaire-driven self-report of health and wellbeing via conversational agent. Proceedings of the 3rd Conference on Conversational User Interfaces (CUI ’21), 1–11.</t>
  </si>
  <si>
    <t>The paper has three research questions. It asks how well answers given to Sofia match a paper WHO 5, how discrete and open ended designs affect user behavior and experience, and what these differences mean for the design of health self report conversational agents.</t>
  </si>
  <si>
    <t>No specific psychological theory is used. The paper mainly compares two dialogue styles, a discrete response design and an open ended response design.</t>
  </si>
  <si>
    <t>Sofia is a voice based conversational agent built with Dialogflow and used through Google Home. It asks the five WHO 5 questions. One version accepts numbers from 0 to 5, while the other lets users answer in their own words.</t>
  </si>
  <si>
    <t>This was a mixed methods lab study. Sixty people were recruited and 59 completed it. Participants were randomly assigned to one Sofia design. The order of the paper WHO 5 and Sofia WHO 5 was counterbalanced with a 2 by 2 Latin square.</t>
  </si>
  <si>
    <t>The independent variable was conversational design. The two levels were discrete responses using numbers from 0 to 5 and open ended responses using the participant's own words.</t>
  </si>
  <si>
    <t>They measured how closely Sofia answers matched the paper WHO 5, total completion time, and usability with SASSI. They also recorded help, repeat, and fallback intents and collected qualitative comments.</t>
  </si>
  <si>
    <t>The discrete condition matched the paper questionnaire more closely, with r = .91 compared with r = .77 for the open ended condition. The open ended version was faster, with a mean of 57.62 seconds compared with 68.31 seconds, p &lt; .01. The discrete design scored higher on habitability, p = .02, but the other SASSI factors were not significantly different.</t>
  </si>
  <si>
    <t>The authors say the study was done in a lab, participants only used Sofia once, the sample had limited age and occupation diversity, and Sofia was designed specifically for WHO 5.</t>
  </si>
  <si>
    <t>The sample was small, with about 30 people per condition. Open ended answers were mapped manually by human raters, so the paper does not test automatic mapping. The open ended responses were also restricted by the system's short response window. The baseline was a paper questionnaire rather than a digital closed ended interface.</t>
  </si>
  <si>
    <t>This paper is very close to our interaction design because it compares discrete and open-ended questionnaire responses and measures agreement, time, and usability. We are adapting the same idea to the PSS-4, using automatic free-text mapping in eEVA and comparing it with a digital closed-ended PSS-4.</t>
  </si>
  <si>
    <t>Research questions: Introduction, p. 2. System and conditions: Sec. 3.2, pp. 4 to 5. Study design: Sec. 3.3, pp. 4 to 5. Measures: Sec. 3.4, p. 5. Results: Sec. 4, pp. 6 to 8. Discussion: Sec. 5, pp. 7 to 10. Limitations: Sec. 6, p. 10.</t>
  </si>
  <si>
    <t>Guo, Z., Lai, A., Ive, J., Petcu, A., Wang, Y., Qi, L., Thygesen, J. H., &amp; Li, K. (2026). Feasibility and user evaluation of HopeBot: An LLM-powered conversational chatbot for depression screening. PLOS Digital Health, 5(6), e0001446.</t>
  </si>
  <si>
    <t>The study asks whether HopeBot can give the PHQ 9 conversationally while keeping scores close to the standard self administered PHQ 9, and whether users find the chatbot clear, supportive, comfortable, and trustworthy.</t>
  </si>
  <si>
    <t>No single psychological theory is tested. The design focuses on keeping PHQ 9 scoring consistent while using an LLM, retrieval augmented generation, and clarification when answers are unclear.</t>
  </si>
  <si>
    <t>HopeBot is a GPT 4o powered PHQ 9 chatbot that accepts typed or spoken answers. It uses retrieval augmented generation for support information, maps free text answers to PHQ 9 response categories, asks clarification questions when needed, and calculates the final score in the backend.</t>
  </si>
  <si>
    <t>This was a within subjects feasibility study with 132 adults from the UK and China. Each participant completed the normal self administered PHQ 9 first and then the HopeBot version in the same session. They also completed a feedback survey afterward.</t>
  </si>
  <si>
    <t>The comparison was between the normal self administered PHQ 9 and the HopeBot conversational PHQ 9. Every participant completed both, but the order was fixed.</t>
  </si>
  <si>
    <t>They measured score agreement with absolute score difference, Spearman correlation, ICC, Wilcoxon test, and Bland Altman analysis. They also measured clarity, comfort, trust, empathy, helpfulness, preference, and use of clarification.</t>
  </si>
  <si>
    <t>Agreement was high. ICC was .922, Spearman rho was .92, and the median absolute score difference was 1 point. There was no directional bias, p = .649. A total of 44.7% had identical total scores, while 28% moved to an adjacent severity category. 69.7% preferred HopeBot. One third of participants asked for clarification, and 93.2% of them found it helpful.</t>
  </si>
  <si>
    <t>The authors say there was no clinician diagnostic benchmark, both versions were completed in one session, the sample was mostly young and digitally comfortable, subgroup sizes were small, the study was not powered for cross cultural equivalence, and the results are specific to GPT 4o.</t>
  </si>
  <si>
    <t>Because everyone completed the standard PHQ 9 first, there may be an order or memory effect. HopeBot also changes several things at once, including supportive dialogue, feedback, voice, and retrieval, so preference differences are not only caused by free text input.</t>
  </si>
  <si>
    <t>This is a strong match for our project because it tests automatic free-text mapping, clarification, and agreement against the same standardized questionnaire. We can adapt its agreement-based evaluation and clarification idea while using the PSS-4 and eEVA.</t>
  </si>
  <si>
    <t>System: Chatbot system design and Fig. 2. Study design: Evaluation, Participant Recruitment and Procedure. Results: PHQ 9 score concordance, Feedback and user experience, and Perceived acceptability and adoption intentions. Limitations: Study limitations.</t>
  </si>
  <si>
    <t>Krajcovic, M., Demcak, P., &amp; Kuric, E. (2026). Talking surveys: How photorealistic embodied conversational agents shape response quality, engagement, and satisfaction. Behavior Research Methods, 58, 212.</t>
  </si>
  <si>
    <t>The paper asks whether an embodied conversational agent changes response quality, engagement, and satisfaction compared with a text chatbot, and whether the effect changes depending on the questionnaire.</t>
  </si>
  <si>
    <t>The study uses ideas about anthropomorphism and Ethopoeia, which explain why people may respond socially to humanlike agents. It also discusses the Uncanny Valley as a possible downside of very realistic agents.</t>
  </si>
  <si>
    <t>The system is the Virtual Agent Interviewer. One version is a photorealistic voice agent using HeyGen and the other is a text chatbot. Both use the same GPT 4o mini conversation logic.</t>
  </si>
  <si>
    <t>This was a randomized between subjects online study with 80 UK participants. People were split into four groups of 20 and completed either the BFI 2 S or CFQ with either the embodied agent or the text chatbot.</t>
  </si>
  <si>
    <t>The main independent variable was agent type, with an embodied voice agent and a text chatbot. Questionnaire type, BFI 2 S or CFQ, was also compared.</t>
  </si>
  <si>
    <t>Response quality included informativeness, specificity, relevance, clarity, lexical diversity, and readability. Engagement included response time, transition time, word count, character count, self disclosure, and sentiment. Satisfaction included naturalness, experience with the agent, experience with the survey, and preference.</t>
  </si>
  <si>
    <t>The embodied agent produced more informative answers, M = 285.41 compared with 142.23, p &lt; .001, and longer answers, 29.32 words compared with 14.30, p &lt; .001. Response turns were also faster overall, 20.79 seconds compared with 28.80, p = .016. Text responses were slightly more relevant and clearer. Satisfaction was not significantly different.</t>
  </si>
  <si>
    <t>The authors say the between subjects design does not allow direct comparison within the same person. They also mention limited generalizability from only two questionnaires and a UK online panel, possible bias from incentives and avatar choice, and the possibility that follow up conversations changed psychometric validity.</t>
  </si>
  <si>
    <t>The study changes embodiment and communication mode at the same time, so we cannot tell whether the effects came from the avatar, voice, or speech. It also compares two conversational agents rather than a conversational condition with a traditional questionnaire. The agent adds follow up questions instead of replacing the questionnaire answers.</t>
  </si>
  <si>
    <t>This paper is useful mainly for our evaluation design. It gives examples of how to measure response quality, time, engagement, and satisfaction. It also shows why we should keep our two conditions as similar as possible except for response format.</t>
  </si>
  <si>
    <t>Research questions: pp. 6 to 7. Background and theory: pp. 3 to 5. System: pp. 5 to 6 and Appendix A, pp. 20 to 23. Participants and design: pp. 7 to 10. Measures: pp. 10 to 12. Results: pp. 12 to 17. Limitations: pp. 18 to 19.</t>
  </si>
  <si>
    <t>Soni, H., Ivanova, J., Wilczewski, H., Bailey, A., Ong, T., Narma, A., Bunnell, B. E., &amp; Welch, B. M. (2022). Virtual conversational agents versus online forms: Patient experience and preferences for health data collection. Frontiers in Digital Health, 4, 954069.</t>
  </si>
  <si>
    <t>The study asks how completing a health assessment with a chatbot compares with a traditional online form in usability, completion time, recommendation, and user preference.</t>
  </si>
  <si>
    <t>No specific theory is the main focus. The paper is mainly a usability and user experience comparison between a chatbot and a standard online form.</t>
  </si>
  <si>
    <t>Dokbot is a browser based health data chatbot. It was compared with REDCap, a traditional web form used for health and research data collection.</t>
  </si>
  <si>
    <t>This was a counterbalanced within subjects online experiment. The final sample was 206 participants after exclusions from an initial 391. Everyone completed the same PRAPARE assessment once with Dokbot and once with REDCap, with the order counterbalanced.</t>
  </si>
  <si>
    <t>The independent variable was the data collection interface. The two levels were Dokbot chatbot and REDCap online form.</t>
  </si>
  <si>
    <t>They measured SUS, Net Promoter Score, completion time, tool preference, and qualitative feedback about likes, dislikes, and suggested improvements.</t>
  </si>
  <si>
    <t>69.9% preferred the chatbot and 30.1% preferred the online form, p &lt; .001. NPS was higher for the chatbot, 24 compared with 13, p &lt; .001. SUS was 69.7 for the chatbot and 67.7 for the form, but the difference was not significant, p = .2405. The chatbot was slower, with a median of 212.5 seconds compared with 123.0 seconds, p &lt; .001.</t>
  </si>
  <si>
    <t>The authors say mTurk may not represent the general population, remote participation may have caused careless responses, paid recruitment may introduce bias, the final sample was much smaller than planned, and the two interfaces differed in visual design and how questions were presented.</t>
  </si>
  <si>
    <t>The paper does not measure response accuracy or free text mapping. The chatbot and REDCap also differ in several interface features, so the comparison is not only about conversational format. Almost half of the original sample was excluded, which is another concern for data quality and generalizability.</t>
  </si>
  <si>
    <t>This paper is directly useful because it compares a health chatbot with a traditional online form in the same participants. We can adapt its use of SUS and completion time. Our project adds response agreement and free-text mapping while keeping the PSS-4 content and interface as consistent as possible across conditions.</t>
  </si>
  <si>
    <t>Objective: Abstract and Introduction, pp. 1 to 2. Measures: Methods, Study measures, pp. 2 to 3. Study design: pp. 3 to 5. Results: pp. 6 to 10, especially pp. 7 to 8. Limitations and future work: p. 11.</t>
  </si>
  <si>
    <t>Jin, Y., Chen, L., Zhao, X., &amp; Cai, W. (2024). The way you assess matters: User interaction design of survey chatbots for mental health. International Journal of Human-Computer Studies, 189, 103290.</t>
  </si>
  <si>
    <t>The paper asks how interaction style and questionnaire length affect enjoyment, assessment credibility, self awareness, response quality, and self disclosure in a mental health survey chatbot.</t>
  </si>
  <si>
    <t>The paper uses ideas from assessment credibility, self awareness, enjoyment, self disclosure, and Gricean Maxims. It also tests whether assessment credibility helps explain later response quality and self disclosure.</t>
  </si>
  <si>
    <t>Percy is a mental health survey chatbot about loneliness. It gives UCLA Loneliness Scale questions either as an embedded form or in a conversational layout with button responses. After that, it asks seven open ended follow up questions and gives suggestions.</t>
  </si>
  <si>
    <t>This was a 2 by 3 between subjects field study with 213 valid university participants from Hong Kong Baptist University. Participants were randomly assigned to one of six conditions.</t>
  </si>
  <si>
    <t>There were two independent variables. Interaction style had two levels, form based and conversation based. Questionnaire length had three levels, short with 3 items, middle with 10 items, and long with 20 items.</t>
  </si>
  <si>
    <t>They measured assessment credibility, self awareness, enjoyment, and subjective self disclosure. They also measured informativeness, specificity, relevance, clarity, objective self disclosure, response length, engagement duration, and qualitative feedback.</t>
  </si>
  <si>
    <t>The form based conditions produced higher perceived assessment credibility and self awareness than the conversation based conditions. Higher credibility was related to better response quality and more self disclosure in the later open ended questions. Questionnaire length did not have a significant main effect, although some interaction effects appeared.</t>
  </si>
  <si>
    <t>The authors mention the strong gender imbalance, the university student sample, the focus on loneliness, the fixed sequence of closed ended questions before open ended questions, and limited social and personalization features in the chatbot.</t>
  </si>
  <si>
    <t>The conversation based condition still used predefined button answers, so it does not test free text mapping to questionnaire categories. The study also has two manipulated factors, which makes it more complex than our two condition design.</t>
  </si>
  <si>
    <t>This paper helps us think about credibility and experimental control. It suggests that a more conversational interface is not automatically better, so we should keep the original PSS-4 wording and scoring and avoid changing extra interface features between conditions.</t>
  </si>
  <si>
    <t>Research questions and hypotheses: pp. 2 to 6. System, participants, and design: pp. 9 to 13. Measures: pp. 14 to 19. Results: pp. 19 to 25. Discussion: pp. 26 to 31. Limitations: pp. 31 to 33.</t>
  </si>
  <si>
    <t>Open Questions — log questions for your team or the instructor here instead of a Trello list. Set Status to Resolved and record the answer when settled.</t>
  </si>
  <si>
    <t>Date raised</t>
  </si>
  <si>
    <t>Raised by</t>
  </si>
  <si>
    <t>Question</t>
  </si>
  <si>
    <t>Resolution / answer</t>
  </si>
  <si>
    <t>Date resolved</t>
  </si>
  <si>
    <t>Do you think the WHO-5 is an appropriate assessment for our project, or would you recommend using a different short validated health questionnaire?</t>
  </si>
  <si>
    <t>Resolved</t>
  </si>
  <si>
    <t>The professor said either WHO-5 or PSS could work and specifically noted that PSS-4 was a shorter option. We changed the project to PSS-4 because it is brief, validated, fits the free-text-to-frequency-category mapping task well, and the professor has experience with this questionnaire.</t>
  </si>
  <si>
    <t>10/06/2026</t>
  </si>
  <si>
    <t>For the conversational condition, how should we decide when a free-text response is too ambiguous and requires a clarification question? Should we define a confidence threshold or use another rule?</t>
  </si>
  <si>
    <t>Use one neutral clarification question when a free-text answer cannot be mapped clearly. If it is still unresolved, show the five original PSS-4 options as a fallback. Record the case as unresolved/fallback and do not count it as a successful automatic mapping. No response gets one prompt, then is recorded as unanswered.</t>
  </si>
  <si>
    <t>Should conversational acknowledgements/social cues be used only in the free-text condition, or should both conditions include similar cues so that the main difference between conditions remains the response format?</t>
  </si>
  <si>
    <t>Keep the same basic social cues in both conditions so response format stays the main experimental difference: same agent, greeting/farewell, neutral attentive facial expression, brief acknowledgements, simple head/gesture behavior, question area, font, and overall layout.</t>
  </si>
  <si>
    <t>Should both team members analyze the same two provided articles, or should we choose different provided articles before each finding a self-found article?</t>
  </si>
  <si>
    <t>The professor clarified that each team member must analyze three different articles, and each student must include one self-found article. The two team members should not use the same papers for their official Article Analysis rows, but they can still read and use each other's papers when writing the proposal.</t>
  </si>
  <si>
    <t>Should we complete the provided Project 1 spreadsheet directly, or create our own copy?</t>
  </si>
  <si>
    <t>Create your own copy of the provided spreadsheet. The professor also confirmed that all of the above should be completed, including Article Analysis, Task List, and Open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</si>
</sst>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yy"/>
  </numFmts>
  <fonts count="10">
    <font>
      <sz val="10"/>
      <color rgb="FF000000"/>
      <name val="Arial"/>
      <scheme val="minor"/>
    </font>
    <font>
      <b/>
      <sz val="10"/>
      <color theme="1"/>
      <name val="Arial"/>
    </font>
    <font>
      <sz val="10"/>
      <color theme="1"/>
      <name val="Arial"/>
    </font>
    <font>
      <b/>
      <sz val="10"/>
      <color rgb="FFFFFFFF"/>
      <name val="Arial"/>
    </font>
    <font>
      <b/>
      <sz val="10"/>
      <color rgb="FF0000FF"/>
      <name val="Arial"/>
    </font>
    <font>
      <sz val="10"/>
      <name val="Arial"/>
    </font>
    <font>
      <sz val="10"/>
      <color rgb="FF000000"/>
      <name val="Arial"/>
    </font>
    <font>
      <i/>
      <sz val="9"/>
      <color theme="1"/>
      <name val="Arial"/>
    </font>
    <font>
      <i/>
      <sz val="9"/>
      <color rgb="FF595959"/>
      <name val="Arial"/>
    </font>
    <font>
      <sz val="10"/>
      <color theme="1"/>
      <name val="Arial"/>
      <scheme val="minor"/>
    </font>
  </fonts>
  <fills count="6">
    <fill>
      <patternFill patternType="none"/>
    </fill>
    <fill>
      <patternFill patternType="gray125"/>
    </fill>
    <fill>
      <patternFill patternType="solid">
        <fgColor rgb="FF1F3864"/>
        <bgColor rgb="FF1F3864"/>
      </patternFill>
    </fill>
    <fill>
      <patternFill patternType="solid">
        <fgColor rgb="FFFFFF00"/>
        <bgColor rgb="FFFFFF00"/>
      </patternFill>
    </fill>
    <fill>
      <patternFill patternType="solid">
        <fgColor rgb="FF000000"/>
        <bgColor rgb="FF000000"/>
      </patternFill>
    </fill>
    <fill>
      <patternFill patternType="solid">
        <fgColor rgb="FFF2F2F2"/>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29">
    <xf numFmtId="0" fontId="0" fillId="0" borderId="0" xfId="0"/>
    <xf numFmtId="0" fontId="1" fillId="0" borderId="0" xfId="0" applyFont="1" applyAlignment="1">
      <alignment vertical="center" wrapText="1"/>
    </xf>
    <xf numFmtId="0" fontId="2" fillId="0" borderId="0" xfId="0" applyFont="1" applyAlignment="1">
      <alignment vertical="top" wrapText="1"/>
    </xf>
    <xf numFmtId="0" fontId="1" fillId="0" borderId="0" xfId="0" applyFont="1"/>
    <xf numFmtId="164" fontId="2" fillId="0" borderId="0" xfId="0" applyNumberFormat="1" applyFont="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0" borderId="1" xfId="0" applyFont="1" applyBorder="1" applyAlignment="1">
      <alignment horizontal="center"/>
    </xf>
    <xf numFmtId="164" fontId="2" fillId="0" borderId="1" xfId="0" applyNumberFormat="1" applyFont="1" applyBorder="1" applyAlignment="1">
      <alignment horizontal="center"/>
    </xf>
    <xf numFmtId="0" fontId="1" fillId="0" borderId="1" xfId="0" applyFont="1" applyBorder="1"/>
    <xf numFmtId="164" fontId="1" fillId="0" borderId="1" xfId="0" applyNumberFormat="1" applyFont="1" applyBorder="1" applyAlignment="1">
      <alignment horizontal="center"/>
    </xf>
    <xf numFmtId="0" fontId="6" fillId="0" borderId="1" xfId="0" applyFont="1" applyBorder="1"/>
    <xf numFmtId="0" fontId="7" fillId="0" borderId="0" xfId="0" applyFont="1"/>
    <xf numFmtId="0" fontId="8" fillId="5" borderId="1" xfId="0" applyFont="1" applyFill="1" applyBorder="1" applyAlignment="1">
      <alignment horizontal="center" vertical="center" wrapText="1"/>
    </xf>
    <xf numFmtId="0" fontId="9" fillId="0" borderId="0" xfId="0" applyFont="1" applyAlignment="1">
      <alignment horizontal="center" vertical="center" wrapText="1"/>
    </xf>
    <xf numFmtId="0" fontId="2" fillId="0" borderId="1" xfId="0" applyFont="1" applyBorder="1" applyAlignment="1">
      <alignment horizontal="center" vertical="center" wrapText="1"/>
    </xf>
    <xf numFmtId="0" fontId="3" fillId="2" borderId="2" xfId="0" applyFont="1" applyFill="1" applyBorder="1" applyAlignment="1">
      <alignment horizontal="center" vertical="center" wrapText="1"/>
    </xf>
    <xf numFmtId="0" fontId="2" fillId="0" borderId="1" xfId="0" applyFont="1" applyBorder="1" applyAlignment="1">
      <alignment horizontal="left" vertical="center" wrapText="1"/>
    </xf>
    <xf numFmtId="165" fontId="9" fillId="0" borderId="0" xfId="0" applyNumberFormat="1" applyFont="1" applyAlignment="1">
      <alignment horizontal="left" vertical="center"/>
    </xf>
    <xf numFmtId="0" fontId="9" fillId="0" borderId="0" xfId="0" applyFont="1" applyAlignment="1">
      <alignment horizontal="left" vertical="center" wrapText="1"/>
    </xf>
    <xf numFmtId="0" fontId="2" fillId="0" borderId="1" xfId="0" quotePrefix="1" applyFont="1" applyBorder="1" applyAlignment="1">
      <alignment horizontal="left" vertical="center" wrapText="1"/>
    </xf>
    <xf numFmtId="0" fontId="9" fillId="0" borderId="0" xfId="0" applyFont="1" applyAlignment="1">
      <alignment horizontal="left" vertical="center"/>
    </xf>
    <xf numFmtId="0" fontId="2" fillId="0" borderId="1" xfId="0" applyFont="1" applyBorder="1" applyAlignment="1">
      <alignment vertical="top" wrapText="1"/>
    </xf>
    <xf numFmtId="0" fontId="7" fillId="0" borderId="0" xfId="0" applyFont="1" applyAlignment="1">
      <alignment vertical="top" wrapText="1"/>
    </xf>
    <xf numFmtId="0" fontId="1" fillId="0" borderId="0" xfId="0" applyFont="1" applyAlignment="1">
      <alignment vertical="center" wrapText="1"/>
    </xf>
    <xf numFmtId="0" fontId="3" fillId="4" borderId="2" xfId="0" applyFont="1" applyFill="1" applyBorder="1" applyAlignment="1">
      <alignment vertical="center" wrapText="1"/>
    </xf>
    <xf numFmtId="0" fontId="5" fillId="0" borderId="2" xfId="0" applyFont="1" applyBorder="1" applyAlignment="1"/>
    <xf numFmtId="0" fontId="3" fillId="4" borderId="2" xfId="0" applyFont="1" applyFill="1" applyBorder="1" applyAlignment="1">
      <alignment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pane ySplit="1" topLeftCell="A10" activePane="bottomLeft" state="frozen"/>
      <selection pane="bottomLeft" activeCell="B3" sqref="B3"/>
    </sheetView>
  </sheetViews>
  <sheetFormatPr defaultColWidth="12.5703125" defaultRowHeight="15" customHeight="1"/>
  <cols>
    <col min="1" max="1" width="10" customWidth="1"/>
    <col min="2" max="2" width="20" customWidth="1"/>
    <col min="3" max="3" width="8" customWidth="1"/>
    <col min="4" max="4" width="62" customWidth="1"/>
    <col min="5" max="5" width="14" customWidth="1"/>
    <col min="6" max="6" width="16" customWidth="1"/>
    <col min="7" max="7" width="11" customWidth="1"/>
    <col min="8" max="8" width="4" customWidth="1"/>
    <col min="9" max="9" width="30" customWidth="1"/>
    <col min="10" max="12" width="12" customWidth="1"/>
    <col min="13" max="15" width="14" customWidth="1"/>
    <col min="16" max="26" width="8.7109375" customWidth="1"/>
  </cols>
  <sheetData>
    <row r="1" spans="1:15" ht="27" customHeight="1">
      <c r="A1" s="1"/>
      <c r="B1" s="1" t="s">
        <v>0</v>
      </c>
      <c r="C1" s="1" t="s">
        <v>1</v>
      </c>
      <c r="D1" s="1" t="s">
        <v>2</v>
      </c>
      <c r="E1" s="1" t="s">
        <v>3</v>
      </c>
      <c r="F1" s="1" t="s">
        <v>4</v>
      </c>
      <c r="G1" s="1" t="s">
        <v>5</v>
      </c>
    </row>
    <row r="2" spans="1:15" ht="30" customHeight="1">
      <c r="A2" s="2">
        <v>1</v>
      </c>
      <c r="B2" s="2" t="s">
        <v>6</v>
      </c>
      <c r="C2" s="2">
        <v>1</v>
      </c>
      <c r="D2" s="2" t="s">
        <v>7</v>
      </c>
      <c r="E2" s="2">
        <v>0.5</v>
      </c>
      <c r="F2" s="2" t="s">
        <v>8</v>
      </c>
      <c r="G2" s="2" t="s">
        <v>9</v>
      </c>
      <c r="I2" s="3" t="s">
        <v>10</v>
      </c>
    </row>
    <row r="3" spans="1:15" ht="30" customHeight="1">
      <c r="A3" s="2">
        <v>1</v>
      </c>
      <c r="B3" s="2" t="s">
        <v>6</v>
      </c>
      <c r="C3" s="2">
        <v>2</v>
      </c>
      <c r="D3" s="2" t="s">
        <v>11</v>
      </c>
      <c r="E3" s="2">
        <v>0.5</v>
      </c>
      <c r="F3" s="2" t="s">
        <v>8</v>
      </c>
      <c r="G3" s="2" t="s">
        <v>9</v>
      </c>
      <c r="I3" s="3" t="s">
        <v>12</v>
      </c>
      <c r="J3" s="4">
        <f>SUM($E$2:$E$66)</f>
        <v>87</v>
      </c>
    </row>
    <row r="4" spans="1:15" ht="30" customHeight="1">
      <c r="A4" s="2">
        <v>1</v>
      </c>
      <c r="B4" s="2" t="s">
        <v>6</v>
      </c>
      <c r="C4" s="2">
        <v>3</v>
      </c>
      <c r="D4" s="2" t="s">
        <v>13</v>
      </c>
      <c r="E4" s="2">
        <v>1</v>
      </c>
      <c r="F4" s="2" t="s">
        <v>14</v>
      </c>
      <c r="G4" s="2" t="s">
        <v>9</v>
      </c>
      <c r="I4" s="3" t="str">
        <f>"  "&amp;$J$13&amp;" individual"</f>
        <v xml:space="preserve">  Valentina individual</v>
      </c>
      <c r="J4" s="4">
        <f>SUMIF($F$2:$F$66,$J$13,$E$2:$E$66)</f>
        <v>44.5</v>
      </c>
    </row>
    <row r="5" spans="1:15" ht="30" customHeight="1">
      <c r="A5" s="2">
        <v>1</v>
      </c>
      <c r="B5" s="2" t="s">
        <v>6</v>
      </c>
      <c r="C5" s="2">
        <v>4</v>
      </c>
      <c r="D5" s="2" t="s">
        <v>15</v>
      </c>
      <c r="E5" s="2">
        <v>1.5</v>
      </c>
      <c r="F5" s="2" t="s">
        <v>8</v>
      </c>
      <c r="G5" s="2" t="s">
        <v>9</v>
      </c>
      <c r="I5" s="3" t="str">
        <f>"  "&amp;$K$13&amp;" individual"</f>
        <v xml:space="preserve">  Jai individual</v>
      </c>
      <c r="J5" s="4">
        <f>SUMIF($F$2:$F$66,$K$13,$E$2:$E$66)</f>
        <v>42.5</v>
      </c>
    </row>
    <row r="6" spans="1:15" ht="30" customHeight="1">
      <c r="A6" s="2">
        <v>1</v>
      </c>
      <c r="B6" s="2" t="s">
        <v>6</v>
      </c>
      <c r="C6" s="2">
        <v>5</v>
      </c>
      <c r="D6" s="2" t="s">
        <v>16</v>
      </c>
      <c r="E6" s="2">
        <v>1.5</v>
      </c>
      <c r="F6" s="2" t="s">
        <v>8</v>
      </c>
      <c r="G6" s="2" t="s">
        <v>9</v>
      </c>
      <c r="I6" s="3" t="str">
        <f>"  Joint ("&amp;$J$13&amp;" &amp; "&amp;$K$13&amp;")"</f>
        <v xml:space="preserve">  Joint (Valentina &amp; Jai)</v>
      </c>
      <c r="J6" s="4">
        <f>SUMIF($F$2:$F$66,$J$13&amp;" &amp; "&amp;$K$13,$E$2:$E$66)</f>
        <v>0</v>
      </c>
    </row>
    <row r="7" spans="1:15" ht="30" customHeight="1">
      <c r="A7" s="2">
        <v>2</v>
      </c>
      <c r="B7" s="2" t="s">
        <v>17</v>
      </c>
      <c r="C7" s="2">
        <v>6</v>
      </c>
      <c r="D7" s="2" t="s">
        <v>18</v>
      </c>
      <c r="E7" s="2">
        <v>0.5</v>
      </c>
      <c r="F7" s="2" t="s">
        <v>8</v>
      </c>
      <c r="G7" s="2" t="s">
        <v>9</v>
      </c>
      <c r="I7" s="3" t="str">
        <f>$J$13&amp;" total (incl. half of joint)"</f>
        <v>Valentina total (incl. half of joint)</v>
      </c>
      <c r="J7" s="4">
        <f>J4+J6/2</f>
        <v>44.5</v>
      </c>
    </row>
    <row r="8" spans="1:15" ht="30" customHeight="1">
      <c r="A8" s="2">
        <v>2</v>
      </c>
      <c r="B8" s="2" t="s">
        <v>17</v>
      </c>
      <c r="C8" s="2">
        <v>7</v>
      </c>
      <c r="D8" s="2" t="s">
        <v>19</v>
      </c>
      <c r="E8" s="2">
        <v>1.5</v>
      </c>
      <c r="F8" s="2" t="s">
        <v>8</v>
      </c>
      <c r="G8" s="2" t="s">
        <v>9</v>
      </c>
      <c r="I8" s="3" t="str">
        <f>$K$13&amp;" total (incl. half of joint)"</f>
        <v>Jai total (incl. half of joint)</v>
      </c>
      <c r="J8" s="4">
        <f>J5+J6/2</f>
        <v>42.5</v>
      </c>
    </row>
    <row r="9" spans="1:15" ht="30" customHeight="1">
      <c r="A9" s="2">
        <v>1</v>
      </c>
      <c r="B9" s="2" t="s">
        <v>6</v>
      </c>
      <c r="C9" s="2">
        <v>8</v>
      </c>
      <c r="D9" s="2" t="s">
        <v>20</v>
      </c>
      <c r="E9" s="2">
        <v>1.5</v>
      </c>
      <c r="F9" s="2" t="s">
        <v>14</v>
      </c>
      <c r="G9" s="2" t="s">
        <v>9</v>
      </c>
    </row>
    <row r="10" spans="1:15" ht="30" customHeight="1">
      <c r="A10" s="2">
        <v>1</v>
      </c>
      <c r="B10" s="2" t="s">
        <v>6</v>
      </c>
      <c r="C10" s="2">
        <v>9</v>
      </c>
      <c r="D10" s="2" t="s">
        <v>21</v>
      </c>
      <c r="E10" s="2">
        <v>1.5</v>
      </c>
      <c r="F10" s="2" t="s">
        <v>14</v>
      </c>
      <c r="G10" s="2" t="s">
        <v>9</v>
      </c>
    </row>
    <row r="11" spans="1:15" ht="30" customHeight="1">
      <c r="A11" s="2">
        <v>2</v>
      </c>
      <c r="B11" s="2" t="s">
        <v>17</v>
      </c>
      <c r="C11" s="2">
        <v>10</v>
      </c>
      <c r="D11" s="2" t="s">
        <v>22</v>
      </c>
      <c r="E11" s="2">
        <v>1.5</v>
      </c>
      <c r="F11" s="2" t="s">
        <v>14</v>
      </c>
      <c r="G11" s="2" t="s">
        <v>9</v>
      </c>
    </row>
    <row r="12" spans="1:15" ht="30" customHeight="1">
      <c r="A12" s="2">
        <v>2</v>
      </c>
      <c r="B12" s="2" t="s">
        <v>17</v>
      </c>
      <c r="C12" s="2">
        <v>11</v>
      </c>
      <c r="D12" s="2" t="s">
        <v>23</v>
      </c>
      <c r="E12" s="2">
        <v>1</v>
      </c>
      <c r="F12" s="2" t="s">
        <v>14</v>
      </c>
      <c r="G12" s="2" t="s">
        <v>9</v>
      </c>
      <c r="I12" s="3" t="s">
        <v>24</v>
      </c>
    </row>
    <row r="13" spans="1:15" ht="30" customHeight="1">
      <c r="A13" s="2">
        <v>2</v>
      </c>
      <c r="B13" s="2" t="s">
        <v>17</v>
      </c>
      <c r="C13" s="2">
        <v>12</v>
      </c>
      <c r="D13" s="2" t="s">
        <v>25</v>
      </c>
      <c r="E13" s="2">
        <v>1.5</v>
      </c>
      <c r="F13" s="2" t="s">
        <v>8</v>
      </c>
      <c r="G13" s="2" t="s">
        <v>9</v>
      </c>
      <c r="I13" s="5" t="s">
        <v>26</v>
      </c>
      <c r="J13" s="6" t="s">
        <v>8</v>
      </c>
      <c r="K13" s="6" t="s">
        <v>14</v>
      </c>
      <c r="L13" s="5" t="s">
        <v>27</v>
      </c>
      <c r="M13" s="5" t="s">
        <v>28</v>
      </c>
      <c r="N13" s="5" t="str">
        <f>"Cumulative ("&amp;$J$13&amp;")"</f>
        <v>Cumulative (Valentina)</v>
      </c>
      <c r="O13" s="5" t="str">
        <f>"Cumulative ("&amp;$K$13&amp;")"</f>
        <v>Cumulative (Jai)</v>
      </c>
    </row>
    <row r="14" spans="1:15" ht="30" customHeight="1">
      <c r="A14" s="2">
        <v>2</v>
      </c>
      <c r="B14" s="2" t="s">
        <v>17</v>
      </c>
      <c r="C14" s="2">
        <v>13</v>
      </c>
      <c r="D14" s="2" t="s">
        <v>29</v>
      </c>
      <c r="E14" s="2">
        <v>1.5</v>
      </c>
      <c r="F14" s="2" t="s">
        <v>8</v>
      </c>
      <c r="G14" s="2" t="s">
        <v>9</v>
      </c>
      <c r="I14" s="7">
        <v>1</v>
      </c>
      <c r="J14" s="8">
        <f t="shared" ref="J14:J23" si="0">SUMIFS($E$2:$E$66,$A$2:$A$66,$I14,$F$2:$F$66,$J$13)+SUMIFS($E$2:$E$66,$A$2:$A$66,$I14,$F$2:$F$66,$J$13&amp;" &amp; "&amp;$K$13)/2</f>
        <v>4</v>
      </c>
      <c r="K14" s="8">
        <f t="shared" ref="K14:K23" si="1">SUMIFS($E$2:$E$66,$A$2:$A$66,$I14,$F$2:$F$66,$K$13)+SUMIFS($E$2:$E$66,$A$2:$A$66,$I14,$F$2:$F$66,$J$13&amp;" &amp; "&amp;$K$13)/2</f>
        <v>4</v>
      </c>
      <c r="L14" s="8">
        <f t="shared" ref="L14:L23" si="2">SUMIFS($E$2:$E$66,$A$2:$A$66,$I14)</f>
        <v>8</v>
      </c>
      <c r="M14" s="8">
        <f t="shared" ref="M14:M23" si="3">SUM($L$14:L14)</f>
        <v>8</v>
      </c>
      <c r="N14" s="8">
        <f t="shared" ref="N14:N23" si="4">SUM($J$14:J14)</f>
        <v>4</v>
      </c>
      <c r="O14" s="8">
        <f t="shared" ref="O14:O23" si="5">SUM($K$14:K14)</f>
        <v>4</v>
      </c>
    </row>
    <row r="15" spans="1:15" ht="30" customHeight="1">
      <c r="A15" s="2">
        <v>2</v>
      </c>
      <c r="B15" s="2" t="s">
        <v>17</v>
      </c>
      <c r="C15" s="2">
        <v>14</v>
      </c>
      <c r="D15" s="2" t="s">
        <v>30</v>
      </c>
      <c r="E15" s="2">
        <v>1</v>
      </c>
      <c r="F15" s="2" t="s">
        <v>14</v>
      </c>
      <c r="G15" s="2" t="s">
        <v>9</v>
      </c>
      <c r="I15" s="7">
        <v>2</v>
      </c>
      <c r="J15" s="8">
        <f t="shared" si="0"/>
        <v>5</v>
      </c>
      <c r="K15" s="8">
        <f t="shared" si="1"/>
        <v>4.5</v>
      </c>
      <c r="L15" s="8">
        <f t="shared" si="2"/>
        <v>9.5</v>
      </c>
      <c r="M15" s="8">
        <f t="shared" si="3"/>
        <v>17.5</v>
      </c>
      <c r="N15" s="8">
        <f t="shared" si="4"/>
        <v>9</v>
      </c>
      <c r="O15" s="8">
        <f t="shared" si="5"/>
        <v>8.5</v>
      </c>
    </row>
    <row r="16" spans="1:15" ht="30" customHeight="1">
      <c r="A16" s="2">
        <v>2</v>
      </c>
      <c r="B16" s="2" t="s">
        <v>17</v>
      </c>
      <c r="C16" s="2">
        <v>15</v>
      </c>
      <c r="D16" s="2" t="s">
        <v>31</v>
      </c>
      <c r="E16" s="2">
        <v>1</v>
      </c>
      <c r="F16" s="2" t="s">
        <v>14</v>
      </c>
      <c r="G16" s="2" t="s">
        <v>9</v>
      </c>
      <c r="I16" s="7">
        <v>3</v>
      </c>
      <c r="J16" s="8">
        <f t="shared" si="0"/>
        <v>4.5</v>
      </c>
      <c r="K16" s="8">
        <f t="shared" si="1"/>
        <v>4</v>
      </c>
      <c r="L16" s="8">
        <f t="shared" si="2"/>
        <v>8.5</v>
      </c>
      <c r="M16" s="8">
        <f t="shared" si="3"/>
        <v>26</v>
      </c>
      <c r="N16" s="8">
        <f t="shared" si="4"/>
        <v>13.5</v>
      </c>
      <c r="O16" s="8">
        <f t="shared" si="5"/>
        <v>12.5</v>
      </c>
    </row>
    <row r="17" spans="1:15" ht="19.5" customHeight="1">
      <c r="A17" s="25" t="s">
        <v>32</v>
      </c>
      <c r="B17" s="26"/>
      <c r="C17" s="26"/>
      <c r="D17" s="26"/>
      <c r="E17" s="26"/>
      <c r="F17" s="26"/>
      <c r="G17" s="26"/>
      <c r="I17" s="7">
        <v>4</v>
      </c>
      <c r="J17" s="8">
        <f t="shared" si="0"/>
        <v>4.5</v>
      </c>
      <c r="K17" s="8">
        <f t="shared" si="1"/>
        <v>5</v>
      </c>
      <c r="L17" s="8">
        <f t="shared" si="2"/>
        <v>9.5</v>
      </c>
      <c r="M17" s="8">
        <f t="shared" si="3"/>
        <v>35.5</v>
      </c>
      <c r="N17" s="8">
        <f t="shared" si="4"/>
        <v>18</v>
      </c>
      <c r="O17" s="8">
        <f t="shared" si="5"/>
        <v>17.5</v>
      </c>
    </row>
    <row r="18" spans="1:15" ht="30" customHeight="1">
      <c r="A18" s="2">
        <v>3</v>
      </c>
      <c r="B18" s="2" t="s">
        <v>33</v>
      </c>
      <c r="C18" s="2">
        <v>16</v>
      </c>
      <c r="D18" s="2" t="s">
        <v>34</v>
      </c>
      <c r="E18" s="2">
        <v>1</v>
      </c>
      <c r="F18" s="2" t="s">
        <v>8</v>
      </c>
      <c r="G18" s="2" t="s">
        <v>9</v>
      </c>
      <c r="I18" s="7">
        <v>5</v>
      </c>
      <c r="J18" s="8">
        <f t="shared" si="0"/>
        <v>4.5</v>
      </c>
      <c r="K18" s="8">
        <f t="shared" si="1"/>
        <v>4</v>
      </c>
      <c r="L18" s="8">
        <f t="shared" si="2"/>
        <v>8.5</v>
      </c>
      <c r="M18" s="8">
        <f t="shared" si="3"/>
        <v>44</v>
      </c>
      <c r="N18" s="8">
        <f t="shared" si="4"/>
        <v>22.5</v>
      </c>
      <c r="O18" s="8">
        <f t="shared" si="5"/>
        <v>21.5</v>
      </c>
    </row>
    <row r="19" spans="1:15" ht="30" customHeight="1">
      <c r="A19" s="2">
        <v>3</v>
      </c>
      <c r="B19" s="2" t="s">
        <v>33</v>
      </c>
      <c r="C19" s="2">
        <v>17</v>
      </c>
      <c r="D19" s="2" t="s">
        <v>35</v>
      </c>
      <c r="E19" s="2">
        <v>1.5</v>
      </c>
      <c r="F19" s="2" t="s">
        <v>8</v>
      </c>
      <c r="G19" s="2" t="s">
        <v>9</v>
      </c>
      <c r="I19" s="7">
        <v>6</v>
      </c>
      <c r="J19" s="8">
        <f t="shared" si="0"/>
        <v>4.5</v>
      </c>
      <c r="K19" s="8">
        <f t="shared" si="1"/>
        <v>4</v>
      </c>
      <c r="L19" s="8">
        <f t="shared" si="2"/>
        <v>8.5</v>
      </c>
      <c r="M19" s="8">
        <f t="shared" si="3"/>
        <v>52.5</v>
      </c>
      <c r="N19" s="8">
        <f t="shared" si="4"/>
        <v>27</v>
      </c>
      <c r="O19" s="8">
        <f t="shared" si="5"/>
        <v>25.5</v>
      </c>
    </row>
    <row r="20" spans="1:15" ht="30" customHeight="1">
      <c r="A20" s="2">
        <v>3</v>
      </c>
      <c r="B20" s="2" t="s">
        <v>33</v>
      </c>
      <c r="C20" s="2">
        <v>18</v>
      </c>
      <c r="D20" s="2" t="s">
        <v>36</v>
      </c>
      <c r="E20" s="2">
        <v>2</v>
      </c>
      <c r="F20" s="2" t="s">
        <v>8</v>
      </c>
      <c r="G20" s="2" t="s">
        <v>37</v>
      </c>
      <c r="I20" s="7">
        <v>7</v>
      </c>
      <c r="J20" s="8">
        <f t="shared" si="0"/>
        <v>4</v>
      </c>
      <c r="K20" s="8">
        <f t="shared" si="1"/>
        <v>4</v>
      </c>
      <c r="L20" s="8">
        <f t="shared" si="2"/>
        <v>8</v>
      </c>
      <c r="M20" s="8">
        <f t="shared" si="3"/>
        <v>60.5</v>
      </c>
      <c r="N20" s="8">
        <f t="shared" si="4"/>
        <v>31</v>
      </c>
      <c r="O20" s="8">
        <f t="shared" si="5"/>
        <v>29.5</v>
      </c>
    </row>
    <row r="21" spans="1:15" ht="30" customHeight="1">
      <c r="A21" s="2">
        <v>3</v>
      </c>
      <c r="B21" s="2" t="s">
        <v>33</v>
      </c>
      <c r="C21" s="2">
        <v>19</v>
      </c>
      <c r="D21" s="2" t="s">
        <v>38</v>
      </c>
      <c r="E21" s="2">
        <v>2</v>
      </c>
      <c r="F21" s="2" t="s">
        <v>14</v>
      </c>
      <c r="G21" s="2" t="s">
        <v>37</v>
      </c>
      <c r="I21" s="7">
        <v>8</v>
      </c>
      <c r="J21" s="8">
        <f t="shared" si="0"/>
        <v>4.5</v>
      </c>
      <c r="K21" s="8">
        <f t="shared" si="1"/>
        <v>5</v>
      </c>
      <c r="L21" s="8">
        <f t="shared" si="2"/>
        <v>9.5</v>
      </c>
      <c r="M21" s="8">
        <f t="shared" si="3"/>
        <v>70</v>
      </c>
      <c r="N21" s="8">
        <f t="shared" si="4"/>
        <v>35.5</v>
      </c>
      <c r="O21" s="8">
        <f t="shared" si="5"/>
        <v>34.5</v>
      </c>
    </row>
    <row r="22" spans="1:15" ht="30" customHeight="1">
      <c r="A22" s="2">
        <v>3</v>
      </c>
      <c r="B22" s="2" t="s">
        <v>33</v>
      </c>
      <c r="C22" s="2">
        <v>20</v>
      </c>
      <c r="D22" s="2" t="s">
        <v>39</v>
      </c>
      <c r="E22" s="2">
        <v>2</v>
      </c>
      <c r="F22" s="2" t="s">
        <v>14</v>
      </c>
      <c r="G22" s="2" t="s">
        <v>37</v>
      </c>
      <c r="I22" s="7">
        <v>9</v>
      </c>
      <c r="J22" s="8">
        <f t="shared" si="0"/>
        <v>4</v>
      </c>
      <c r="K22" s="8">
        <f t="shared" si="1"/>
        <v>4</v>
      </c>
      <c r="L22" s="8">
        <f t="shared" si="2"/>
        <v>8</v>
      </c>
      <c r="M22" s="8">
        <f t="shared" si="3"/>
        <v>78</v>
      </c>
      <c r="N22" s="8">
        <f t="shared" si="4"/>
        <v>39.5</v>
      </c>
      <c r="O22" s="8">
        <f t="shared" si="5"/>
        <v>38.5</v>
      </c>
    </row>
    <row r="23" spans="1:15" ht="30" customHeight="1">
      <c r="A23" s="2">
        <v>4</v>
      </c>
      <c r="B23" s="2" t="s">
        <v>40</v>
      </c>
      <c r="C23" s="2">
        <v>21</v>
      </c>
      <c r="D23" s="2" t="s">
        <v>41</v>
      </c>
      <c r="E23" s="2">
        <v>1.5</v>
      </c>
      <c r="F23" s="2" t="s">
        <v>8</v>
      </c>
      <c r="G23" s="2" t="s">
        <v>37</v>
      </c>
      <c r="I23" s="7">
        <v>10</v>
      </c>
      <c r="J23" s="8">
        <f t="shared" si="0"/>
        <v>5</v>
      </c>
      <c r="K23" s="8">
        <f t="shared" si="1"/>
        <v>4</v>
      </c>
      <c r="L23" s="8">
        <f t="shared" si="2"/>
        <v>9</v>
      </c>
      <c r="M23" s="8">
        <f t="shared" si="3"/>
        <v>87</v>
      </c>
      <c r="N23" s="8">
        <f t="shared" si="4"/>
        <v>44.5</v>
      </c>
      <c r="O23" s="8">
        <f t="shared" si="5"/>
        <v>42.5</v>
      </c>
    </row>
    <row r="24" spans="1:15" ht="30" customHeight="1">
      <c r="A24" s="2">
        <v>4</v>
      </c>
      <c r="B24" s="2" t="s">
        <v>40</v>
      </c>
      <c r="C24" s="2">
        <v>22</v>
      </c>
      <c r="D24" s="2" t="s">
        <v>42</v>
      </c>
      <c r="E24" s="2">
        <v>1.5</v>
      </c>
      <c r="F24" s="2" t="s">
        <v>14</v>
      </c>
      <c r="G24" s="2" t="s">
        <v>37</v>
      </c>
      <c r="I24" s="9" t="s">
        <v>43</v>
      </c>
      <c r="J24" s="10">
        <f t="shared" ref="J24:L24" si="6">SUM(J14:J23)</f>
        <v>44.5</v>
      </c>
      <c r="K24" s="10">
        <f t="shared" si="6"/>
        <v>42.5</v>
      </c>
      <c r="L24" s="10">
        <f t="shared" si="6"/>
        <v>87</v>
      </c>
      <c r="M24" s="11"/>
      <c r="N24" s="11"/>
      <c r="O24" s="11"/>
    </row>
    <row r="25" spans="1:15" ht="30" customHeight="1">
      <c r="A25" s="2">
        <v>4</v>
      </c>
      <c r="B25" s="2" t="s">
        <v>40</v>
      </c>
      <c r="C25" s="2">
        <v>23</v>
      </c>
      <c r="D25" s="2" t="s">
        <v>44</v>
      </c>
      <c r="E25" s="2">
        <v>1</v>
      </c>
      <c r="F25" s="2" t="s">
        <v>14</v>
      </c>
      <c r="G25" s="2" t="s">
        <v>37</v>
      </c>
      <c r="I25" s="12" t="s">
        <v>45</v>
      </c>
    </row>
    <row r="26" spans="1:15" ht="30" customHeight="1">
      <c r="A26" s="2">
        <v>4</v>
      </c>
      <c r="B26" s="2" t="s">
        <v>40</v>
      </c>
      <c r="C26" s="2">
        <v>24</v>
      </c>
      <c r="D26" s="2" t="s">
        <v>46</v>
      </c>
      <c r="E26" s="2">
        <v>1.5</v>
      </c>
      <c r="F26" s="2" t="s">
        <v>8</v>
      </c>
      <c r="G26" s="2" t="s">
        <v>37</v>
      </c>
    </row>
    <row r="27" spans="1:15" ht="30" customHeight="1">
      <c r="A27" s="2">
        <v>4</v>
      </c>
      <c r="B27" s="2" t="s">
        <v>40</v>
      </c>
      <c r="C27" s="2">
        <v>25</v>
      </c>
      <c r="D27" s="2" t="s">
        <v>47</v>
      </c>
      <c r="E27" s="2">
        <v>1.5</v>
      </c>
      <c r="F27" s="2" t="s">
        <v>8</v>
      </c>
      <c r="G27" s="2" t="s">
        <v>37</v>
      </c>
    </row>
    <row r="28" spans="1:15" ht="30" customHeight="1">
      <c r="A28" s="2">
        <v>4</v>
      </c>
      <c r="B28" s="2" t="s">
        <v>40</v>
      </c>
      <c r="C28" s="2">
        <v>26</v>
      </c>
      <c r="D28" s="2" t="s">
        <v>48</v>
      </c>
      <c r="E28" s="2">
        <v>1.5</v>
      </c>
      <c r="F28" s="2" t="s">
        <v>14</v>
      </c>
      <c r="G28" s="2" t="s">
        <v>37</v>
      </c>
    </row>
    <row r="29" spans="1:15" ht="30" customHeight="1">
      <c r="A29" s="2">
        <v>4</v>
      </c>
      <c r="B29" s="2" t="s">
        <v>40</v>
      </c>
      <c r="C29" s="2">
        <v>27</v>
      </c>
      <c r="D29" s="2" t="s">
        <v>49</v>
      </c>
      <c r="E29" s="2">
        <v>1</v>
      </c>
      <c r="F29" s="2" t="s">
        <v>14</v>
      </c>
      <c r="G29" s="2" t="s">
        <v>37</v>
      </c>
    </row>
    <row r="30" spans="1:15" ht="30" customHeight="1">
      <c r="A30" s="25" t="s">
        <v>50</v>
      </c>
      <c r="B30" s="26"/>
      <c r="C30" s="26"/>
      <c r="D30" s="26"/>
      <c r="E30" s="26"/>
      <c r="F30" s="26"/>
      <c r="G30" s="26"/>
    </row>
    <row r="31" spans="1:15" ht="30" customHeight="1">
      <c r="A31" s="2">
        <v>5</v>
      </c>
      <c r="B31" s="2" t="s">
        <v>51</v>
      </c>
      <c r="C31" s="2">
        <v>28</v>
      </c>
      <c r="D31" s="2" t="s">
        <v>52</v>
      </c>
      <c r="E31" s="2">
        <v>1.5</v>
      </c>
      <c r="F31" s="2" t="s">
        <v>8</v>
      </c>
      <c r="G31" s="2" t="s">
        <v>37</v>
      </c>
    </row>
    <row r="32" spans="1:15" ht="30" customHeight="1">
      <c r="A32" s="2">
        <v>5</v>
      </c>
      <c r="B32" s="2" t="s">
        <v>51</v>
      </c>
      <c r="C32" s="2">
        <v>29</v>
      </c>
      <c r="D32" s="2" t="s">
        <v>53</v>
      </c>
      <c r="E32" s="2">
        <v>1.5</v>
      </c>
      <c r="F32" s="2" t="s">
        <v>8</v>
      </c>
      <c r="G32" s="2" t="s">
        <v>37</v>
      </c>
    </row>
    <row r="33" spans="1:7" ht="30" customHeight="1">
      <c r="A33" s="2">
        <v>5</v>
      </c>
      <c r="B33" s="2" t="s">
        <v>51</v>
      </c>
      <c r="C33" s="2">
        <v>30</v>
      </c>
      <c r="D33" s="2" t="s">
        <v>54</v>
      </c>
      <c r="E33" s="2">
        <v>2.5</v>
      </c>
      <c r="F33" s="2" t="s">
        <v>14</v>
      </c>
      <c r="G33" s="2" t="s">
        <v>37</v>
      </c>
    </row>
    <row r="34" spans="1:7" ht="30" customHeight="1">
      <c r="A34" s="2">
        <v>5</v>
      </c>
      <c r="B34" s="2" t="s">
        <v>51</v>
      </c>
      <c r="C34" s="2">
        <v>31</v>
      </c>
      <c r="D34" s="2" t="s">
        <v>55</v>
      </c>
      <c r="E34" s="2">
        <v>1.5</v>
      </c>
      <c r="F34" s="2" t="s">
        <v>14</v>
      </c>
      <c r="G34" s="2" t="s">
        <v>37</v>
      </c>
    </row>
    <row r="35" spans="1:7" ht="30" customHeight="1">
      <c r="A35" s="2">
        <v>5</v>
      </c>
      <c r="B35" s="2" t="s">
        <v>51</v>
      </c>
      <c r="C35" s="2">
        <v>32</v>
      </c>
      <c r="D35" s="2" t="s">
        <v>56</v>
      </c>
      <c r="E35" s="2">
        <v>1.5</v>
      </c>
      <c r="F35" s="2" t="s">
        <v>8</v>
      </c>
      <c r="G35" s="2" t="s">
        <v>37</v>
      </c>
    </row>
    <row r="36" spans="1:7" ht="30" customHeight="1">
      <c r="A36" s="2">
        <v>6</v>
      </c>
      <c r="B36" s="2" t="s">
        <v>57</v>
      </c>
      <c r="C36" s="2">
        <v>33</v>
      </c>
      <c r="D36" s="2" t="s">
        <v>58</v>
      </c>
      <c r="E36" s="2">
        <v>1.5</v>
      </c>
      <c r="F36" s="2" t="s">
        <v>8</v>
      </c>
      <c r="G36" s="2" t="s">
        <v>37</v>
      </c>
    </row>
    <row r="37" spans="1:7" ht="30" customHeight="1">
      <c r="A37" s="2">
        <v>6</v>
      </c>
      <c r="B37" s="2" t="s">
        <v>57</v>
      </c>
      <c r="C37" s="2">
        <v>34</v>
      </c>
      <c r="D37" s="2" t="s">
        <v>59</v>
      </c>
      <c r="E37" s="2">
        <v>1.5</v>
      </c>
      <c r="F37" s="2" t="s">
        <v>8</v>
      </c>
      <c r="G37" s="2" t="s">
        <v>37</v>
      </c>
    </row>
    <row r="38" spans="1:7" ht="30" customHeight="1">
      <c r="A38" s="2">
        <v>6</v>
      </c>
      <c r="B38" s="2" t="s">
        <v>57</v>
      </c>
      <c r="C38" s="2">
        <v>35</v>
      </c>
      <c r="D38" s="2" t="s">
        <v>60</v>
      </c>
      <c r="E38" s="2">
        <v>1.5</v>
      </c>
      <c r="F38" s="2" t="s">
        <v>14</v>
      </c>
      <c r="G38" s="2" t="s">
        <v>37</v>
      </c>
    </row>
    <row r="39" spans="1:7" ht="30" customHeight="1">
      <c r="A39" s="2">
        <v>6</v>
      </c>
      <c r="B39" s="2" t="s">
        <v>57</v>
      </c>
      <c r="C39" s="2">
        <v>36</v>
      </c>
      <c r="D39" s="2" t="s">
        <v>61</v>
      </c>
      <c r="E39" s="2">
        <v>2.5</v>
      </c>
      <c r="F39" s="2" t="s">
        <v>14</v>
      </c>
      <c r="G39" s="2" t="s">
        <v>37</v>
      </c>
    </row>
    <row r="40" spans="1:7" ht="30" customHeight="1">
      <c r="A40" s="2">
        <v>6</v>
      </c>
      <c r="B40" s="2" t="s">
        <v>57</v>
      </c>
      <c r="C40" s="2">
        <v>37</v>
      </c>
      <c r="D40" s="2" t="s">
        <v>62</v>
      </c>
      <c r="E40" s="2">
        <v>1.5</v>
      </c>
      <c r="F40" s="2" t="s">
        <v>8</v>
      </c>
      <c r="G40" s="2" t="s">
        <v>37</v>
      </c>
    </row>
    <row r="41" spans="1:7" ht="19.5" customHeight="1">
      <c r="A41" s="25" t="s">
        <v>63</v>
      </c>
      <c r="B41" s="26"/>
      <c r="C41" s="26"/>
      <c r="D41" s="26"/>
      <c r="E41" s="26"/>
      <c r="F41" s="26"/>
      <c r="G41" s="26"/>
    </row>
    <row r="42" spans="1:7" ht="30" customHeight="1">
      <c r="A42" s="2">
        <v>7</v>
      </c>
      <c r="B42" s="2" t="s">
        <v>64</v>
      </c>
      <c r="C42" s="2">
        <v>38</v>
      </c>
      <c r="D42" s="2" t="s">
        <v>65</v>
      </c>
      <c r="E42" s="2">
        <v>1</v>
      </c>
      <c r="F42" s="2" t="s">
        <v>8</v>
      </c>
      <c r="G42" s="2" t="s">
        <v>37</v>
      </c>
    </row>
    <row r="43" spans="1:7" ht="30" customHeight="1">
      <c r="A43" s="2">
        <v>7</v>
      </c>
      <c r="B43" s="2" t="s">
        <v>64</v>
      </c>
      <c r="C43" s="2">
        <v>39</v>
      </c>
      <c r="D43" s="2" t="s">
        <v>66</v>
      </c>
      <c r="E43" s="2">
        <v>2</v>
      </c>
      <c r="F43" s="2" t="s">
        <v>8</v>
      </c>
      <c r="G43" s="2" t="s">
        <v>37</v>
      </c>
    </row>
    <row r="44" spans="1:7" ht="30" customHeight="1">
      <c r="A44" s="2">
        <v>7</v>
      </c>
      <c r="B44" s="2" t="s">
        <v>64</v>
      </c>
      <c r="C44" s="2">
        <v>40</v>
      </c>
      <c r="D44" s="2" t="s">
        <v>67</v>
      </c>
      <c r="E44" s="2">
        <v>2</v>
      </c>
      <c r="F44" s="2" t="s">
        <v>14</v>
      </c>
      <c r="G44" s="2" t="s">
        <v>37</v>
      </c>
    </row>
    <row r="45" spans="1:7" ht="30" customHeight="1">
      <c r="A45" s="2">
        <v>7</v>
      </c>
      <c r="B45" s="2" t="s">
        <v>64</v>
      </c>
      <c r="C45" s="2">
        <v>41</v>
      </c>
      <c r="D45" s="2" t="s">
        <v>68</v>
      </c>
      <c r="E45" s="2">
        <v>1</v>
      </c>
      <c r="F45" s="2" t="s">
        <v>8</v>
      </c>
      <c r="G45" s="2" t="s">
        <v>37</v>
      </c>
    </row>
    <row r="46" spans="1:7" ht="30" customHeight="1">
      <c r="A46" s="2">
        <v>7</v>
      </c>
      <c r="B46" s="2" t="s">
        <v>64</v>
      </c>
      <c r="C46" s="2">
        <v>42</v>
      </c>
      <c r="D46" s="2" t="s">
        <v>69</v>
      </c>
      <c r="E46" s="2">
        <v>2</v>
      </c>
      <c r="F46" s="2" t="s">
        <v>14</v>
      </c>
      <c r="G46" s="2" t="s">
        <v>37</v>
      </c>
    </row>
    <row r="47" spans="1:7" ht="19.5" customHeight="1">
      <c r="A47" s="25" t="s">
        <v>70</v>
      </c>
      <c r="B47" s="26"/>
      <c r="C47" s="26"/>
      <c r="D47" s="26"/>
      <c r="E47" s="26"/>
      <c r="F47" s="26"/>
      <c r="G47" s="26"/>
    </row>
    <row r="48" spans="1:7" ht="30" customHeight="1">
      <c r="A48" s="2">
        <v>8</v>
      </c>
      <c r="B48" s="2" t="s">
        <v>71</v>
      </c>
      <c r="C48" s="2">
        <v>43</v>
      </c>
      <c r="D48" s="2" t="s">
        <v>72</v>
      </c>
      <c r="E48" s="2">
        <v>1.5</v>
      </c>
      <c r="F48" s="2" t="s">
        <v>8</v>
      </c>
      <c r="G48" s="2" t="s">
        <v>37</v>
      </c>
    </row>
    <row r="49" spans="1:7" ht="30" customHeight="1">
      <c r="A49" s="2">
        <v>8</v>
      </c>
      <c r="B49" s="2" t="s">
        <v>71</v>
      </c>
      <c r="C49" s="2">
        <v>44</v>
      </c>
      <c r="D49" s="2" t="s">
        <v>73</v>
      </c>
      <c r="E49" s="2">
        <v>1.5</v>
      </c>
      <c r="F49" s="2" t="s">
        <v>8</v>
      </c>
      <c r="G49" s="2" t="s">
        <v>37</v>
      </c>
    </row>
    <row r="50" spans="1:7" ht="30" customHeight="1">
      <c r="A50" s="2">
        <v>8</v>
      </c>
      <c r="B50" s="2" t="s">
        <v>71</v>
      </c>
      <c r="C50" s="2">
        <v>45</v>
      </c>
      <c r="D50" s="2" t="s">
        <v>74</v>
      </c>
      <c r="E50" s="2">
        <v>2</v>
      </c>
      <c r="F50" s="2" t="s">
        <v>14</v>
      </c>
      <c r="G50" s="2" t="s">
        <v>37</v>
      </c>
    </row>
    <row r="51" spans="1:7" ht="30" customHeight="1">
      <c r="A51" s="2">
        <v>8</v>
      </c>
      <c r="B51" s="2" t="s">
        <v>71</v>
      </c>
      <c r="C51" s="2">
        <v>46</v>
      </c>
      <c r="D51" s="2" t="s">
        <v>75</v>
      </c>
      <c r="E51" s="2">
        <v>2</v>
      </c>
      <c r="F51" s="2" t="s">
        <v>14</v>
      </c>
      <c r="G51" s="2" t="s">
        <v>37</v>
      </c>
    </row>
    <row r="52" spans="1:7" ht="30" customHeight="1">
      <c r="A52" s="2">
        <v>8</v>
      </c>
      <c r="B52" s="2" t="s">
        <v>71</v>
      </c>
      <c r="C52" s="2">
        <v>47</v>
      </c>
      <c r="D52" s="2" t="s">
        <v>76</v>
      </c>
      <c r="E52" s="2">
        <v>1.5</v>
      </c>
      <c r="F52" s="2" t="s">
        <v>8</v>
      </c>
      <c r="G52" s="2" t="s">
        <v>37</v>
      </c>
    </row>
    <row r="53" spans="1:7" ht="30" customHeight="1">
      <c r="A53" s="25" t="s">
        <v>77</v>
      </c>
      <c r="B53" s="26"/>
      <c r="C53" s="26"/>
      <c r="D53" s="26"/>
      <c r="E53" s="26"/>
      <c r="F53" s="26"/>
      <c r="G53" s="26"/>
    </row>
    <row r="54" spans="1:7" ht="30" customHeight="1">
      <c r="A54" s="27">
        <v>8</v>
      </c>
      <c r="B54" s="27" t="s">
        <v>71</v>
      </c>
      <c r="C54" s="27">
        <v>48</v>
      </c>
      <c r="D54" s="27" t="s">
        <v>78</v>
      </c>
      <c r="E54" s="27">
        <v>1</v>
      </c>
      <c r="F54" s="27" t="s">
        <v>14</v>
      </c>
      <c r="G54" s="27" t="s">
        <v>37</v>
      </c>
    </row>
    <row r="55" spans="1:7" ht="30" customHeight="1">
      <c r="A55" s="25" t="s">
        <v>79</v>
      </c>
      <c r="B55" s="26"/>
      <c r="C55" s="26"/>
      <c r="D55" s="26"/>
      <c r="E55" s="26"/>
      <c r="F55" s="26"/>
      <c r="G55" s="26"/>
    </row>
    <row r="56" spans="1:7" ht="19.5" customHeight="1">
      <c r="A56" s="25" t="s">
        <v>80</v>
      </c>
      <c r="B56" s="26"/>
      <c r="C56" s="26"/>
      <c r="D56" s="26"/>
      <c r="E56" s="26"/>
      <c r="F56" s="26"/>
      <c r="G56" s="26"/>
    </row>
    <row r="57" spans="1:7" ht="30" customHeight="1">
      <c r="A57" s="2">
        <v>9</v>
      </c>
      <c r="B57" s="2" t="s">
        <v>81</v>
      </c>
      <c r="C57" s="2">
        <v>49</v>
      </c>
      <c r="D57" s="2" t="s">
        <v>82</v>
      </c>
      <c r="E57" s="2">
        <v>1.5</v>
      </c>
      <c r="F57" s="2" t="s">
        <v>8</v>
      </c>
      <c r="G57" s="2" t="s">
        <v>37</v>
      </c>
    </row>
    <row r="58" spans="1:7" ht="30" customHeight="1">
      <c r="A58" s="2">
        <v>9</v>
      </c>
      <c r="B58" s="2" t="s">
        <v>81</v>
      </c>
      <c r="C58" s="2">
        <v>50</v>
      </c>
      <c r="D58" s="2" t="s">
        <v>83</v>
      </c>
      <c r="E58" s="2">
        <v>1.5</v>
      </c>
      <c r="F58" s="2" t="s">
        <v>14</v>
      </c>
      <c r="G58" s="2" t="s">
        <v>37</v>
      </c>
    </row>
    <row r="59" spans="1:7" ht="30" customHeight="1">
      <c r="A59" s="2">
        <v>9</v>
      </c>
      <c r="B59" s="2" t="s">
        <v>81</v>
      </c>
      <c r="C59" s="2">
        <v>51</v>
      </c>
      <c r="D59" s="2" t="s">
        <v>84</v>
      </c>
      <c r="E59" s="2">
        <v>2.5</v>
      </c>
      <c r="F59" s="2" t="s">
        <v>8</v>
      </c>
      <c r="G59" s="2" t="s">
        <v>37</v>
      </c>
    </row>
    <row r="60" spans="1:7" ht="30" customHeight="1">
      <c r="A60" s="2">
        <v>9</v>
      </c>
      <c r="B60" s="2" t="s">
        <v>81</v>
      </c>
      <c r="C60" s="2">
        <v>52</v>
      </c>
      <c r="D60" s="2" t="s">
        <v>85</v>
      </c>
      <c r="E60" s="2">
        <v>2.5</v>
      </c>
      <c r="F60" s="2" t="s">
        <v>14</v>
      </c>
      <c r="G60" s="2" t="s">
        <v>37</v>
      </c>
    </row>
    <row r="61" spans="1:7" ht="30" customHeight="1">
      <c r="A61" s="2">
        <v>10</v>
      </c>
      <c r="B61" s="2" t="s">
        <v>86</v>
      </c>
      <c r="C61" s="2">
        <v>53</v>
      </c>
      <c r="D61" s="2" t="s">
        <v>87</v>
      </c>
      <c r="E61" s="2">
        <v>2</v>
      </c>
      <c r="F61" s="2" t="s">
        <v>8</v>
      </c>
      <c r="G61" s="2" t="s">
        <v>37</v>
      </c>
    </row>
    <row r="62" spans="1:7" ht="30" customHeight="1">
      <c r="A62" s="2">
        <v>10</v>
      </c>
      <c r="B62" s="2" t="s">
        <v>86</v>
      </c>
      <c r="C62" s="2">
        <v>54</v>
      </c>
      <c r="D62" s="2" t="s">
        <v>88</v>
      </c>
      <c r="E62" s="2">
        <v>2.5</v>
      </c>
      <c r="F62" s="2" t="s">
        <v>14</v>
      </c>
      <c r="G62" s="2" t="s">
        <v>37</v>
      </c>
    </row>
    <row r="63" spans="1:7" ht="30" customHeight="1">
      <c r="A63" s="2">
        <v>10</v>
      </c>
      <c r="B63" s="2" t="s">
        <v>86</v>
      </c>
      <c r="C63" s="2">
        <v>55</v>
      </c>
      <c r="D63" s="2" t="s">
        <v>89</v>
      </c>
      <c r="E63" s="2">
        <v>1.5</v>
      </c>
      <c r="F63" s="2" t="s">
        <v>8</v>
      </c>
      <c r="G63" s="2" t="s">
        <v>37</v>
      </c>
    </row>
    <row r="64" spans="1:7" ht="30" customHeight="1">
      <c r="A64" s="2">
        <v>10</v>
      </c>
      <c r="B64" s="2" t="s">
        <v>86</v>
      </c>
      <c r="C64" s="2">
        <v>56</v>
      </c>
      <c r="D64" s="2" t="s">
        <v>90</v>
      </c>
      <c r="E64" s="2">
        <v>1.5</v>
      </c>
      <c r="F64" s="2" t="s">
        <v>14</v>
      </c>
      <c r="G64" s="2" t="s">
        <v>37</v>
      </c>
    </row>
    <row r="65" spans="1:7" ht="30" customHeight="1">
      <c r="A65" s="2">
        <v>10</v>
      </c>
      <c r="B65" s="2" t="s">
        <v>86</v>
      </c>
      <c r="C65" s="2">
        <v>57</v>
      </c>
      <c r="D65" s="2" t="s">
        <v>91</v>
      </c>
      <c r="E65" s="2">
        <v>1.5</v>
      </c>
      <c r="F65" s="2" t="s">
        <v>8</v>
      </c>
      <c r="G65" s="2" t="s">
        <v>37</v>
      </c>
    </row>
    <row r="66" spans="1:7" ht="19.5" customHeight="1">
      <c r="A66" s="25" t="s">
        <v>92</v>
      </c>
      <c r="B66" s="26"/>
      <c r="C66" s="26"/>
      <c r="D66" s="26"/>
      <c r="E66" s="26"/>
      <c r="F66" s="26"/>
      <c r="G66" s="26"/>
    </row>
    <row r="67" spans="1:7" ht="15.75" customHeight="1"/>
    <row r="68" spans="1:7" ht="15.75" customHeight="1">
      <c r="A68" s="3" t="s">
        <v>93</v>
      </c>
    </row>
    <row r="69" spans="1:7" ht="33.75" customHeight="1">
      <c r="A69" s="23"/>
      <c r="B69" s="28"/>
      <c r="C69" s="28"/>
      <c r="D69" s="28"/>
      <c r="E69" s="28"/>
      <c r="F69" s="28"/>
      <c r="G69" s="28"/>
    </row>
    <row r="70" spans="1:7" ht="33.75" customHeight="1">
      <c r="A70" s="23" t="s">
        <v>94</v>
      </c>
      <c r="B70" s="28"/>
      <c r="C70" s="28"/>
      <c r="D70" s="28"/>
      <c r="E70" s="28"/>
      <c r="F70" s="28"/>
      <c r="G70" s="28"/>
    </row>
    <row r="71" spans="1:7" ht="33.75" customHeight="1">
      <c r="A71" s="23" t="s">
        <v>95</v>
      </c>
      <c r="B71" s="28"/>
      <c r="C71" s="28"/>
      <c r="D71" s="28"/>
      <c r="E71" s="28"/>
      <c r="F71" s="28"/>
      <c r="G71" s="28"/>
    </row>
    <row r="72" spans="1:7" ht="33.75" customHeight="1">
      <c r="A72" s="23" t="s">
        <v>96</v>
      </c>
      <c r="B72" s="28"/>
      <c r="C72" s="28"/>
      <c r="D72" s="28"/>
      <c r="E72" s="28"/>
      <c r="F72" s="28"/>
      <c r="G72" s="28"/>
    </row>
    <row r="73" spans="1:7" ht="33.75" customHeight="1">
      <c r="A73" s="23" t="s">
        <v>97</v>
      </c>
      <c r="B73" s="28"/>
      <c r="C73" s="28"/>
      <c r="D73" s="28"/>
      <c r="E73" s="28"/>
      <c r="F73" s="28"/>
      <c r="G73" s="28"/>
    </row>
    <row r="74" spans="1:7" ht="33.75" customHeight="1">
      <c r="A74" s="23" t="s">
        <v>98</v>
      </c>
      <c r="B74" s="28"/>
      <c r="C74" s="28"/>
      <c r="D74" s="28"/>
      <c r="E74" s="28"/>
      <c r="F74" s="28"/>
      <c r="G74" s="28"/>
    </row>
    <row r="75" spans="1:7" ht="33.75" customHeight="1">
      <c r="A75" s="23" t="s">
        <v>99</v>
      </c>
      <c r="B75" s="28"/>
      <c r="C75" s="28"/>
      <c r="D75" s="28"/>
      <c r="E75" s="28"/>
      <c r="F75" s="28"/>
      <c r="G75" s="28"/>
    </row>
    <row r="76" spans="1:7" ht="33.75" customHeight="1">
      <c r="A76" s="23" t="s">
        <v>100</v>
      </c>
      <c r="B76" s="28"/>
      <c r="C76" s="28"/>
      <c r="D76" s="28"/>
      <c r="E76" s="28"/>
      <c r="F76" s="28"/>
      <c r="G76" s="28"/>
    </row>
    <row r="77" spans="1:7" ht="33.75" customHeight="1">
      <c r="A77" s="23" t="s">
        <v>101</v>
      </c>
      <c r="B77" s="28"/>
      <c r="C77" s="28"/>
      <c r="D77" s="28"/>
      <c r="E77" s="28"/>
      <c r="F77" s="28"/>
      <c r="G77" s="28"/>
    </row>
    <row r="78" spans="1:7" ht="33.75" customHeight="1">
      <c r="A78" s="23" t="s">
        <v>102</v>
      </c>
      <c r="B78" s="28"/>
      <c r="C78" s="28"/>
      <c r="D78" s="28"/>
      <c r="E78" s="28"/>
      <c r="F78" s="28"/>
      <c r="G78" s="28"/>
    </row>
    <row r="79" spans="1:7" ht="15.75" customHeight="1"/>
    <row r="80" spans="1: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8">
    <mergeCell ref="A78:G78"/>
    <mergeCell ref="A56:G56"/>
    <mergeCell ref="A66:G66"/>
    <mergeCell ref="A69:G69"/>
    <mergeCell ref="A70:G70"/>
    <mergeCell ref="A71:G71"/>
    <mergeCell ref="A72:G72"/>
    <mergeCell ref="A73:G73"/>
    <mergeCell ref="A55:G55"/>
    <mergeCell ref="A74:G74"/>
    <mergeCell ref="A75:G75"/>
    <mergeCell ref="A76:G76"/>
    <mergeCell ref="A77:G77"/>
    <mergeCell ref="A17:G17"/>
    <mergeCell ref="A30:G30"/>
    <mergeCell ref="A41:G41"/>
    <mergeCell ref="A47:G47"/>
    <mergeCell ref="A53:G53"/>
  </mergeCells>
  <dataValidations count="1">
    <dataValidation type="list" allowBlank="1" sqref="G2:G16 G18:G29 G31:G40 G42:G46 G48:G52 G57:G65" xr:uid="{00000000-0002-0000-0000-000000000000}">
      <formula1>"To do,Doing,Done"</formula1>
    </dataValidation>
  </dataValidation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2" ySplit="3" topLeftCell="C7" activePane="bottomRight" state="frozen"/>
      <selection pane="bottomRight" activeCell="M2" sqref="M2"/>
      <selection pane="bottomLeft" activeCell="A4" sqref="A4"/>
      <selection pane="topRight" activeCell="C1" sqref="C1"/>
    </sheetView>
  </sheetViews>
  <sheetFormatPr defaultColWidth="12.5703125" defaultRowHeight="15" customHeight="1"/>
  <cols>
    <col min="1" max="1" width="15.140625" customWidth="1"/>
    <col min="2" max="2" width="24.7109375" customWidth="1"/>
    <col min="3" max="3" width="30" customWidth="1"/>
    <col min="4" max="4" width="28" customWidth="1"/>
    <col min="5" max="6" width="22" customWidth="1"/>
    <col min="7" max="9" width="24" customWidth="1"/>
    <col min="10" max="10" width="30" customWidth="1"/>
    <col min="11" max="11" width="26" customWidth="1"/>
    <col min="12" max="12" width="25.85546875" bestFit="1" customWidth="1"/>
    <col min="13" max="13" width="30" customWidth="1"/>
    <col min="14" max="14" width="20" customWidth="1"/>
    <col min="15" max="26" width="8.7109375" customWidth="1"/>
  </cols>
  <sheetData>
    <row r="1" spans="1:26" ht="30" customHeight="1">
      <c r="A1" s="24" t="s">
        <v>103</v>
      </c>
      <c r="B1" s="28"/>
      <c r="C1" s="28"/>
      <c r="D1" s="28"/>
      <c r="E1" s="28"/>
      <c r="F1" s="28"/>
      <c r="G1" s="28"/>
      <c r="H1" s="28"/>
      <c r="I1" s="28"/>
      <c r="J1" s="28"/>
      <c r="K1" s="28"/>
      <c r="L1" s="28"/>
      <c r="M1" s="28"/>
      <c r="N1" s="28"/>
    </row>
    <row r="2" spans="1:26" ht="45" customHeight="1">
      <c r="A2" s="5" t="s">
        <v>104</v>
      </c>
      <c r="B2" s="5" t="s">
        <v>105</v>
      </c>
      <c r="C2" s="5" t="s">
        <v>106</v>
      </c>
      <c r="D2" s="5" t="s">
        <v>107</v>
      </c>
      <c r="E2" s="5" t="s">
        <v>108</v>
      </c>
      <c r="F2" s="5" t="s">
        <v>109</v>
      </c>
      <c r="G2" s="5" t="s">
        <v>110</v>
      </c>
      <c r="H2" s="5" t="s">
        <v>111</v>
      </c>
      <c r="I2" s="5" t="s">
        <v>112</v>
      </c>
      <c r="J2" s="5" t="s">
        <v>113</v>
      </c>
      <c r="K2" s="5" t="s">
        <v>114</v>
      </c>
      <c r="L2" s="5" t="s">
        <v>115</v>
      </c>
      <c r="M2" s="5" t="s">
        <v>116</v>
      </c>
      <c r="N2" s="5" t="s">
        <v>117</v>
      </c>
    </row>
    <row r="3" spans="1:26" ht="33">
      <c r="A3" s="13" t="s">
        <v>118</v>
      </c>
      <c r="B3" s="13" t="s">
        <v>119</v>
      </c>
      <c r="C3" s="13" t="s">
        <v>120</v>
      </c>
      <c r="D3" s="13" t="s">
        <v>121</v>
      </c>
      <c r="E3" s="13" t="s">
        <v>122</v>
      </c>
      <c r="F3" s="13" t="s">
        <v>123</v>
      </c>
      <c r="G3" s="13" t="s">
        <v>124</v>
      </c>
      <c r="H3" s="13" t="s">
        <v>125</v>
      </c>
      <c r="I3" s="13" t="s">
        <v>126</v>
      </c>
      <c r="J3" s="13" t="s">
        <v>127</v>
      </c>
      <c r="K3" s="13" t="s">
        <v>128</v>
      </c>
      <c r="L3" s="13" t="s">
        <v>129</v>
      </c>
      <c r="M3" s="13" t="s">
        <v>130</v>
      </c>
      <c r="N3" s="13" t="s">
        <v>131</v>
      </c>
      <c r="O3" s="14"/>
      <c r="P3" s="14"/>
      <c r="Q3" s="14"/>
      <c r="R3" s="14"/>
      <c r="S3" s="14"/>
      <c r="T3" s="14"/>
      <c r="U3" s="14"/>
      <c r="V3" s="14"/>
      <c r="W3" s="14"/>
      <c r="X3" s="14"/>
      <c r="Y3" s="14"/>
      <c r="Z3" s="14"/>
    </row>
    <row r="4" spans="1:26" ht="142.5">
      <c r="A4" s="15">
        <v>1</v>
      </c>
      <c r="B4" s="15" t="s">
        <v>8</v>
      </c>
      <c r="C4" s="14" t="s">
        <v>132</v>
      </c>
      <c r="D4" s="15" t="s">
        <v>133</v>
      </c>
      <c r="E4" s="15" t="s">
        <v>134</v>
      </c>
      <c r="F4" s="14" t="s">
        <v>135</v>
      </c>
      <c r="G4" s="15" t="s">
        <v>136</v>
      </c>
      <c r="H4" s="15" t="s">
        <v>137</v>
      </c>
      <c r="I4" s="15" t="s">
        <v>138</v>
      </c>
      <c r="J4" s="15" t="s">
        <v>139</v>
      </c>
      <c r="K4" s="15" t="s">
        <v>140</v>
      </c>
      <c r="L4" s="15" t="s">
        <v>141</v>
      </c>
      <c r="M4" s="15" t="s">
        <v>142</v>
      </c>
      <c r="N4" s="15" t="s">
        <v>143</v>
      </c>
      <c r="O4" s="14"/>
      <c r="P4" s="14"/>
      <c r="Q4" s="14"/>
      <c r="R4" s="14"/>
      <c r="S4" s="14"/>
      <c r="T4" s="14"/>
      <c r="U4" s="14"/>
      <c r="V4" s="14"/>
      <c r="W4" s="14"/>
      <c r="X4" s="14"/>
      <c r="Y4" s="14"/>
      <c r="Z4" s="14"/>
    </row>
    <row r="5" spans="1:26" ht="174.75" customHeight="1">
      <c r="A5" s="15">
        <v>2</v>
      </c>
      <c r="B5" s="15" t="s">
        <v>8</v>
      </c>
      <c r="C5" s="14" t="s">
        <v>144</v>
      </c>
      <c r="D5" s="15" t="s">
        <v>145</v>
      </c>
      <c r="E5" s="15" t="s">
        <v>146</v>
      </c>
      <c r="F5" s="15" t="s">
        <v>147</v>
      </c>
      <c r="G5" s="15" t="s">
        <v>148</v>
      </c>
      <c r="H5" s="15" t="s">
        <v>149</v>
      </c>
      <c r="I5" s="15" t="s">
        <v>150</v>
      </c>
      <c r="J5" s="15" t="s">
        <v>151</v>
      </c>
      <c r="K5" s="15" t="s">
        <v>152</v>
      </c>
      <c r="L5" s="15" t="s">
        <v>153</v>
      </c>
      <c r="M5" s="15" t="s">
        <v>154</v>
      </c>
      <c r="N5" s="15" t="s">
        <v>155</v>
      </c>
      <c r="O5" s="14"/>
      <c r="P5" s="14"/>
      <c r="Q5" s="14"/>
      <c r="R5" s="14"/>
      <c r="S5" s="14"/>
      <c r="T5" s="14"/>
      <c r="U5" s="14"/>
      <c r="V5" s="14"/>
      <c r="W5" s="14"/>
      <c r="X5" s="14"/>
      <c r="Y5" s="14"/>
      <c r="Z5" s="14"/>
    </row>
    <row r="6" spans="1:26" ht="182.25" customHeight="1">
      <c r="A6" s="15">
        <v>3</v>
      </c>
      <c r="B6" s="15" t="s">
        <v>8</v>
      </c>
      <c r="C6" s="15" t="s">
        <v>156</v>
      </c>
      <c r="D6" s="15" t="s">
        <v>157</v>
      </c>
      <c r="E6" s="15" t="s">
        <v>158</v>
      </c>
      <c r="F6" s="15" t="s">
        <v>159</v>
      </c>
      <c r="G6" s="15" t="s">
        <v>160</v>
      </c>
      <c r="H6" s="15" t="s">
        <v>161</v>
      </c>
      <c r="I6" s="15" t="s">
        <v>162</v>
      </c>
      <c r="J6" s="15" t="s">
        <v>163</v>
      </c>
      <c r="K6" s="15" t="s">
        <v>164</v>
      </c>
      <c r="L6" s="15" t="s">
        <v>165</v>
      </c>
      <c r="M6" s="15" t="s">
        <v>166</v>
      </c>
      <c r="N6" s="15" t="s">
        <v>167</v>
      </c>
      <c r="O6" s="14"/>
      <c r="P6" s="14"/>
      <c r="Q6" s="14"/>
      <c r="R6" s="14"/>
      <c r="S6" s="14"/>
      <c r="T6" s="14"/>
      <c r="U6" s="14"/>
      <c r="V6" s="14"/>
      <c r="W6" s="14"/>
      <c r="X6" s="14"/>
      <c r="Y6" s="14"/>
      <c r="Z6" s="14"/>
    </row>
    <row r="7" spans="1:26" ht="166.5">
      <c r="A7" s="15">
        <v>4</v>
      </c>
      <c r="B7" s="15" t="s">
        <v>14</v>
      </c>
      <c r="C7" s="15" t="s">
        <v>168</v>
      </c>
      <c r="D7" s="15" t="s">
        <v>169</v>
      </c>
      <c r="E7" s="15" t="s">
        <v>170</v>
      </c>
      <c r="F7" s="15" t="s">
        <v>171</v>
      </c>
      <c r="G7" s="15" t="s">
        <v>172</v>
      </c>
      <c r="H7" s="15" t="s">
        <v>173</v>
      </c>
      <c r="I7" s="15" t="s">
        <v>174</v>
      </c>
      <c r="J7" s="15" t="s">
        <v>175</v>
      </c>
      <c r="K7" s="15" t="s">
        <v>176</v>
      </c>
      <c r="L7" s="15" t="s">
        <v>177</v>
      </c>
      <c r="M7" s="15" t="s">
        <v>178</v>
      </c>
      <c r="N7" s="15" t="s">
        <v>179</v>
      </c>
      <c r="O7" s="14"/>
      <c r="P7" s="14"/>
      <c r="Q7" s="14"/>
      <c r="R7" s="14"/>
      <c r="S7" s="14"/>
      <c r="T7" s="14"/>
      <c r="U7" s="14"/>
      <c r="V7" s="14"/>
      <c r="W7" s="14"/>
      <c r="X7" s="14"/>
      <c r="Y7" s="14"/>
      <c r="Z7" s="14"/>
    </row>
    <row r="8" spans="1:26" ht="142.5">
      <c r="A8" s="15">
        <v>5</v>
      </c>
      <c r="B8" s="15" t="s">
        <v>14</v>
      </c>
      <c r="C8" s="15" t="s">
        <v>180</v>
      </c>
      <c r="D8" s="15" t="s">
        <v>181</v>
      </c>
      <c r="E8" s="15" t="s">
        <v>182</v>
      </c>
      <c r="F8" s="15" t="s">
        <v>183</v>
      </c>
      <c r="G8" s="15" t="s">
        <v>184</v>
      </c>
      <c r="H8" s="15" t="s">
        <v>185</v>
      </c>
      <c r="I8" s="15" t="s">
        <v>186</v>
      </c>
      <c r="J8" s="15" t="s">
        <v>187</v>
      </c>
      <c r="K8" s="15" t="s">
        <v>188</v>
      </c>
      <c r="L8" s="15" t="s">
        <v>189</v>
      </c>
      <c r="M8" s="15" t="s">
        <v>190</v>
      </c>
      <c r="N8" s="15" t="s">
        <v>191</v>
      </c>
      <c r="O8" s="14"/>
      <c r="P8" s="14"/>
      <c r="Q8" s="14"/>
      <c r="R8" s="14"/>
      <c r="S8" s="14"/>
      <c r="T8" s="14"/>
      <c r="U8" s="14"/>
      <c r="V8" s="14"/>
      <c r="W8" s="14"/>
      <c r="X8" s="14"/>
      <c r="Y8" s="14"/>
      <c r="Z8" s="14"/>
    </row>
    <row r="9" spans="1:26" ht="142.5">
      <c r="A9" s="15">
        <v>6</v>
      </c>
      <c r="B9" s="15" t="s">
        <v>14</v>
      </c>
      <c r="C9" s="15" t="s">
        <v>192</v>
      </c>
      <c r="D9" s="15" t="s">
        <v>193</v>
      </c>
      <c r="E9" s="15" t="s">
        <v>194</v>
      </c>
      <c r="F9" s="15" t="s">
        <v>195</v>
      </c>
      <c r="G9" s="15" t="s">
        <v>196</v>
      </c>
      <c r="H9" s="15" t="s">
        <v>197</v>
      </c>
      <c r="I9" s="15" t="s">
        <v>198</v>
      </c>
      <c r="J9" s="15" t="s">
        <v>199</v>
      </c>
      <c r="K9" s="15" t="s">
        <v>200</v>
      </c>
      <c r="L9" s="15" t="s">
        <v>201</v>
      </c>
      <c r="M9" s="15" t="s">
        <v>202</v>
      </c>
      <c r="N9" s="15" t="s">
        <v>203</v>
      </c>
      <c r="O9" s="14"/>
      <c r="P9" s="14"/>
      <c r="Q9" s="14"/>
      <c r="R9" s="14"/>
      <c r="S9" s="14"/>
      <c r="T9" s="14"/>
      <c r="U9" s="14"/>
      <c r="V9" s="14"/>
      <c r="W9" s="14"/>
      <c r="X9" s="14"/>
      <c r="Y9" s="14"/>
      <c r="Z9"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pane ySplit="2" topLeftCell="D3" activePane="bottomLeft" state="frozen"/>
      <selection pane="bottomLeft" activeCell="B4" sqref="B4"/>
    </sheetView>
  </sheetViews>
  <sheetFormatPr defaultColWidth="12.5703125" defaultRowHeight="15" customHeight="1"/>
  <cols>
    <col min="1" max="1" width="5" customWidth="1"/>
    <col min="2" max="3" width="13" customWidth="1"/>
    <col min="4" max="4" width="160.85546875" customWidth="1"/>
    <col min="5" max="5" width="11" customWidth="1"/>
    <col min="6" max="6" width="50" customWidth="1"/>
    <col min="7" max="7" width="13" customWidth="1"/>
    <col min="8" max="26" width="8.7109375" customWidth="1"/>
  </cols>
  <sheetData>
    <row r="1" spans="1:7" ht="12.75">
      <c r="A1" s="24" t="s">
        <v>204</v>
      </c>
      <c r="B1" s="28"/>
      <c r="C1" s="28"/>
      <c r="D1" s="28"/>
      <c r="E1" s="28"/>
      <c r="F1" s="28"/>
      <c r="G1" s="28"/>
    </row>
    <row r="2" spans="1:7" ht="12.75">
      <c r="A2" s="16" t="s">
        <v>104</v>
      </c>
      <c r="B2" s="16" t="s">
        <v>205</v>
      </c>
      <c r="C2" s="16" t="s">
        <v>206</v>
      </c>
      <c r="D2" s="16" t="s">
        <v>207</v>
      </c>
      <c r="E2" s="16" t="s">
        <v>5</v>
      </c>
      <c r="F2" s="16" t="s">
        <v>208</v>
      </c>
      <c r="G2" s="16" t="s">
        <v>209</v>
      </c>
    </row>
    <row r="3" spans="1:7" ht="84.75" customHeight="1">
      <c r="A3" s="17">
        <v>1</v>
      </c>
      <c r="B3" s="18">
        <v>46301</v>
      </c>
      <c r="C3" s="17" t="s">
        <v>8</v>
      </c>
      <c r="D3" s="17" t="s">
        <v>210</v>
      </c>
      <c r="E3" s="17" t="s">
        <v>211</v>
      </c>
      <c r="F3" s="19" t="s">
        <v>212</v>
      </c>
      <c r="G3" s="20" t="s">
        <v>213</v>
      </c>
    </row>
    <row r="4" spans="1:7" ht="72">
      <c r="A4" s="17">
        <v>2</v>
      </c>
      <c r="B4" s="18">
        <v>46301</v>
      </c>
      <c r="C4" s="17" t="s">
        <v>8</v>
      </c>
      <c r="D4" s="21" t="s">
        <v>214</v>
      </c>
      <c r="E4" s="17" t="s">
        <v>211</v>
      </c>
      <c r="F4" s="17" t="s">
        <v>215</v>
      </c>
      <c r="G4" s="17"/>
    </row>
    <row r="5" spans="1:7" ht="60">
      <c r="A5" s="17">
        <v>3</v>
      </c>
      <c r="B5" s="18">
        <v>46301</v>
      </c>
      <c r="C5" s="17" t="s">
        <v>8</v>
      </c>
      <c r="D5" s="21" t="s">
        <v>216</v>
      </c>
      <c r="E5" s="17" t="s">
        <v>211</v>
      </c>
      <c r="F5" s="17" t="s">
        <v>217</v>
      </c>
      <c r="G5" s="17"/>
    </row>
    <row r="6" spans="1:7" ht="72">
      <c r="A6" s="17">
        <v>4</v>
      </c>
      <c r="B6" s="18">
        <v>46301</v>
      </c>
      <c r="C6" s="17" t="s">
        <v>8</v>
      </c>
      <c r="D6" s="21" t="s">
        <v>218</v>
      </c>
      <c r="E6" s="17" t="s">
        <v>211</v>
      </c>
      <c r="F6" s="17" t="s">
        <v>219</v>
      </c>
      <c r="G6" s="20" t="s">
        <v>213</v>
      </c>
    </row>
    <row r="7" spans="1:7" ht="48">
      <c r="A7" s="17">
        <v>5</v>
      </c>
      <c r="B7" s="18">
        <v>46301</v>
      </c>
      <c r="C7" s="17" t="s">
        <v>8</v>
      </c>
      <c r="D7" s="17" t="s">
        <v>220</v>
      </c>
      <c r="E7" s="17" t="s">
        <v>211</v>
      </c>
      <c r="F7" s="17" t="s">
        <v>221</v>
      </c>
      <c r="G7" s="20" t="s">
        <v>213</v>
      </c>
    </row>
    <row r="8" spans="1:7">
      <c r="A8" s="17">
        <v>6</v>
      </c>
      <c r="B8" s="17"/>
      <c r="C8" s="17"/>
      <c r="D8" s="17"/>
      <c r="E8" s="17"/>
      <c r="F8" s="17"/>
      <c r="G8" s="17"/>
    </row>
    <row r="9" spans="1:7">
      <c r="A9" s="17">
        <v>7</v>
      </c>
      <c r="B9" s="17"/>
      <c r="C9" s="17"/>
      <c r="D9" s="17"/>
      <c r="E9" s="17"/>
      <c r="F9" s="17"/>
      <c r="G9" s="17"/>
    </row>
    <row r="10" spans="1:7">
      <c r="A10" s="17">
        <v>8</v>
      </c>
      <c r="B10" s="17"/>
      <c r="C10" s="17"/>
      <c r="D10" s="17"/>
      <c r="E10" s="17"/>
      <c r="F10" s="17"/>
      <c r="G10" s="17"/>
    </row>
    <row r="11" spans="1:7">
      <c r="A11" s="17">
        <v>9</v>
      </c>
      <c r="B11" s="17"/>
      <c r="C11" s="17"/>
      <c r="D11" s="17"/>
      <c r="E11" s="17"/>
      <c r="F11" s="17"/>
      <c r="G11" s="17"/>
    </row>
    <row r="12" spans="1:7">
      <c r="A12" s="17">
        <v>10</v>
      </c>
      <c r="B12" s="17"/>
      <c r="C12" s="17"/>
      <c r="D12" s="17"/>
      <c r="E12" s="17"/>
      <c r="F12" s="17"/>
      <c r="G12" s="17"/>
    </row>
    <row r="13" spans="1:7">
      <c r="A13" s="17">
        <v>11</v>
      </c>
      <c r="B13" s="17"/>
      <c r="C13" s="17"/>
      <c r="D13" s="17"/>
      <c r="E13" s="17"/>
      <c r="F13" s="17"/>
      <c r="G13" s="17"/>
    </row>
    <row r="14" spans="1:7">
      <c r="A14" s="22">
        <v>12</v>
      </c>
      <c r="B14" s="22"/>
      <c r="C14" s="22"/>
      <c r="D14" s="22"/>
      <c r="E14" s="22"/>
      <c r="F14" s="22"/>
      <c r="G14" s="22"/>
    </row>
    <row r="15" spans="1:7">
      <c r="A15" s="22">
        <v>13</v>
      </c>
      <c r="B15" s="22"/>
      <c r="C15" s="22"/>
      <c r="D15" s="22"/>
      <c r="E15" s="22"/>
      <c r="F15" s="22"/>
      <c r="G15" s="22"/>
    </row>
    <row r="16" spans="1:7">
      <c r="A16" s="22">
        <v>14</v>
      </c>
      <c r="B16" s="22"/>
      <c r="C16" s="22"/>
      <c r="D16" s="22"/>
      <c r="E16" s="22"/>
      <c r="F16" s="22"/>
      <c r="G16" s="22"/>
    </row>
    <row r="17" spans="1:7">
      <c r="A17" s="22">
        <v>15</v>
      </c>
      <c r="B17" s="22"/>
      <c r="C17" s="22"/>
      <c r="D17" s="22"/>
      <c r="E17" s="22"/>
      <c r="F17" s="22"/>
      <c r="G17" s="22"/>
    </row>
    <row r="18" spans="1:7">
      <c r="A18" s="22">
        <v>16</v>
      </c>
      <c r="B18" s="22"/>
      <c r="C18" s="22"/>
      <c r="D18" s="22"/>
      <c r="E18" s="22"/>
      <c r="F18" s="22"/>
      <c r="G18" s="22"/>
    </row>
    <row r="19" spans="1:7">
      <c r="A19" s="22">
        <v>17</v>
      </c>
      <c r="B19" s="22"/>
      <c r="C19" s="22"/>
      <c r="D19" s="22"/>
      <c r="E19" s="22"/>
      <c r="F19" s="22"/>
      <c r="G19" s="22"/>
    </row>
    <row r="20" spans="1:7">
      <c r="A20" s="22">
        <v>18</v>
      </c>
      <c r="B20" s="22"/>
      <c r="C20" s="22"/>
      <c r="D20" s="22"/>
      <c r="E20" s="22"/>
      <c r="F20" s="22"/>
      <c r="G20" s="22"/>
    </row>
    <row r="21" spans="1:7" ht="15.75" customHeight="1">
      <c r="A21" s="22">
        <v>19</v>
      </c>
      <c r="B21" s="22"/>
      <c r="C21" s="22"/>
      <c r="D21" s="22"/>
      <c r="E21" s="22"/>
      <c r="F21" s="22"/>
      <c r="G21" s="22"/>
    </row>
    <row r="22" spans="1:7" ht="15.75" customHeight="1">
      <c r="A22" s="22">
        <v>20</v>
      </c>
      <c r="B22" s="22"/>
      <c r="C22" s="22"/>
      <c r="D22" s="22"/>
      <c r="E22" s="22"/>
      <c r="F22" s="22"/>
      <c r="G22" s="22"/>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ataValidations count="1">
    <dataValidation type="list" allowBlank="1" sqref="E3:E22" xr:uid="{00000000-0002-0000-0200-000000000000}">
      <formula1>"Open,Resolved"</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Valentina Kloster</cp:lastModifiedBy>
  <cp:revision/>
  <dcterms:created xsi:type="dcterms:W3CDTF">2026-10-12T22:01:14Z</dcterms:created>
  <dcterms:modified xsi:type="dcterms:W3CDTF">2026-10-12T22:01:14Z</dcterms:modified>
  <cp:category/>
  <cp:contentStatus/>
</cp:coreProperties>
</file>